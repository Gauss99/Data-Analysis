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 expedição" sheetId="1" r:id="rId4"/>
    <sheet state="visible" name="Filipeta" sheetId="2" r:id="rId5"/>
    <sheet state="visible" name="Mapa" sheetId="3" r:id="rId6"/>
    <sheet state="visible" name="Resumo Mapa" sheetId="4" r:id="rId7"/>
  </sheets>
  <definedNames/>
  <calcPr/>
  <extLst>
    <ext uri="GoogleSheetsCustomDataVersion2">
      <go:sheetsCustomData xmlns:go="http://customooxmlschemas.google.com/" r:id="rId8" roundtripDataChecksum="/ZZo9Jj9ukrYEBU0eMhGWLk+nQIQ7ImzrXi0cZVYkPE="/>
    </ext>
  </extLst>
</workbook>
</file>

<file path=xl/sharedStrings.xml><?xml version="1.0" encoding="utf-8"?>
<sst xmlns="http://schemas.openxmlformats.org/spreadsheetml/2006/main" count="1070" uniqueCount="480">
  <si>
    <t>Onda</t>
  </si>
  <si>
    <t>ID da Rota</t>
  </si>
  <si>
    <t>Rota otimizada</t>
  </si>
  <si>
    <t>Rota original</t>
  </si>
  <si>
    <t>d</t>
  </si>
  <si>
    <t>Doca</t>
  </si>
  <si>
    <t>Transportadora</t>
  </si>
  <si>
    <t>Placa</t>
  </si>
  <si>
    <t>Tipo de veículo</t>
  </si>
  <si>
    <t>Tipo de rota</t>
  </si>
  <si>
    <t>Tipo de área</t>
  </si>
  <si>
    <t>SPR</t>
  </si>
  <si>
    <t>Cluster</t>
  </si>
  <si>
    <t>Onda - Vaga</t>
  </si>
  <si>
    <t>Vaga ( Não mexer)</t>
  </si>
  <si>
    <t>FILIPETA DE CARREGAMENTO</t>
  </si>
  <si>
    <t>Rota Otimizada</t>
  </si>
  <si>
    <t>Rota_Original</t>
  </si>
  <si>
    <t>Onda 3</t>
  </si>
  <si>
    <t>VM9_AM1</t>
  </si>
  <si>
    <t>AM1_52</t>
  </si>
  <si>
    <t>PARCEIRO SPOT SOLUCOES</t>
  </si>
  <si>
    <t>TEI0I29</t>
  </si>
  <si>
    <t>Observação: Caso não encontre algum pacote,  ele provavelmente já foi levado para a vaga.</t>
  </si>
  <si>
    <t>PALETES</t>
  </si>
  <si>
    <t>Vuc Vamos 2025</t>
  </si>
  <si>
    <t>Comercial - Distante</t>
  </si>
  <si>
    <t>AM1 - C 3</t>
  </si>
  <si>
    <t>Linha Branca</t>
  </si>
  <si>
    <t>TVs (Perto do Volumoso)</t>
  </si>
  <si>
    <t>VAGA</t>
  </si>
  <si>
    <t>TVs (Área da Doca)</t>
  </si>
  <si>
    <t>Espelhos</t>
  </si>
  <si>
    <t>NOME</t>
  </si>
  <si>
    <t>VN7_AM1</t>
  </si>
  <si>
    <t>AM1_64</t>
  </si>
  <si>
    <t>Suporte XPT</t>
  </si>
  <si>
    <t>TEI0I39</t>
  </si>
  <si>
    <t>Híbrida</t>
  </si>
  <si>
    <t>AM1 - C 2</t>
  </si>
  <si>
    <t>P.S.</t>
  </si>
  <si>
    <t>1ª ONDA</t>
  </si>
  <si>
    <t>2ª ONDA</t>
  </si>
  <si>
    <t>Q11_AM1</t>
  </si>
  <si>
    <t>AM1_118</t>
  </si>
  <si>
    <t>3ª ONDA</t>
  </si>
  <si>
    <t>TBK4I42</t>
  </si>
  <si>
    <t>Utilitário Arval 2025</t>
  </si>
  <si>
    <t>Distante</t>
  </si>
  <si>
    <t>AM1 - C 4</t>
  </si>
  <si>
    <t>4ª ONDA</t>
  </si>
  <si>
    <t>5ª ONDA</t>
  </si>
  <si>
    <t>6ª ONDA</t>
  </si>
  <si>
    <t>7ª ONDA</t>
  </si>
  <si>
    <t>P11_AM1</t>
  </si>
  <si>
    <t>AM1_56</t>
  </si>
  <si>
    <t>RodaCoop</t>
  </si>
  <si>
    <t>RUT0H49</t>
  </si>
  <si>
    <t>Utilitários</t>
  </si>
  <si>
    <t>Rota 
Expedição</t>
  </si>
  <si>
    <t>Rota 
 Romaneio</t>
  </si>
  <si>
    <t>T</t>
  </si>
  <si>
    <t>Linha
Branca</t>
  </si>
  <si>
    <t>P1_AM1</t>
  </si>
  <si>
    <t>AM1_71</t>
  </si>
  <si>
    <t>HELP ME SOLUCOES</t>
  </si>
  <si>
    <t xml:space="preserve">Linha
Branca
</t>
  </si>
  <si>
    <t>HJU1E10</t>
  </si>
  <si>
    <t>Q2_AM1</t>
  </si>
  <si>
    <t>AM1_16</t>
  </si>
  <si>
    <t>Hawk Transportes</t>
  </si>
  <si>
    <t>SDDPYV3E07</t>
  </si>
  <si>
    <t>Utilitários SDD</t>
  </si>
  <si>
    <t>AM1 - C 8</t>
  </si>
  <si>
    <t>Rota
Expedição</t>
  </si>
  <si>
    <t>Rota 
Romaneio</t>
  </si>
  <si>
    <t>P10_AM1</t>
  </si>
  <si>
    <t>AM1_66</t>
  </si>
  <si>
    <t>QOV9439</t>
  </si>
  <si>
    <t>YMS-S</t>
  </si>
  <si>
    <t>-</t>
  </si>
  <si>
    <t>P12_AM1</t>
  </si>
  <si>
    <t>AM1_42</t>
  </si>
  <si>
    <t>SDDRCB7E59</t>
  </si>
  <si>
    <t>Q1_AM1</t>
  </si>
  <si>
    <t>AM1_4</t>
  </si>
  <si>
    <t>FLASHLOG</t>
  </si>
  <si>
    <t>SDDPLL2C41</t>
  </si>
  <si>
    <t>AM1 - C 6</t>
  </si>
  <si>
    <t>Q10_AM1</t>
  </si>
  <si>
    <t>AM1_8</t>
  </si>
  <si>
    <t>SDDRMN8E33</t>
  </si>
  <si>
    <t>Utilitario Fixo</t>
  </si>
  <si>
    <t>P5_AM1</t>
  </si>
  <si>
    <t>AM1_9</t>
  </si>
  <si>
    <t>QOC6D66</t>
  </si>
  <si>
    <t>YMS-E</t>
  </si>
  <si>
    <t>P7_AM1</t>
  </si>
  <si>
    <t>AM1_19</t>
  </si>
  <si>
    <t>TEB5J19</t>
  </si>
  <si>
    <t>Van Vamos 2025</t>
  </si>
  <si>
    <t>Distante - Comercial</t>
  </si>
  <si>
    <t>VN6_AM1</t>
  </si>
  <si>
    <t>AM1_3</t>
  </si>
  <si>
    <t>TEB5J16</t>
  </si>
  <si>
    <t>AM1 - C 7</t>
  </si>
  <si>
    <t>Q5_AM1</t>
  </si>
  <si>
    <t>AM1_5</t>
  </si>
  <si>
    <t>TEB5J14</t>
  </si>
  <si>
    <t>P4_AM1</t>
  </si>
  <si>
    <t>AM1_65</t>
  </si>
  <si>
    <t>A L C TRANSPORTES</t>
  </si>
  <si>
    <t>PWK9B31</t>
  </si>
  <si>
    <t>PÓS SORTING</t>
  </si>
  <si>
    <t>P8_AM1</t>
  </si>
  <si>
    <t>AM1_43</t>
  </si>
  <si>
    <t>SDDRMS8F61</t>
  </si>
  <si>
    <t>Q8_AM1</t>
  </si>
  <si>
    <t>AM1_58</t>
  </si>
  <si>
    <t>SDDPVK4C55</t>
  </si>
  <si>
    <t>P2_AM1</t>
  </si>
  <si>
    <t>AM1_70</t>
  </si>
  <si>
    <t>SYZ5B99</t>
  </si>
  <si>
    <t>Q6_AM1</t>
  </si>
  <si>
    <t>AM1_69</t>
  </si>
  <si>
    <t>RNK7H96</t>
  </si>
  <si>
    <t>DOCA 1</t>
  </si>
  <si>
    <t>P3_AM1</t>
  </si>
  <si>
    <t>AM1_6</t>
  </si>
  <si>
    <t>PYU9C17</t>
  </si>
  <si>
    <t>P9_AM1</t>
  </si>
  <si>
    <t>AM1_7</t>
  </si>
  <si>
    <t>AZN3B80</t>
  </si>
  <si>
    <t>Q9_AM1</t>
  </si>
  <si>
    <t>AM1_11</t>
  </si>
  <si>
    <t>SDDNLR1E03</t>
  </si>
  <si>
    <t>Q4_AM1</t>
  </si>
  <si>
    <t>AM1_12</t>
  </si>
  <si>
    <t>SDDFLT2F40</t>
  </si>
  <si>
    <t>P13_AM1</t>
  </si>
  <si>
    <t>AM1_37</t>
  </si>
  <si>
    <t>Kangu Logistics</t>
  </si>
  <si>
    <t>QYO6J12</t>
  </si>
  <si>
    <t>Onda 4</t>
  </si>
  <si>
    <t>VM8_AM1</t>
  </si>
  <si>
    <t>AM1_63</t>
  </si>
  <si>
    <t>TXY6A60</t>
  </si>
  <si>
    <t>VN1_AM1</t>
  </si>
  <si>
    <t>AM1_62</t>
  </si>
  <si>
    <t>TEN6A96</t>
  </si>
  <si>
    <t>A7_AM1</t>
  </si>
  <si>
    <t>AM1_116</t>
  </si>
  <si>
    <t>TEC1G20</t>
  </si>
  <si>
    <t>Q3_AM1</t>
  </si>
  <si>
    <t>AM1_68</t>
  </si>
  <si>
    <t>TZB1I38</t>
  </si>
  <si>
    <t>H11_AM1</t>
  </si>
  <si>
    <t>AM1_22</t>
  </si>
  <si>
    <t>QPW5D28</t>
  </si>
  <si>
    <t>I8_AM1</t>
  </si>
  <si>
    <t>AM1_57</t>
  </si>
  <si>
    <t>SDDBCM9G31</t>
  </si>
  <si>
    <t>A8_AM1</t>
  </si>
  <si>
    <t>AM1_120</t>
  </si>
  <si>
    <t>QUC4744</t>
  </si>
  <si>
    <t>Comercial</t>
  </si>
  <si>
    <t>B3_AM1</t>
  </si>
  <si>
    <t>AM1_111</t>
  </si>
  <si>
    <t>PAK2D47</t>
  </si>
  <si>
    <t>AM1 - C 5</t>
  </si>
  <si>
    <t>B1_AM1</t>
  </si>
  <si>
    <t>AM1_115</t>
  </si>
  <si>
    <t>RUM2B41</t>
  </si>
  <si>
    <t>Rental Utilitário com Ajudante</t>
  </si>
  <si>
    <t>Q7_AM1</t>
  </si>
  <si>
    <t>AM1_59</t>
  </si>
  <si>
    <t>TDZ7B97</t>
  </si>
  <si>
    <t>A9_AM1</t>
  </si>
  <si>
    <t>AM1_119</t>
  </si>
  <si>
    <t>TBK9F54</t>
  </si>
  <si>
    <t>D1_AM1</t>
  </si>
  <si>
    <t>AM1_15</t>
  </si>
  <si>
    <t>QNX0J66</t>
  </si>
  <si>
    <t>Vuc</t>
  </si>
  <si>
    <t>I1_AM1</t>
  </si>
  <si>
    <t>AM1_60</t>
  </si>
  <si>
    <t>TEB5I99</t>
  </si>
  <si>
    <t>B2_AM1</t>
  </si>
  <si>
    <t>AM1_110</t>
  </si>
  <si>
    <t>TBK9D25</t>
  </si>
  <si>
    <t>DOCA 2</t>
  </si>
  <si>
    <t>A4_AM1</t>
  </si>
  <si>
    <t>AM1_124</t>
  </si>
  <si>
    <t>OXH2C13</t>
  </si>
  <si>
    <t>A5_AM1</t>
  </si>
  <si>
    <t>AM1_123</t>
  </si>
  <si>
    <t>RNV2A47</t>
  </si>
  <si>
    <t>A6_AM1</t>
  </si>
  <si>
    <t>AM1_121</t>
  </si>
  <si>
    <t>QXM3F61</t>
  </si>
  <si>
    <t>A2_AM1</t>
  </si>
  <si>
    <t>AM1_127</t>
  </si>
  <si>
    <t>SDDTEG6H67</t>
  </si>
  <si>
    <t>P6_AM1</t>
  </si>
  <si>
    <t>AM1_67</t>
  </si>
  <si>
    <t>QNN3H88</t>
  </si>
  <si>
    <t>A1_AM1</t>
  </si>
  <si>
    <t>AM1_122</t>
  </si>
  <si>
    <t>OME0G85</t>
  </si>
  <si>
    <t>I3_AM1</t>
  </si>
  <si>
    <t>AM1_10</t>
  </si>
  <si>
    <t>RUT5C80</t>
  </si>
  <si>
    <t>H8_AM1</t>
  </si>
  <si>
    <t>AM1_14</t>
  </si>
  <si>
    <t>REH1A27</t>
  </si>
  <si>
    <t>TVS E ESPELHOS</t>
  </si>
  <si>
    <t>I10_AM1</t>
  </si>
  <si>
    <t>AM1_61</t>
  </si>
  <si>
    <t>PVM7I29</t>
  </si>
  <si>
    <t>TVs ( Perto do Volumoso)</t>
  </si>
  <si>
    <t>TVs (Na Doca)</t>
  </si>
  <si>
    <t xml:space="preserve">Colchões </t>
  </si>
  <si>
    <t>B4_AM1</t>
  </si>
  <si>
    <t>AM1_104</t>
  </si>
  <si>
    <t>OQQ7I48</t>
  </si>
  <si>
    <t>A2</t>
  </si>
  <si>
    <t>Onda 5</t>
  </si>
  <si>
    <t>D3_AM1</t>
  </si>
  <si>
    <t>AM1_51</t>
  </si>
  <si>
    <t>TEN6B31</t>
  </si>
  <si>
    <t>P9</t>
  </si>
  <si>
    <t>B9</t>
  </si>
  <si>
    <t>Q5</t>
  </si>
  <si>
    <t>D2_AM1</t>
  </si>
  <si>
    <t>AM1_47</t>
  </si>
  <si>
    <t>RUM2B38</t>
  </si>
  <si>
    <t>I9</t>
  </si>
  <si>
    <t>VJ3</t>
  </si>
  <si>
    <t>A3</t>
  </si>
  <si>
    <t>C4_AM1</t>
  </si>
  <si>
    <t>AM1_98</t>
  </si>
  <si>
    <t>TBK9D03</t>
  </si>
  <si>
    <t>AM1 - C 1</t>
  </si>
  <si>
    <t>Q7</t>
  </si>
  <si>
    <t>A6</t>
  </si>
  <si>
    <t>VN3_AM1</t>
  </si>
  <si>
    <t>AM1_50</t>
  </si>
  <si>
    <t>TEN6B01</t>
  </si>
  <si>
    <t>B7</t>
  </si>
  <si>
    <t>B9_AM1</t>
  </si>
  <si>
    <t>AM1_99</t>
  </si>
  <si>
    <t>D3</t>
  </si>
  <si>
    <t>TYR2C62</t>
  </si>
  <si>
    <t>I10</t>
  </si>
  <si>
    <t>VG1</t>
  </si>
  <si>
    <t>B6_AM1</t>
  </si>
  <si>
    <t>AM1_100</t>
  </si>
  <si>
    <t>I6</t>
  </si>
  <si>
    <t>QNP3J77</t>
  </si>
  <si>
    <t>Q3</t>
  </si>
  <si>
    <t>F1_AM1</t>
  </si>
  <si>
    <t>AM1_2</t>
  </si>
  <si>
    <t>TEN6B29</t>
  </si>
  <si>
    <t>AM1 - C 9</t>
  </si>
  <si>
    <t>B8_AM1</t>
  </si>
  <si>
    <t>AM1_95</t>
  </si>
  <si>
    <t>TEB5J15</t>
  </si>
  <si>
    <t>1</t>
  </si>
  <si>
    <t>I8</t>
  </si>
  <si>
    <t>C10_AM1</t>
  </si>
  <si>
    <t>AM1_117</t>
  </si>
  <si>
    <t>I1</t>
  </si>
  <si>
    <t>RVO2G15</t>
  </si>
  <si>
    <t>Veículo de Passeio</t>
  </si>
  <si>
    <t>ME Extra</t>
  </si>
  <si>
    <t>C2</t>
  </si>
  <si>
    <t>C1_AM1</t>
  </si>
  <si>
    <t>AM1_103</t>
  </si>
  <si>
    <t>GNQ1J55</t>
  </si>
  <si>
    <t>Van</t>
  </si>
  <si>
    <t>C4</t>
  </si>
  <si>
    <t>C3_AM1</t>
  </si>
  <si>
    <t>AM1_106</t>
  </si>
  <si>
    <t>TDZ7C63</t>
  </si>
  <si>
    <t>C3</t>
  </si>
  <si>
    <t>VN4</t>
  </si>
  <si>
    <t>C9_AM1</t>
  </si>
  <si>
    <t>AM1_114</t>
  </si>
  <si>
    <t>QNI4I89</t>
  </si>
  <si>
    <t>C8_AM1</t>
  </si>
  <si>
    <t>AM1_109</t>
  </si>
  <si>
    <t>NSA1F10</t>
  </si>
  <si>
    <t>D1</t>
  </si>
  <si>
    <t>D5_AM1</t>
  </si>
  <si>
    <t>AM1_107</t>
  </si>
  <si>
    <t>RNX9G50</t>
  </si>
  <si>
    <t>B8</t>
  </si>
  <si>
    <t>C5_AM1</t>
  </si>
  <si>
    <t>C7</t>
  </si>
  <si>
    <t>AM1_112</t>
  </si>
  <si>
    <t>QOO6D89</t>
  </si>
  <si>
    <t>A3_AM1</t>
  </si>
  <si>
    <t>AM1_125</t>
  </si>
  <si>
    <t>EVA3C49</t>
  </si>
  <si>
    <t>LINHA BRANCA</t>
  </si>
  <si>
    <t>B5_AM1</t>
  </si>
  <si>
    <t>AM1_94</t>
  </si>
  <si>
    <t>RUV4G06</t>
  </si>
  <si>
    <t>Rental Utilitário sem Ajudante</t>
  </si>
  <si>
    <t>VN3</t>
  </si>
  <si>
    <t>B10_AM1</t>
  </si>
  <si>
    <t>AM1_92</t>
  </si>
  <si>
    <t>SDDQXC7E02</t>
  </si>
  <si>
    <t>B7_AM1</t>
  </si>
  <si>
    <t>AM1_97</t>
  </si>
  <si>
    <t>TBK4I46</t>
  </si>
  <si>
    <t>VN7</t>
  </si>
  <si>
    <t>VN2</t>
  </si>
  <si>
    <t>C7_AM1</t>
  </si>
  <si>
    <t>AM1_105</t>
  </si>
  <si>
    <t>RVL9D89</t>
  </si>
  <si>
    <t>VN5</t>
  </si>
  <si>
    <t>D4_AM1</t>
  </si>
  <si>
    <t>AM1_101</t>
  </si>
  <si>
    <t>RTL5H43</t>
  </si>
  <si>
    <t>VM11</t>
  </si>
  <si>
    <t>D6_AM1</t>
  </si>
  <si>
    <t>AM1_93</t>
  </si>
  <si>
    <t>SDDOQU3F22</t>
  </si>
  <si>
    <t>VN1</t>
  </si>
  <si>
    <t>Onda 6</t>
  </si>
  <si>
    <t>VM10_AM1</t>
  </si>
  <si>
    <t>AM1_13</t>
  </si>
  <si>
    <t>TEI0I38</t>
  </si>
  <si>
    <t>VM9</t>
  </si>
  <si>
    <t>2</t>
  </si>
  <si>
    <t>VM11_AM1</t>
  </si>
  <si>
    <t>AM1_20</t>
  </si>
  <si>
    <t>TEN6A80</t>
  </si>
  <si>
    <t>VN2_AM1</t>
  </si>
  <si>
    <t>AM1_96</t>
  </si>
  <si>
    <t>TEN6A98</t>
  </si>
  <si>
    <t>VM10</t>
  </si>
  <si>
    <t>VM8</t>
  </si>
  <si>
    <t>H1_AM1</t>
  </si>
  <si>
    <t>AM1_21</t>
  </si>
  <si>
    <t>SDDRFH2A65</t>
  </si>
  <si>
    <t>H6_AM1</t>
  </si>
  <si>
    <t>AM1_48</t>
  </si>
  <si>
    <t>SDDQOL2E48</t>
  </si>
  <si>
    <t>I7</t>
  </si>
  <si>
    <t>G1_AM1</t>
  </si>
  <si>
    <t>AM1_1</t>
  </si>
  <si>
    <t>SDDTDX8J99</t>
  </si>
  <si>
    <t>VUC Dedicado com Ajudante</t>
  </si>
  <si>
    <t>AM1 - C 10</t>
  </si>
  <si>
    <t>H9_AM1</t>
  </si>
  <si>
    <t>AM1_54</t>
  </si>
  <si>
    <t>RFW5C75</t>
  </si>
  <si>
    <t>H12_AM1</t>
  </si>
  <si>
    <t>AM1_55</t>
  </si>
  <si>
    <t>OWU6H05</t>
  </si>
  <si>
    <t>VN4_AM1</t>
  </si>
  <si>
    <t>AM1_108</t>
  </si>
  <si>
    <t>TEV9B30</t>
  </si>
  <si>
    <t>H10_AM1</t>
  </si>
  <si>
    <t>AM1_53</t>
  </si>
  <si>
    <t>SDDPZY3991</t>
  </si>
  <si>
    <t>I2_AM1</t>
  </si>
  <si>
    <t>AM1_18</t>
  </si>
  <si>
    <t>SDDOPQ9A50</t>
  </si>
  <si>
    <t>C2_AM1</t>
  </si>
  <si>
    <t>AM1_102</t>
  </si>
  <si>
    <t>Envios Extra</t>
  </si>
  <si>
    <t>FCP3E23</t>
  </si>
  <si>
    <t>H7_AM1</t>
  </si>
  <si>
    <t>AM1_46</t>
  </si>
  <si>
    <t>PYW6J54</t>
  </si>
  <si>
    <t>I6_AM1</t>
  </si>
  <si>
    <t>AM1_49</t>
  </si>
  <si>
    <t>RVE2D91</t>
  </si>
  <si>
    <t>Van Frota Fixa - Equipe dupla</t>
  </si>
  <si>
    <t>H4_AM1</t>
  </si>
  <si>
    <t>AM1_17</t>
  </si>
  <si>
    <t>SDDHNB7J85</t>
  </si>
  <si>
    <t>H2_AM1</t>
  </si>
  <si>
    <t>AM1_39</t>
  </si>
  <si>
    <t>SDDQNF2355</t>
  </si>
  <si>
    <t>I5_AM1</t>
  </si>
  <si>
    <t>AM1_41</t>
  </si>
  <si>
    <t>SDDRFM6C39</t>
  </si>
  <si>
    <t>3</t>
  </si>
  <si>
    <t>C6_AM1</t>
  </si>
  <si>
    <t>AM1_113</t>
  </si>
  <si>
    <t>PUE3138</t>
  </si>
  <si>
    <t>I4_AM1</t>
  </si>
  <si>
    <t>AM1_44</t>
  </si>
  <si>
    <t>FNO3B80</t>
  </si>
  <si>
    <t>I7_AM1</t>
  </si>
  <si>
    <t>AM1_45</t>
  </si>
  <si>
    <t>RTM5H47</t>
  </si>
  <si>
    <t>H3_AM1</t>
  </si>
  <si>
    <t>AM1_40</t>
  </si>
  <si>
    <t>OQQ3D45</t>
  </si>
  <si>
    <t>I9_AM1</t>
  </si>
  <si>
    <t>AM1_38</t>
  </si>
  <si>
    <t>NCW7D31</t>
  </si>
  <si>
    <t>VN5_AM1</t>
  </si>
  <si>
    <t>AM1_126</t>
  </si>
  <si>
    <t>PWT4473</t>
  </si>
  <si>
    <t>4</t>
  </si>
  <si>
    <t>5</t>
  </si>
  <si>
    <t>6</t>
  </si>
  <si>
    <t>7</t>
  </si>
  <si>
    <t>8</t>
  </si>
  <si>
    <t>9</t>
  </si>
  <si>
    <t>DOUGLAS</t>
  </si>
  <si>
    <t>ALFREDO (D)</t>
  </si>
  <si>
    <t>BARBARA</t>
  </si>
  <si>
    <t>10</t>
  </si>
  <si>
    <t>FABIANA (D)</t>
  </si>
  <si>
    <t>11</t>
  </si>
  <si>
    <t>REGINA</t>
  </si>
  <si>
    <t>ALEXANDRE (D)</t>
  </si>
  <si>
    <t>12</t>
  </si>
  <si>
    <t>LARISSA</t>
  </si>
  <si>
    <t>13</t>
  </si>
  <si>
    <t>LUCIANA</t>
  </si>
  <si>
    <t>ANTONIO PEDRO (D)</t>
  </si>
  <si>
    <t>14</t>
  </si>
  <si>
    <t>CAMYLLA</t>
  </si>
  <si>
    <t>15</t>
  </si>
  <si>
    <t>ROGER</t>
  </si>
  <si>
    <t>BRENO (D)</t>
  </si>
  <si>
    <t>16</t>
  </si>
  <si>
    <t>HEBERT</t>
  </si>
  <si>
    <t>LEIA</t>
  </si>
  <si>
    <t>17</t>
  </si>
  <si>
    <t>NAEL</t>
  </si>
  <si>
    <t>CARLOS DANIEL (D)</t>
  </si>
  <si>
    <t>18</t>
  </si>
  <si>
    <t>EDERSON</t>
  </si>
  <si>
    <t>19</t>
  </si>
  <si>
    <t>SUELI</t>
  </si>
  <si>
    <t>GUSTAVO SANTOS (D)</t>
  </si>
  <si>
    <t>20</t>
  </si>
  <si>
    <t>DANILO</t>
  </si>
  <si>
    <t>21</t>
  </si>
  <si>
    <t>MAURY</t>
  </si>
  <si>
    <t>KEVYN (D)</t>
  </si>
  <si>
    <t>22</t>
  </si>
  <si>
    <t>YENIFER</t>
  </si>
  <si>
    <t>23</t>
  </si>
  <si>
    <t>KETHLY</t>
  </si>
  <si>
    <t>MARIA DE LOURDES (D)</t>
  </si>
  <si>
    <t>ANGELICA</t>
  </si>
  <si>
    <t>24</t>
  </si>
  <si>
    <t>LEANDRO</t>
  </si>
  <si>
    <t>25</t>
  </si>
  <si>
    <t>CLEONICE</t>
  </si>
  <si>
    <t>PATRICK (D)</t>
  </si>
  <si>
    <t>26</t>
  </si>
  <si>
    <t>JEAN</t>
  </si>
  <si>
    <t>27</t>
  </si>
  <si>
    <t>VITORIA</t>
  </si>
  <si>
    <t>HELOISA (D)</t>
  </si>
  <si>
    <t>28</t>
  </si>
  <si>
    <t>ANA LUCIA</t>
  </si>
  <si>
    <t>29</t>
  </si>
  <si>
    <t>LUANA ROBERTA</t>
  </si>
  <si>
    <t>LUCAS (D)</t>
  </si>
  <si>
    <t>30</t>
  </si>
  <si>
    <t>FABRICIO (D)</t>
  </si>
  <si>
    <t>31</t>
  </si>
  <si>
    <t>32</t>
  </si>
  <si>
    <t>33</t>
  </si>
  <si>
    <t>34</t>
  </si>
  <si>
    <t>SACAS: CHAIENNY, VIVIAN, JEHFERSON, GABRIEL ALVES
AUDITORIA DE CARRINHOS: KISLAUANE, MARCOS, JOAO GABRIEL</t>
  </si>
  <si>
    <t>6. SR1-6-1-1 — Sexta Zona de vidros e espelhos
7. SR1-7-1-1 — Sétima Zona de valiosos
8. SR1-8-1-1 — Oitava Zona de tintas, frágeis e bigs
9. SR1-9-1-1 — Nona Zona de bulky</t>
  </si>
  <si>
    <t>1. SR1-1-1-1 — Primeira Zona de gaiolas de sortable
2. SR1-2-1-1 — Segunda Zona de adicional. de sortable
3. SR1-3-1-1 — Terceira Zona de ad. de volumosos AM
4. SR1-4-1-1 — Quarta Zona de ad. de volumosos AM99
5. SR1-5-1-1 — Quinta Zona de televisores"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</si>
</sst>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  <font>
      <b/>
      <sz val="16.0"/>
      <color theme="1"/>
      <name val="Arial"/>
    </font>
    <font/>
    <font>
      <b/>
      <sz val="12.0"/>
      <color theme="1"/>
      <name val="Arial"/>
    </font>
    <font>
      <b/>
      <sz val="12.0"/>
      <color rgb="FF000000"/>
      <name val="Times New Roman"/>
    </font>
    <font>
      <color theme="1"/>
      <name val="Arial"/>
      <scheme val="minor"/>
    </font>
    <font>
      <b/>
      <color rgb="FF000000"/>
      <name val="Arial"/>
      <scheme val="minor"/>
    </font>
    <font>
      <b/>
      <sz val="23.0"/>
      <color theme="1"/>
      <name val="Arial"/>
    </font>
    <font>
      <sz val="14.0"/>
      <color theme="1"/>
      <name val="Arial"/>
    </font>
    <font>
      <b/>
      <sz val="12.0"/>
      <color rgb="FF1F1F1F"/>
      <name val="Google Sans"/>
    </font>
    <font>
      <sz val="12.0"/>
      <color rgb="FF000000"/>
      <name val="Times New Roman"/>
    </font>
    <font>
      <b/>
      <sz val="8.0"/>
      <color rgb="FF000000"/>
      <name val="Times New Roman"/>
    </font>
    <font>
      <b/>
      <sz val="10.0"/>
      <color rgb="FF000000"/>
      <name val="Times New Roman"/>
    </font>
    <font>
      <sz val="10.0"/>
      <color rgb="FF000000"/>
      <name val="Times New Roman"/>
    </font>
    <font>
      <b/>
      <sz val="14.0"/>
      <color theme="1"/>
      <name val="Arial"/>
    </font>
    <font>
      <b/>
      <sz val="20.0"/>
      <color theme="1"/>
      <name val="Arial"/>
    </font>
    <font>
      <sz val="12.0"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sz val="11.0"/>
      <color theme="1"/>
      <name val="Times New Roman"/>
    </font>
    <font>
      <sz val="8.0"/>
      <color theme="1"/>
      <name val="Times New Roman"/>
    </font>
    <font>
      <sz val="9.0"/>
      <color theme="1"/>
      <name val="Times New Roman"/>
    </font>
    <font>
      <sz val="8.0"/>
      <color theme="1"/>
      <name val="Arial"/>
    </font>
    <font>
      <sz val="10.0"/>
      <color theme="1"/>
      <name val="Arial"/>
    </font>
    <font>
      <sz val="9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</fills>
  <borders count="58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right style="thick">
        <color rgb="FF000000"/>
      </right>
    </border>
    <border>
      <right style="thin">
        <color rgb="FF000000"/>
      </right>
    </border>
    <border>
      <left style="thick">
        <color rgb="FF000000"/>
      </left>
      <right style="thick">
        <color rgb="FF000000"/>
      </righ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1" fillId="2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5" numFmtId="14" xfId="0" applyAlignment="1" applyBorder="1" applyFont="1" applyNumberFormat="1">
      <alignment horizontal="center" vertical="bottom"/>
    </xf>
    <xf borderId="1" fillId="3" fontId="6" numFmtId="14" xfId="0" applyAlignment="1" applyBorder="1" applyFill="1" applyFont="1" applyNumberFormat="1">
      <alignment horizontal="center" readingOrder="0" vertical="center"/>
    </xf>
    <xf borderId="4" fillId="0" fontId="4" numFmtId="0" xfId="0" applyBorder="1" applyFont="1"/>
    <xf borderId="0" fillId="0" fontId="7" numFmtId="49" xfId="0" applyAlignment="1" applyFont="1" applyNumberFormat="1">
      <alignment readingOrder="0"/>
    </xf>
    <xf borderId="0" fillId="4" fontId="8" numFmtId="49" xfId="0" applyAlignment="1" applyFill="1" applyFont="1" applyNumberFormat="1">
      <alignment readingOrder="0"/>
    </xf>
    <xf borderId="3" fillId="3" fontId="6" numFmtId="0" xfId="0" applyAlignment="1" applyBorder="1" applyFill="1" applyFont="1">
      <alignment horizontal="center" readingOrder="0" vertical="center"/>
    </xf>
    <xf borderId="5" fillId="0" fontId="4" numFmtId="0" xfId="0" applyBorder="1" applyFont="1"/>
    <xf borderId="6" fillId="0" fontId="4" numFmtId="0" xfId="0" applyBorder="1" applyFont="1"/>
    <xf borderId="0" fillId="5" fontId="1" numFmtId="0" xfId="0" applyAlignment="1" applyFill="1" applyFont="1">
      <alignment readingOrder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readingOrder="0"/>
    </xf>
    <xf borderId="3" fillId="3" fontId="6" numFmtId="0" xfId="0" applyAlignment="1" applyBorder="1" applyFill="1" applyFont="1">
      <alignment horizontal="center"/>
    </xf>
    <xf borderId="0" fillId="0" fontId="1" numFmtId="0" xfId="0" applyAlignment="1" applyFont="1">
      <alignment horizontal="right" readingOrder="0" vertical="bottom"/>
    </xf>
    <xf borderId="7" fillId="2" fontId="1" numFmtId="0" xfId="0" applyAlignment="1" applyBorder="1" applyFill="1" applyFont="1">
      <alignment vertical="bottom"/>
    </xf>
    <xf borderId="8" fillId="3" fontId="6" numFmtId="0" xfId="0" applyAlignment="1" applyBorder="1" applyFill="1" applyFont="1">
      <alignment horizontal="center"/>
    </xf>
    <xf borderId="0" fillId="0" fontId="1" numFmtId="0" xfId="0" applyAlignment="1" applyFont="1">
      <alignment vertical="bottom"/>
    </xf>
    <xf borderId="3" fillId="0" fontId="5" numFmtId="0" xfId="0" applyAlignment="1" applyBorder="1" applyFont="1">
      <alignment horizontal="center" vertical="bottom"/>
    </xf>
    <xf borderId="1" fillId="6" fontId="9" numFmtId="0" xfId="0" applyAlignment="1" applyBorder="1" applyFill="1" applyFont="1">
      <alignment horizontal="center"/>
    </xf>
    <xf borderId="3" fillId="3" fontId="6" numFmtId="0" xfId="0" applyAlignment="1" applyBorder="1" applyFill="1" applyFont="1">
      <alignment horizontal="center" readingOrder="0"/>
    </xf>
    <xf borderId="0" fillId="0" fontId="7" numFmtId="49" xfId="0" applyFont="1" applyNumberFormat="1"/>
    <xf borderId="8" fillId="0" fontId="10" numFmtId="0" xfId="0" applyAlignment="1" applyBorder="1" applyFont="1">
      <alignment horizontal="center" vertical="bottom"/>
    </xf>
    <xf borderId="9" fillId="3" fontId="6" numFmtId="0" xfId="0" applyAlignment="1" applyBorder="1" applyFill="1" applyFont="1">
      <alignment horizontal="center"/>
    </xf>
    <xf borderId="0" fillId="5" fontId="11" numFmtId="0" xfId="0" applyAlignment="1" applyFill="1" applyFont="1">
      <alignment horizontal="left"/>
    </xf>
    <xf borderId="9" fillId="7" fontId="6" numFmtId="0" xfId="0" applyAlignment="1" applyBorder="1" applyFill="1" applyFont="1">
      <alignment horizontal="center"/>
    </xf>
    <xf borderId="8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7" fillId="0" fontId="1" numFmtId="0" xfId="0" applyBorder="1" applyFont="1"/>
    <xf borderId="0" fillId="0" fontId="1" numFmtId="0" xfId="0" applyFont="1"/>
    <xf borderId="10" fillId="0" fontId="4" numFmtId="0" xfId="0" applyBorder="1" applyFont="1"/>
    <xf borderId="11" fillId="3" fontId="12" numFmtId="0" xfId="0" applyAlignment="1" applyBorder="1" applyFill="1" applyFont="1">
      <alignment horizontal="center" readingOrder="0" vertical="center"/>
    </xf>
    <xf borderId="12" fillId="0" fontId="1" numFmtId="0" xfId="0" applyBorder="1" applyFont="1"/>
    <xf borderId="13" fillId="3" fontId="12" numFmtId="0" xfId="0" applyAlignment="1" applyBorder="1" applyFill="1" applyFont="1">
      <alignment horizontal="center" vertical="center"/>
    </xf>
    <xf borderId="14" fillId="0" fontId="1" numFmtId="0" xfId="0" applyAlignment="1" applyBorder="1" applyFont="1">
      <alignment vertical="bottom"/>
    </xf>
    <xf borderId="15" fillId="3" fontId="6" numFmtId="0" xfId="0" applyAlignment="1" applyBorder="1" applyFill="1" applyFont="1">
      <alignment horizontal="center" vertical="center"/>
    </xf>
    <xf borderId="14" fillId="0" fontId="1" numFmtId="0" xfId="0" applyAlignment="1" applyBorder="1" applyFont="1">
      <alignment horizontal="right" vertical="bottom"/>
    </xf>
    <xf borderId="0" fillId="3" fontId="12" numFmtId="0" xfId="0" applyAlignment="1" applyFill="1" applyFont="1">
      <alignment horizontal="center" readingOrder="0" vertical="center"/>
    </xf>
    <xf borderId="0" fillId="3" fontId="12" numFmtId="0" xfId="0" applyAlignment="1" applyFill="1" applyFont="1">
      <alignment horizontal="center" vertical="center"/>
    </xf>
    <xf borderId="15" fillId="3" fontId="13" numFmtId="0" xfId="0" applyAlignment="1" applyBorder="1" applyFill="1" applyFont="1">
      <alignment horizontal="center" vertical="center"/>
    </xf>
    <xf borderId="12" fillId="3" fontId="6" numFmtId="0" xfId="0" applyAlignment="1" applyBorder="1" applyFill="1" applyFont="1">
      <alignment horizontal="center" readingOrder="0" vertical="center"/>
    </xf>
    <xf borderId="14" fillId="3" fontId="6" numFmtId="0" xfId="0" applyAlignment="1" applyBorder="1" applyFill="1" applyFont="1">
      <alignment horizontal="center" readingOrder="0" vertical="center"/>
    </xf>
    <xf borderId="12" fillId="0" fontId="1" numFmtId="0" xfId="0" applyAlignment="1" applyBorder="1" applyFont="1">
      <alignment vertical="bottom"/>
    </xf>
    <xf borderId="0" fillId="3" fontId="6" numFmtId="0" xfId="0" applyAlignment="1" applyFill="1" applyFont="1">
      <alignment horizontal="center" readingOrder="0" vertical="center"/>
    </xf>
    <xf borderId="16" fillId="3" fontId="12" numFmtId="0" xfId="0" applyAlignment="1" applyBorder="1" applyFill="1" applyFont="1">
      <alignment horizontal="center" readingOrder="0" vertical="center"/>
    </xf>
    <xf borderId="2" fillId="3" fontId="12" numFmtId="0" xfId="0" applyAlignment="1" applyBorder="1" applyFill="1" applyFont="1">
      <alignment horizontal="center" vertical="center"/>
    </xf>
    <xf borderId="17" fillId="3" fontId="6" numFmtId="0" xfId="0" applyAlignment="1" applyBorder="1" applyFill="1" applyFont="1">
      <alignment horizontal="center" vertical="center"/>
    </xf>
    <xf borderId="6" fillId="3" fontId="6" numFmtId="0" xfId="0" applyAlignment="1" applyBorder="1" applyFill="1" applyFont="1">
      <alignment horizontal="center" readingOrder="0" vertical="center"/>
    </xf>
    <xf borderId="18" fillId="5" fontId="6" numFmtId="0" xfId="0" applyAlignment="1" applyBorder="1" applyFill="1" applyFont="1">
      <alignment horizontal="center"/>
    </xf>
    <xf borderId="19" fillId="5" fontId="6" numFmtId="0" xfId="0" applyAlignment="1" applyBorder="1" applyFill="1" applyFont="1">
      <alignment horizontal="center"/>
    </xf>
    <xf borderId="20" fillId="5" fontId="6" numFmtId="0" xfId="0" applyAlignment="1" applyBorder="1" applyFill="1" applyFont="1">
      <alignment horizontal="center"/>
    </xf>
    <xf borderId="21" fillId="5" fontId="6" numFmtId="0" xfId="0" applyAlignment="1" applyBorder="1" applyFill="1" applyFont="1">
      <alignment horizontal="center"/>
    </xf>
    <xf borderId="22" fillId="5" fontId="6" numFmtId="0" xfId="0" applyAlignment="1" applyBorder="1" applyFill="1" applyFont="1">
      <alignment horizontal="center"/>
    </xf>
    <xf borderId="23" fillId="5" fontId="6" numFmtId="0" xfId="0" applyAlignment="1" applyBorder="1" applyFill="1" applyFont="1">
      <alignment horizontal="center"/>
    </xf>
    <xf borderId="24" fillId="5" fontId="6" numFmtId="0" xfId="0" applyAlignment="1" applyBorder="1" applyFill="1" applyFont="1">
      <alignment horizontal="center"/>
    </xf>
    <xf borderId="25" fillId="5" fontId="6" numFmtId="0" xfId="0" applyAlignment="1" applyBorder="1" applyFill="1" applyFont="1">
      <alignment horizontal="center" readingOrder="0"/>
    </xf>
    <xf borderId="18" fillId="3" fontId="6" numFmtId="0" xfId="0" applyAlignment="1" applyBorder="1" applyFill="1" applyFont="1">
      <alignment horizontal="center"/>
    </xf>
    <xf borderId="19" fillId="3" fontId="6" numFmtId="0" xfId="0" applyAlignment="1" applyBorder="1" applyFill="1" applyFont="1">
      <alignment horizontal="center"/>
    </xf>
    <xf borderId="20" fillId="3" fontId="6" numFmtId="0" xfId="0" applyAlignment="1" applyBorder="1" applyFill="1" applyFont="1">
      <alignment horizontal="center"/>
    </xf>
    <xf borderId="21" fillId="3" fontId="6" numFmtId="0" xfId="0" applyAlignment="1" applyBorder="1" applyFill="1" applyFont="1">
      <alignment horizontal="center"/>
    </xf>
    <xf borderId="22" fillId="3" fontId="6" numFmtId="0" xfId="0" applyAlignment="1" applyBorder="1" applyFill="1" applyFont="1">
      <alignment horizontal="center"/>
    </xf>
    <xf borderId="23" fillId="3" fontId="6" numFmtId="0" xfId="0" applyAlignment="1" applyBorder="1" applyFill="1" applyFont="1">
      <alignment horizontal="center"/>
    </xf>
    <xf borderId="24" fillId="3" fontId="6" numFmtId="0" xfId="0" applyAlignment="1" applyBorder="1" applyFill="1" applyFont="1">
      <alignment horizontal="center"/>
    </xf>
    <xf borderId="25" fillId="3" fontId="6" numFmtId="0" xfId="0" applyAlignment="1" applyBorder="1" applyFill="1" applyFont="1">
      <alignment horizontal="center" readingOrder="0"/>
    </xf>
    <xf borderId="11" fillId="5" fontId="6" numFmtId="0" xfId="0" applyAlignment="1" applyBorder="1" applyFill="1" applyFont="1">
      <alignment horizontal="center"/>
    </xf>
    <xf borderId="26" fillId="5" fontId="6" numFmtId="0" xfId="0" applyAlignment="1" applyBorder="1" applyFill="1" applyFont="1">
      <alignment horizontal="center"/>
    </xf>
    <xf borderId="27" fillId="5" fontId="6" numFmtId="0" xfId="0" applyAlignment="1" applyBorder="1" applyFill="1" applyFont="1">
      <alignment horizontal="center"/>
    </xf>
    <xf borderId="13" fillId="5" fontId="6" numFmtId="0" xfId="0" applyAlignment="1" applyBorder="1" applyFill="1" applyFont="1">
      <alignment horizontal="center"/>
    </xf>
    <xf borderId="12" fillId="5" fontId="6" numFmtId="0" xfId="0" applyAlignment="1" applyBorder="1" applyFill="1" applyFont="1">
      <alignment horizontal="center"/>
    </xf>
    <xf borderId="28" fillId="5" fontId="6" numFmtId="0" xfId="0" applyAlignment="1" applyBorder="1" applyFill="1" applyFont="1">
      <alignment horizontal="center"/>
    </xf>
    <xf borderId="14" fillId="5" fontId="6" numFmtId="0" xfId="0" applyAlignment="1" applyBorder="1" applyFill="1" applyFont="1">
      <alignment horizontal="center"/>
    </xf>
    <xf borderId="29" fillId="5" fontId="6" numFmtId="0" xfId="0" applyAlignment="1" applyBorder="1" applyFill="1" applyFont="1">
      <alignment horizontal="center"/>
    </xf>
    <xf borderId="30" fillId="5" fontId="6" numFmtId="0" xfId="0" applyAlignment="1" applyBorder="1" applyFill="1" applyFont="1">
      <alignment horizontal="center"/>
    </xf>
    <xf borderId="31" fillId="3" fontId="6" numFmtId="0" xfId="0" applyAlignment="1" applyBorder="1" applyFill="1" applyFont="1">
      <alignment horizontal="center"/>
    </xf>
    <xf borderId="32" fillId="3" fontId="6" numFmtId="0" xfId="0" applyAlignment="1" applyBorder="1" applyFill="1" applyFont="1">
      <alignment horizontal="center"/>
    </xf>
    <xf borderId="33" fillId="3" fontId="6" numFmtId="0" xfId="0" applyAlignment="1" applyBorder="1" applyFill="1" applyFont="1">
      <alignment horizontal="center"/>
    </xf>
    <xf borderId="31" fillId="3" fontId="14" numFmtId="0" xfId="0" applyAlignment="1" applyBorder="1" applyFill="1" applyFont="1">
      <alignment horizontal="center"/>
    </xf>
    <xf borderId="34" fillId="3" fontId="15" numFmtId="0" xfId="0" applyAlignment="1" applyBorder="1" applyFill="1" applyFont="1">
      <alignment horizontal="center"/>
    </xf>
    <xf borderId="35" fillId="3" fontId="15" numFmtId="0" xfId="0" applyAlignment="1" applyBorder="1" applyFill="1" applyFont="1">
      <alignment horizontal="center" readingOrder="0"/>
    </xf>
    <xf borderId="36" fillId="3" fontId="15" numFmtId="0" xfId="0" applyAlignment="1" applyBorder="1" applyFill="1" applyFont="1">
      <alignment horizontal="center" readingOrder="0"/>
    </xf>
    <xf borderId="37" fillId="3" fontId="6" numFmtId="0" xfId="0" applyAlignment="1" applyBorder="1" applyFill="1" applyFont="1">
      <alignment horizontal="center" readingOrder="0"/>
    </xf>
    <xf borderId="34" fillId="3" fontId="14" numFmtId="0" xfId="0" applyAlignment="1" applyBorder="1" applyFill="1" applyFont="1">
      <alignment horizontal="center"/>
    </xf>
    <xf borderId="8" fillId="0" fontId="10" numFmtId="0" xfId="0" applyAlignment="1" applyBorder="1" applyFont="1">
      <alignment horizontal="center"/>
    </xf>
    <xf borderId="7" fillId="0" fontId="1" numFmtId="0" xfId="0" applyAlignment="1" applyBorder="1" applyFont="1">
      <alignment vertical="bottom"/>
    </xf>
    <xf borderId="38" fillId="5" fontId="6" numFmtId="0" xfId="0" applyAlignment="1" applyBorder="1" applyFill="1" applyFont="1">
      <alignment horizontal="center"/>
    </xf>
    <xf borderId="39" fillId="5" fontId="6" numFmtId="0" xfId="0" applyAlignment="1" applyBorder="1" applyFill="1" applyFont="1">
      <alignment horizontal="center"/>
    </xf>
    <xf borderId="29" fillId="5" fontId="14" numFmtId="0" xfId="0" applyAlignment="1" applyBorder="1" applyFill="1" applyFont="1">
      <alignment horizontal="center"/>
    </xf>
    <xf borderId="30" fillId="5" fontId="15" numFmtId="0" xfId="0" applyAlignment="1" applyBorder="1" applyFill="1" applyFont="1">
      <alignment horizontal="center"/>
    </xf>
    <xf borderId="40" fillId="5" fontId="15" numFmtId="0" xfId="0" applyAlignment="1" applyBorder="1" applyFill="1" applyFont="1">
      <alignment horizontal="center" readingOrder="0"/>
    </xf>
    <xf borderId="28" fillId="5" fontId="15" numFmtId="0" xfId="0" applyAlignment="1" applyBorder="1" applyFill="1" applyFont="1">
      <alignment horizontal="center" readingOrder="0"/>
    </xf>
    <xf borderId="10" fillId="5" fontId="6" numFmtId="0" xfId="0" applyAlignment="1" applyBorder="1" applyFill="1" applyFont="1">
      <alignment horizontal="center" readingOrder="0"/>
    </xf>
    <xf borderId="30" fillId="5" fontId="14" numFmtId="0" xfId="0" applyAlignment="1" applyBorder="1" applyFill="1" applyFont="1">
      <alignment horizontal="center"/>
    </xf>
    <xf borderId="12" fillId="0" fontId="4" numFmtId="0" xfId="0" applyBorder="1" applyFont="1"/>
    <xf borderId="7" fillId="0" fontId="4" numFmtId="0" xfId="0" applyBorder="1" applyFont="1"/>
    <xf borderId="41" fillId="0" fontId="16" numFmtId="0" xfId="0" applyAlignment="1" applyBorder="1" applyFont="1">
      <alignment horizontal="center" vertical="bottom"/>
    </xf>
    <xf borderId="42" fillId="0" fontId="4" numFmtId="0" xfId="0" applyBorder="1" applyFont="1"/>
    <xf borderId="43" fillId="0" fontId="4" numFmtId="0" xfId="0" applyBorder="1" applyFont="1"/>
    <xf borderId="27" fillId="0" fontId="1" numFmtId="0" xfId="0" applyAlignment="1" applyBorder="1" applyFont="1">
      <alignment readingOrder="0" vertical="bottom"/>
    </xf>
    <xf borderId="44" fillId="0" fontId="1" numFmtId="0" xfId="0" applyAlignment="1" applyBorder="1" applyFont="1">
      <alignment vertical="bottom"/>
    </xf>
    <xf borderId="27" fillId="0" fontId="1" numFmtId="0" xfId="0" applyAlignment="1" applyBorder="1" applyFont="1">
      <alignment vertical="bottom"/>
    </xf>
    <xf borderId="18" fillId="3" fontId="14" numFmtId="0" xfId="0" applyAlignment="1" applyBorder="1" applyFill="1" applyFont="1">
      <alignment horizontal="center"/>
    </xf>
    <xf borderId="21" fillId="3" fontId="15" numFmtId="0" xfId="0" applyAlignment="1" applyBorder="1" applyFill="1" applyFont="1">
      <alignment horizontal="center"/>
    </xf>
    <xf borderId="22" fillId="3" fontId="15" numFmtId="0" xfId="0" applyAlignment="1" applyBorder="1" applyFill="1" applyFont="1">
      <alignment horizontal="center" readingOrder="0"/>
    </xf>
    <xf borderId="23" fillId="3" fontId="15" numFmtId="0" xfId="0" applyAlignment="1" applyBorder="1" applyFill="1" applyFont="1">
      <alignment horizontal="center" readingOrder="0"/>
    </xf>
    <xf borderId="21" fillId="3" fontId="14" numFmtId="0" xfId="0" applyAlignment="1" applyBorder="1" applyFill="1" applyFont="1">
      <alignment horizontal="center"/>
    </xf>
    <xf borderId="45" fillId="0" fontId="1" numFmtId="0" xfId="0" applyAlignment="1" applyBorder="1" applyFont="1">
      <alignment readingOrder="0" vertical="bottom"/>
    </xf>
    <xf borderId="46" fillId="0" fontId="1" numFmtId="0" xfId="0" applyAlignment="1" applyBorder="1" applyFont="1">
      <alignment vertical="bottom"/>
    </xf>
    <xf borderId="47" fillId="0" fontId="1" numFmtId="0" xfId="0" applyAlignment="1" applyBorder="1" applyFont="1">
      <alignment vertical="bottom"/>
    </xf>
    <xf borderId="45" fillId="0" fontId="1" numFmtId="0" xfId="0" applyAlignment="1" applyBorder="1" applyFont="1">
      <alignment vertical="bottom"/>
    </xf>
    <xf borderId="1" fillId="6" fontId="17" numFmtId="0" xfId="0" applyAlignment="1" applyBorder="1" applyFill="1" applyFont="1">
      <alignment horizontal="center"/>
    </xf>
    <xf borderId="1" fillId="0" fontId="18" numFmtId="0" xfId="0" applyAlignment="1" applyBorder="1" applyFont="1">
      <alignment readingOrder="0"/>
    </xf>
    <xf borderId="2" fillId="0" fontId="18" numFmtId="0" xfId="0" applyBorder="1" applyFont="1"/>
    <xf borderId="2" fillId="0" fontId="18" numFmtId="0" xfId="0" applyAlignment="1" applyBorder="1" applyFont="1">
      <alignment readingOrder="0"/>
    </xf>
    <xf borderId="6" fillId="0" fontId="18" numFmtId="0" xfId="0" applyBorder="1" applyFont="1"/>
    <xf borderId="7" fillId="0" fontId="18" numFmtId="0" xfId="0" applyAlignment="1" applyBorder="1" applyFont="1">
      <alignment readingOrder="0"/>
    </xf>
    <xf borderId="0" fillId="0" fontId="18" numFmtId="0" xfId="0" applyFont="1"/>
    <xf borderId="0" fillId="0" fontId="18" numFmtId="0" xfId="0" applyAlignment="1" applyFont="1">
      <alignment readingOrder="0"/>
    </xf>
    <xf borderId="12" fillId="0" fontId="18" numFmtId="0" xfId="0" applyBorder="1" applyFont="1"/>
    <xf borderId="27" fillId="0" fontId="18" numFmtId="0" xfId="0" applyAlignment="1" applyBorder="1" applyFont="1">
      <alignment readingOrder="0" vertical="bottom"/>
    </xf>
    <xf borderId="18" fillId="5" fontId="14" numFmtId="0" xfId="0" applyAlignment="1" applyBorder="1" applyFill="1" applyFont="1">
      <alignment horizontal="center"/>
    </xf>
    <xf borderId="48" fillId="2" fontId="1" numFmtId="0" xfId="0" applyAlignment="1" applyBorder="1" applyFill="1" applyFont="1">
      <alignment vertical="bottom"/>
    </xf>
    <xf borderId="21" fillId="5" fontId="15" numFmtId="0" xfId="0" applyAlignment="1" applyBorder="1" applyFill="1" applyFont="1">
      <alignment horizontal="center"/>
    </xf>
    <xf borderId="22" fillId="5" fontId="15" numFmtId="0" xfId="0" applyAlignment="1" applyBorder="1" applyFill="1" applyFont="1">
      <alignment horizontal="center" readingOrder="0"/>
    </xf>
    <xf borderId="23" fillId="5" fontId="15" numFmtId="0" xfId="0" applyAlignment="1" applyBorder="1" applyFill="1" applyFont="1">
      <alignment horizontal="center" readingOrder="0"/>
    </xf>
    <xf borderId="0" fillId="0" fontId="7" numFmtId="0" xfId="0" applyAlignment="1" applyFont="1">
      <alignment readingOrder="0"/>
    </xf>
    <xf borderId="21" fillId="5" fontId="14" numFmtId="0" xfId="0" applyAlignment="1" applyBorder="1" applyFill="1" applyFont="1">
      <alignment horizontal="center"/>
    </xf>
    <xf borderId="0" fillId="0" fontId="1" numFmtId="0" xfId="0" applyFont="1"/>
    <xf borderId="10" fillId="0" fontId="1" numFmtId="0" xfId="0" applyAlignment="1" applyBorder="1" applyFont="1">
      <alignment vertical="bottom"/>
    </xf>
    <xf borderId="28" fillId="0" fontId="1" numFmtId="0" xfId="0" applyAlignment="1" applyBorder="1" applyFont="1">
      <alignment vertical="bottom"/>
    </xf>
    <xf borderId="48" fillId="0" fontId="1" numFmtId="0" xfId="0" applyAlignment="1" applyBorder="1" applyFont="1">
      <alignment vertical="bottom"/>
    </xf>
    <xf borderId="0" fillId="0" fontId="7" numFmtId="0" xfId="0" applyFont="1"/>
    <xf borderId="0" fillId="0" fontId="1" numFmtId="11" xfId="0" applyFont="1" applyNumberFormat="1"/>
    <xf borderId="0" fillId="0" fontId="2" numFmtId="0" xfId="0" applyFont="1"/>
    <xf borderId="19" fillId="3" fontId="12" numFmtId="0" xfId="0" applyAlignment="1" applyBorder="1" applyFill="1" applyFont="1">
      <alignment horizontal="center" readingOrder="0"/>
    </xf>
    <xf borderId="20" fillId="3" fontId="12" numFmtId="0" xfId="0" applyAlignment="1" applyBorder="1" applyFill="1" applyFont="1">
      <alignment horizontal="center" readingOrder="0"/>
    </xf>
    <xf borderId="19" fillId="5" fontId="12" numFmtId="0" xfId="0" applyAlignment="1" applyBorder="1" applyFill="1" applyFont="1">
      <alignment horizontal="center" readingOrder="0"/>
    </xf>
    <xf borderId="20" fillId="5" fontId="12" numFmtId="0" xfId="0" applyAlignment="1" applyBorder="1" applyFill="1" applyFont="1">
      <alignment horizontal="center" readingOrder="0"/>
    </xf>
    <xf borderId="0" fillId="5" fontId="1" numFmtId="0" xfId="0" applyFill="1" applyFont="1"/>
    <xf borderId="19" fillId="5" fontId="12" numFmtId="0" xfId="0" applyAlignment="1" applyBorder="1" applyFill="1" applyFont="1">
      <alignment horizontal="center"/>
    </xf>
    <xf borderId="49" fillId="8" fontId="19" numFmtId="49" xfId="0" applyAlignment="1" applyBorder="1" applyFill="1" applyFont="1" applyNumberFormat="1">
      <alignment horizontal="center"/>
    </xf>
    <xf borderId="45" fillId="8" fontId="20" numFmtId="49" xfId="0" applyAlignment="1" applyBorder="1" applyFill="1" applyFont="1" applyNumberFormat="1">
      <alignment horizontal="center" readingOrder="0"/>
    </xf>
    <xf borderId="45" fillId="8" fontId="19" numFmtId="49" xfId="0" applyAlignment="1" applyBorder="1" applyFill="1" applyFont="1" applyNumberFormat="1">
      <alignment horizontal="center"/>
    </xf>
    <xf borderId="29" fillId="8" fontId="21" numFmtId="49" xfId="0" applyAlignment="1" applyBorder="1" applyFill="1" applyFont="1" applyNumberFormat="1">
      <alignment horizontal="center"/>
    </xf>
    <xf borderId="30" fillId="8" fontId="22" numFmtId="49" xfId="0" applyAlignment="1" applyBorder="1" applyFill="1" applyFont="1" applyNumberFormat="1">
      <alignment horizontal="center"/>
    </xf>
    <xf borderId="10" fillId="5" fontId="6" numFmtId="49" xfId="0" applyAlignment="1" applyBorder="1" applyFill="1" applyFont="1" applyNumberFormat="1">
      <alignment horizontal="center"/>
    </xf>
    <xf borderId="30" fillId="8" fontId="21" numFmtId="49" xfId="0" applyAlignment="1" applyBorder="1" applyFill="1" applyFont="1" applyNumberFormat="1">
      <alignment horizontal="center"/>
    </xf>
    <xf borderId="20" fillId="9" fontId="19" numFmtId="0" xfId="0" applyAlignment="1" applyBorder="1" applyFill="1" applyFont="1">
      <alignment horizontal="center"/>
    </xf>
    <xf borderId="25" fillId="9" fontId="20" numFmtId="0" xfId="0" applyAlignment="1" applyBorder="1" applyFill="1" applyFont="1">
      <alignment horizontal="left" shrinkToFit="0" wrapText="0"/>
    </xf>
    <xf borderId="50" fillId="9" fontId="20" numFmtId="0" xfId="0" applyAlignment="1" applyBorder="1" applyFill="1" applyFont="1">
      <alignment horizontal="left" shrinkToFit="0" wrapText="0"/>
    </xf>
    <xf borderId="21" fillId="9" fontId="23" numFmtId="0" xfId="0" applyAlignment="1" applyBorder="1" applyFill="1" applyFont="1">
      <alignment horizontal="left" shrinkToFit="0" wrapText="0"/>
    </xf>
    <xf borderId="21" fillId="9" fontId="23" numFmtId="0" xfId="0" applyAlignment="1" applyBorder="1" applyFill="1" applyFont="1">
      <alignment horizontal="center" shrinkToFit="0" wrapText="0"/>
    </xf>
    <xf borderId="21" fillId="9" fontId="20" numFmtId="0" xfId="0" applyAlignment="1" applyBorder="1" applyFill="1" applyFont="1">
      <alignment horizontal="left" shrinkToFit="0" wrapText="0"/>
    </xf>
    <xf borderId="21" fillId="9" fontId="24" numFmtId="0" xfId="0" applyAlignment="1" applyBorder="1" applyFill="1" applyFont="1">
      <alignment horizontal="center" shrinkToFit="0" wrapText="0"/>
    </xf>
    <xf borderId="51" fillId="9" fontId="25" numFmtId="0" xfId="0" applyAlignment="1" applyBorder="1" applyFill="1" applyFont="1">
      <alignment horizontal="center" shrinkToFit="0" wrapText="0"/>
    </xf>
    <xf borderId="22" fillId="9" fontId="25" numFmtId="0" xfId="0" applyAlignment="1" applyBorder="1" applyFill="1" applyFont="1">
      <alignment horizontal="center" shrinkToFit="0" wrapText="0"/>
    </xf>
    <xf borderId="51" fillId="9" fontId="20" numFmtId="0" xfId="0" applyAlignment="1" applyBorder="1" applyFill="1" applyFont="1">
      <alignment horizontal="left" shrinkToFit="0" wrapText="0"/>
    </xf>
    <xf borderId="22" fillId="9" fontId="20" numFmtId="0" xfId="0" applyAlignment="1" applyBorder="1" applyFill="1" applyFont="1">
      <alignment horizontal="left" shrinkToFit="0" wrapText="0"/>
    </xf>
    <xf borderId="0" fillId="9" fontId="20" numFmtId="0" xfId="0" applyAlignment="1" applyFill="1" applyFont="1">
      <alignment horizontal="left" shrinkToFit="0" wrapText="0"/>
    </xf>
    <xf borderId="52" fillId="5" fontId="19" numFmtId="0" xfId="0" applyAlignment="1" applyBorder="1" applyFill="1" applyFont="1">
      <alignment horizontal="center" shrinkToFit="0" wrapText="0"/>
    </xf>
    <xf borderId="53" fillId="5" fontId="20" numFmtId="0" xfId="0" applyAlignment="1" applyBorder="1" applyFill="1" applyFont="1">
      <alignment horizontal="left" shrinkToFit="0" wrapText="0"/>
    </xf>
    <xf borderId="53" fillId="5" fontId="19" numFmtId="0" xfId="0" applyAlignment="1" applyBorder="1" applyFill="1" applyFont="1">
      <alignment horizontal="left" shrinkToFit="0" wrapText="0"/>
    </xf>
    <xf borderId="53" fillId="5" fontId="20" numFmtId="0" xfId="0" applyAlignment="1" applyBorder="1" applyFill="1" applyFont="1">
      <alignment horizontal="center" shrinkToFit="0" wrapText="0"/>
    </xf>
    <xf borderId="53" fillId="5" fontId="24" numFmtId="0" xfId="0" applyAlignment="1" applyBorder="1" applyFill="1" applyFont="1">
      <alignment horizontal="center" shrinkToFit="0" wrapText="0"/>
    </xf>
    <xf borderId="54" fillId="5" fontId="25" numFmtId="0" xfId="0" applyAlignment="1" applyBorder="1" applyFill="1" applyFont="1">
      <alignment horizontal="center" shrinkToFit="0" wrapText="0"/>
    </xf>
    <xf borderId="53" fillId="5" fontId="25" numFmtId="0" xfId="0" applyAlignment="1" applyBorder="1" applyFill="1" applyFont="1">
      <alignment horizontal="center" shrinkToFit="0" wrapText="0"/>
    </xf>
    <xf borderId="54" fillId="5" fontId="20" numFmtId="0" xfId="0" applyAlignment="1" applyBorder="1" applyFill="1" applyFont="1">
      <alignment horizontal="left" shrinkToFit="0" wrapText="0"/>
    </xf>
    <xf borderId="0" fillId="5" fontId="20" numFmtId="0" xfId="0" applyAlignment="1" applyFill="1" applyFont="1">
      <alignment horizontal="left" shrinkToFit="0" wrapText="0"/>
    </xf>
    <xf borderId="53" fillId="5" fontId="19" numFmtId="0" xfId="0" applyAlignment="1" applyBorder="1" applyFill="1" applyFont="1">
      <alignment horizontal="center" shrinkToFit="0" wrapText="0"/>
    </xf>
    <xf borderId="55" fillId="9" fontId="10" numFmtId="0" xfId="0" applyAlignment="1" applyBorder="1" applyFill="1" applyFont="1">
      <alignment readingOrder="0" shrinkToFit="0" vertical="center" wrapText="1"/>
    </xf>
    <xf borderId="56" fillId="0" fontId="4" numFmtId="0" xfId="0" applyBorder="1" applyFont="1"/>
    <xf borderId="57" fillId="0" fontId="4" numFmtId="0" xfId="0" applyBorder="1" applyFont="1"/>
    <xf borderId="0" fillId="8" fontId="26" numFmtId="0" xfId="0" applyAlignment="1" applyFill="1" applyFont="1">
      <alignment horizontal="center"/>
    </xf>
    <xf borderId="0" fillId="8" fontId="27" numFmtId="0" xfId="0" applyAlignment="1" applyFill="1" applyFont="1">
      <alignment horizontal="left" readingOrder="0"/>
    </xf>
    <xf borderId="0" fillId="0" fontId="1" numFmtId="0" xfId="0" applyAlignment="1" applyFont="1">
      <alignment readingOrder="0" vertical="center"/>
    </xf>
    <xf borderId="0" fillId="8" fontId="1" numFmtId="0" xfId="0" applyAlignment="1" applyFill="1" applyFont="1">
      <alignment horizontal="left"/>
    </xf>
    <xf borderId="0" fillId="8" fontId="28" numFmtId="0" xfId="0" applyAlignment="1" applyFill="1" applyFont="1">
      <alignment horizontal="center"/>
    </xf>
    <xf borderId="0" fillId="0" fontId="1" numFmtId="0" xfId="0" applyAlignment="1" applyFont="1">
      <alignment horizontal="center"/>
    </xf>
    <xf borderId="0" fillId="0" fontId="26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28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5"/>
    <col customWidth="1" hidden="1" min="2" max="2" width="11.75"/>
    <col customWidth="1" min="3" max="3" width="12.13"/>
    <col customWidth="1" min="4" max="4" width="10.38"/>
    <col customWidth="1" min="5" max="5" width="5.25"/>
    <col customWidth="1" min="6" max="6" width="24.25"/>
    <col customWidth="1" min="7" max="7" width="12.13"/>
    <col customWidth="1" min="8" max="8" width="23.0"/>
    <col customWidth="1" min="9" max="9" width="9.88"/>
    <col customWidth="1" min="10" max="10" width="16.13"/>
    <col customWidth="1" min="11" max="11" width="4.75"/>
    <col customWidth="1" min="12" max="14" width="9.38"/>
    <col customWidth="1" min="15" max="15" width="12.88"/>
    <col customWidth="1" min="16" max="16" width="14.13"/>
    <col customWidth="1" min="17" max="17" width="15.5"/>
    <col customWidth="1" min="18" max="18" width="12.5"/>
    <col customWidth="1" min="19" max="19" width="11.25"/>
    <col customWidth="1" min="20" max="20" width="14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/>
      <c r="N1" s="1"/>
      <c r="P1" s="8" t="s">
        <v>13</v>
      </c>
      <c r="Q1" s="9" t="s">
        <v>14</v>
      </c>
      <c r="R1" s="8" t="s">
        <v>16</v>
      </c>
      <c r="S1" s="8" t="s">
        <v>17</v>
      </c>
      <c r="T1" s="13" t="s">
        <v>0</v>
      </c>
    </row>
    <row r="2" ht="15.75" customHeight="1">
      <c r="A2" s="16" t="s">
        <v>18</v>
      </c>
      <c r="B2" s="18">
        <v>5.03162210016E11</v>
      </c>
      <c r="C2" s="1" t="s">
        <v>19</v>
      </c>
      <c r="D2" s="1" t="s">
        <v>20</v>
      </c>
      <c r="E2" s="1">
        <v>1.0</v>
      </c>
      <c r="F2" s="1" t="s">
        <v>21</v>
      </c>
      <c r="G2" s="1" t="s">
        <v>22</v>
      </c>
      <c r="H2" s="1" t="s">
        <v>25</v>
      </c>
      <c r="I2" s="21"/>
      <c r="J2" s="1" t="s">
        <v>26</v>
      </c>
      <c r="K2" s="18">
        <v>95.0</v>
      </c>
      <c r="L2" s="1" t="s">
        <v>27</v>
      </c>
      <c r="M2" s="1"/>
      <c r="N2" s="1"/>
      <c r="P2" s="25" t="str">
        <f t="shared" ref="P2:P75" si="2">IFERROR(CONCATENATE(A2," - ",Q2),"")</f>
        <v>Onda 3 - DOCA 1</v>
      </c>
      <c r="Q2" s="25" t="str">
        <f t="shared" ref="Q2:Q458" si="3">IFERROR(CONCATENATE(IF(OR(E2=1,E2=2),CONCAT("DOCA ",E2),E2)),"")</f>
        <v>DOCA 1</v>
      </c>
      <c r="R2" s="25" t="str">
        <f t="shared" ref="R2:S2" si="1">C2</f>
        <v>VM9_AM1</v>
      </c>
      <c r="S2" s="25" t="str">
        <f t="shared" si="1"/>
        <v>AM1_52</v>
      </c>
      <c r="T2" s="13" t="str">
        <f t="shared" ref="T2:T497" si="5">A2:A447</f>
        <v>Onda 3</v>
      </c>
      <c r="U2" s="28"/>
    </row>
    <row r="3" ht="15.75" customHeight="1">
      <c r="A3" s="1" t="s">
        <v>18</v>
      </c>
      <c r="B3" s="18">
        <v>5.03162211008E11</v>
      </c>
      <c r="C3" s="1" t="s">
        <v>34</v>
      </c>
      <c r="D3" s="1" t="s">
        <v>35</v>
      </c>
      <c r="E3" s="1">
        <v>2.0</v>
      </c>
      <c r="F3" s="1" t="s">
        <v>21</v>
      </c>
      <c r="G3" s="1" t="s">
        <v>37</v>
      </c>
      <c r="H3" s="1" t="s">
        <v>25</v>
      </c>
      <c r="I3" s="1" t="s">
        <v>38</v>
      </c>
      <c r="J3" s="1" t="s">
        <v>26</v>
      </c>
      <c r="K3" s="18">
        <v>277.0</v>
      </c>
      <c r="L3" s="1" t="s">
        <v>39</v>
      </c>
      <c r="M3" s="1"/>
      <c r="N3" s="1"/>
      <c r="P3" s="25" t="str">
        <f t="shared" si="2"/>
        <v>Onda 3 - DOCA 2</v>
      </c>
      <c r="Q3" s="25" t="str">
        <f t="shared" si="3"/>
        <v>DOCA 2</v>
      </c>
      <c r="R3" s="25" t="str">
        <f t="shared" ref="R3:S3" si="4">C3</f>
        <v>VN7_AM1</v>
      </c>
      <c r="S3" s="25" t="str">
        <f t="shared" si="4"/>
        <v>AM1_64</v>
      </c>
      <c r="T3" s="13" t="str">
        <f t="shared" si="5"/>
        <v>Onda 3</v>
      </c>
      <c r="U3" s="28"/>
    </row>
    <row r="4" ht="15.75" customHeight="1">
      <c r="A4" s="1" t="s">
        <v>18</v>
      </c>
      <c r="B4" s="18">
        <v>5.03162697006E11</v>
      </c>
      <c r="C4" s="1" t="s">
        <v>43</v>
      </c>
      <c r="D4" s="1" t="s">
        <v>44</v>
      </c>
      <c r="E4" s="1">
        <v>9.0</v>
      </c>
      <c r="F4" s="1" t="s">
        <v>21</v>
      </c>
      <c r="G4" s="1" t="s">
        <v>46</v>
      </c>
      <c r="H4" s="1" t="s">
        <v>47</v>
      </c>
      <c r="I4" s="21"/>
      <c r="J4" s="1" t="s">
        <v>48</v>
      </c>
      <c r="K4" s="18">
        <v>22.0</v>
      </c>
      <c r="L4" s="1" t="s">
        <v>49</v>
      </c>
      <c r="M4" s="1"/>
      <c r="N4" s="1"/>
      <c r="P4" s="25" t="str">
        <f t="shared" si="2"/>
        <v>Onda 3 - 9</v>
      </c>
      <c r="Q4" s="25" t="str">
        <f t="shared" si="3"/>
        <v>9</v>
      </c>
      <c r="R4" s="25" t="str">
        <f t="shared" ref="R4:S4" si="6">C4</f>
        <v>Q11_AM1</v>
      </c>
      <c r="S4" s="25" t="str">
        <f t="shared" si="6"/>
        <v>AM1_118</v>
      </c>
      <c r="T4" s="13" t="str">
        <f t="shared" si="5"/>
        <v>Onda 3</v>
      </c>
      <c r="U4" s="28"/>
    </row>
    <row r="5" ht="15.75" customHeight="1">
      <c r="A5" s="1" t="s">
        <v>18</v>
      </c>
      <c r="B5" s="18">
        <v>5.0316221002E11</v>
      </c>
      <c r="C5" s="1" t="s">
        <v>54</v>
      </c>
      <c r="D5" s="1" t="s">
        <v>55</v>
      </c>
      <c r="E5" s="1">
        <v>10.0</v>
      </c>
      <c r="F5" s="1" t="s">
        <v>56</v>
      </c>
      <c r="G5" s="1" t="s">
        <v>57</v>
      </c>
      <c r="H5" s="1" t="s">
        <v>58</v>
      </c>
      <c r="I5" s="21"/>
      <c r="J5" s="1" t="s">
        <v>26</v>
      </c>
      <c r="K5" s="18">
        <v>90.0</v>
      </c>
      <c r="L5" s="1" t="s">
        <v>27</v>
      </c>
      <c r="M5" s="1"/>
      <c r="N5" s="1"/>
      <c r="P5" s="25" t="str">
        <f t="shared" si="2"/>
        <v>Onda 3 - 10</v>
      </c>
      <c r="Q5" s="25" t="str">
        <f t="shared" si="3"/>
        <v>10</v>
      </c>
      <c r="R5" s="25" t="str">
        <f t="shared" ref="R5:S5" si="7">C5</f>
        <v>P11_AM1</v>
      </c>
      <c r="S5" s="25" t="str">
        <f t="shared" si="7"/>
        <v>AM1_56</v>
      </c>
      <c r="T5" s="13" t="str">
        <f t="shared" si="5"/>
        <v>Onda 3</v>
      </c>
      <c r="U5" s="28"/>
    </row>
    <row r="6" ht="15.75" customHeight="1">
      <c r="A6" s="1" t="s">
        <v>18</v>
      </c>
      <c r="B6" s="18">
        <v>5.03162211015E11</v>
      </c>
      <c r="C6" s="1" t="s">
        <v>63</v>
      </c>
      <c r="D6" s="1" t="s">
        <v>64</v>
      </c>
      <c r="E6" s="1">
        <v>11.0</v>
      </c>
      <c r="F6" s="1" t="s">
        <v>65</v>
      </c>
      <c r="G6" s="1" t="s">
        <v>67</v>
      </c>
      <c r="H6" s="1" t="s">
        <v>58</v>
      </c>
      <c r="I6" s="21"/>
      <c r="J6" s="1" t="s">
        <v>26</v>
      </c>
      <c r="K6" s="18">
        <v>138.0</v>
      </c>
      <c r="L6" s="1" t="s">
        <v>39</v>
      </c>
      <c r="M6" s="1"/>
      <c r="N6" s="1"/>
      <c r="P6" s="25" t="str">
        <f t="shared" si="2"/>
        <v>Onda 3 - 11</v>
      </c>
      <c r="Q6" s="25" t="str">
        <f t="shared" si="3"/>
        <v>11</v>
      </c>
      <c r="R6" s="25" t="str">
        <f t="shared" ref="R6:S6" si="8">C6</f>
        <v>P1_AM1</v>
      </c>
      <c r="S6" s="25" t="str">
        <f t="shared" si="8"/>
        <v>AM1_71</v>
      </c>
      <c r="T6" s="13" t="str">
        <f t="shared" si="5"/>
        <v>Onda 3</v>
      </c>
      <c r="U6" s="28"/>
    </row>
    <row r="7" ht="15.75" customHeight="1">
      <c r="A7" s="1" t="s">
        <v>18</v>
      </c>
      <c r="B7" s="18">
        <v>5.03162209002E11</v>
      </c>
      <c r="C7" s="1" t="s">
        <v>68</v>
      </c>
      <c r="D7" s="1" t="s">
        <v>69</v>
      </c>
      <c r="E7" s="1">
        <v>12.0</v>
      </c>
      <c r="F7" s="1" t="s">
        <v>70</v>
      </c>
      <c r="G7" s="1" t="s">
        <v>71</v>
      </c>
      <c r="H7" s="1" t="s">
        <v>72</v>
      </c>
      <c r="I7" s="21"/>
      <c r="J7" s="1" t="s">
        <v>48</v>
      </c>
      <c r="K7" s="18">
        <v>140.0</v>
      </c>
      <c r="L7" s="1" t="s">
        <v>73</v>
      </c>
      <c r="M7" s="1"/>
      <c r="N7" s="1"/>
      <c r="P7" s="25" t="str">
        <f t="shared" si="2"/>
        <v>Onda 3 - 12</v>
      </c>
      <c r="Q7" s="25" t="str">
        <f t="shared" si="3"/>
        <v>12</v>
      </c>
      <c r="R7" s="25" t="str">
        <f t="shared" ref="R7:S7" si="9">C7</f>
        <v>Q2_AM1</v>
      </c>
      <c r="S7" s="25" t="str">
        <f t="shared" si="9"/>
        <v>AM1_16</v>
      </c>
      <c r="T7" s="13" t="str">
        <f t="shared" si="5"/>
        <v>Onda 3</v>
      </c>
      <c r="U7" s="28"/>
    </row>
    <row r="8" ht="15.75" customHeight="1">
      <c r="A8" s="1" t="s">
        <v>18</v>
      </c>
      <c r="B8" s="18">
        <v>5.0316221101E11</v>
      </c>
      <c r="C8" s="1" t="s">
        <v>76</v>
      </c>
      <c r="D8" s="1" t="s">
        <v>77</v>
      </c>
      <c r="E8" s="1">
        <v>13.0</v>
      </c>
      <c r="F8" s="1" t="s">
        <v>70</v>
      </c>
      <c r="G8" s="1" t="s">
        <v>78</v>
      </c>
      <c r="H8" s="1" t="s">
        <v>58</v>
      </c>
      <c r="I8" s="21"/>
      <c r="J8" s="1" t="s">
        <v>26</v>
      </c>
      <c r="K8" s="18">
        <v>91.0</v>
      </c>
      <c r="L8" s="1" t="s">
        <v>39</v>
      </c>
      <c r="M8" s="1"/>
      <c r="N8" s="1"/>
      <c r="P8" s="25" t="str">
        <f t="shared" si="2"/>
        <v>Onda 3 - 13</v>
      </c>
      <c r="Q8" s="25" t="str">
        <f t="shared" si="3"/>
        <v>13</v>
      </c>
      <c r="R8" s="25" t="str">
        <f t="shared" ref="R8:S8" si="10">C8</f>
        <v>P10_AM1</v>
      </c>
      <c r="S8" s="25" t="str">
        <f t="shared" si="10"/>
        <v>AM1_66</v>
      </c>
      <c r="T8" s="13" t="str">
        <f t="shared" si="5"/>
        <v>Onda 3</v>
      </c>
      <c r="U8" s="28"/>
    </row>
    <row r="9" ht="15.75" customHeight="1">
      <c r="A9" s="1" t="s">
        <v>18</v>
      </c>
      <c r="B9" s="18">
        <v>5.03162210006E11</v>
      </c>
      <c r="C9" s="1" t="s">
        <v>81</v>
      </c>
      <c r="D9" s="1" t="s">
        <v>82</v>
      </c>
      <c r="E9" s="1">
        <v>14.0</v>
      </c>
      <c r="F9" s="1" t="s">
        <v>70</v>
      </c>
      <c r="G9" s="1" t="s">
        <v>83</v>
      </c>
      <c r="H9" s="1" t="s">
        <v>72</v>
      </c>
      <c r="I9" s="21"/>
      <c r="J9" s="1" t="s">
        <v>26</v>
      </c>
      <c r="K9" s="18">
        <v>75.0</v>
      </c>
      <c r="L9" s="1" t="s">
        <v>27</v>
      </c>
      <c r="M9" s="1"/>
      <c r="N9" s="1"/>
      <c r="P9" s="25" t="str">
        <f t="shared" si="2"/>
        <v>Onda 3 - 14</v>
      </c>
      <c r="Q9" s="25" t="str">
        <f t="shared" si="3"/>
        <v>14</v>
      </c>
      <c r="R9" s="25" t="str">
        <f t="shared" ref="R9:S9" si="11">C9</f>
        <v>P12_AM1</v>
      </c>
      <c r="S9" s="25" t="str">
        <f t="shared" si="11"/>
        <v>AM1_42</v>
      </c>
      <c r="T9" s="13" t="str">
        <f t="shared" si="5"/>
        <v>Onda 3</v>
      </c>
      <c r="U9" s="28"/>
    </row>
    <row r="10" ht="15.75" customHeight="1">
      <c r="A10" s="1" t="s">
        <v>18</v>
      </c>
      <c r="B10" s="18">
        <v>5.03162052001E11</v>
      </c>
      <c r="C10" s="1" t="s">
        <v>84</v>
      </c>
      <c r="D10" s="1" t="s">
        <v>85</v>
      </c>
      <c r="E10" s="1">
        <v>15.0</v>
      </c>
      <c r="F10" s="1" t="s">
        <v>86</v>
      </c>
      <c r="G10" s="1" t="s">
        <v>87</v>
      </c>
      <c r="H10" s="1" t="s">
        <v>72</v>
      </c>
      <c r="I10" s="21"/>
      <c r="J10" s="1" t="s">
        <v>48</v>
      </c>
      <c r="K10" s="18">
        <v>202.0</v>
      </c>
      <c r="L10" s="1" t="s">
        <v>88</v>
      </c>
      <c r="M10" s="1"/>
      <c r="N10" s="1"/>
      <c r="P10" s="25" t="str">
        <f t="shared" si="2"/>
        <v>Onda 3 - 15</v>
      </c>
      <c r="Q10" s="25" t="str">
        <f t="shared" si="3"/>
        <v>15</v>
      </c>
      <c r="R10" s="25" t="str">
        <f t="shared" ref="R10:S10" si="12">C10</f>
        <v>Q1_AM1</v>
      </c>
      <c r="S10" s="25" t="str">
        <f t="shared" si="12"/>
        <v>AM1_4</v>
      </c>
      <c r="T10" s="13" t="str">
        <f t="shared" si="5"/>
        <v>Onda 3</v>
      </c>
      <c r="U10" s="28"/>
    </row>
    <row r="11" ht="15.75" customHeight="1">
      <c r="A11" s="1" t="s">
        <v>18</v>
      </c>
      <c r="B11" s="18">
        <v>5.03162052005E11</v>
      </c>
      <c r="C11" s="1" t="s">
        <v>89</v>
      </c>
      <c r="D11" s="1" t="s">
        <v>90</v>
      </c>
      <c r="E11" s="1">
        <v>16.0</v>
      </c>
      <c r="F11" s="1" t="s">
        <v>86</v>
      </c>
      <c r="G11" s="1" t="s">
        <v>91</v>
      </c>
      <c r="H11" s="1" t="s">
        <v>92</v>
      </c>
      <c r="I11" s="21"/>
      <c r="J11" s="1" t="s">
        <v>48</v>
      </c>
      <c r="K11" s="18">
        <v>98.0</v>
      </c>
      <c r="L11" s="1" t="s">
        <v>88</v>
      </c>
      <c r="M11" s="1"/>
      <c r="N11" s="1"/>
      <c r="P11" s="25" t="str">
        <f t="shared" si="2"/>
        <v>Onda 3 - 16</v>
      </c>
      <c r="Q11" s="25" t="str">
        <f t="shared" si="3"/>
        <v>16</v>
      </c>
      <c r="R11" s="25" t="str">
        <f t="shared" ref="R11:S11" si="13">C11</f>
        <v>Q10_AM1</v>
      </c>
      <c r="S11" s="25" t="str">
        <f t="shared" si="13"/>
        <v>AM1_8</v>
      </c>
      <c r="T11" s="13" t="str">
        <f t="shared" si="5"/>
        <v>Onda 3</v>
      </c>
      <c r="U11" s="28"/>
    </row>
    <row r="12" ht="15.75" customHeight="1">
      <c r="A12" s="1" t="s">
        <v>18</v>
      </c>
      <c r="B12" s="18">
        <v>5.03162052006E11</v>
      </c>
      <c r="C12" s="1" t="s">
        <v>93</v>
      </c>
      <c r="D12" s="1" t="s">
        <v>94</v>
      </c>
      <c r="E12" s="1">
        <v>17.0</v>
      </c>
      <c r="F12" s="1" t="s">
        <v>86</v>
      </c>
      <c r="G12" s="1" t="s">
        <v>95</v>
      </c>
      <c r="H12" s="1" t="s">
        <v>92</v>
      </c>
      <c r="I12" s="21"/>
      <c r="J12" s="1" t="s">
        <v>48</v>
      </c>
      <c r="K12" s="18">
        <v>106.0</v>
      </c>
      <c r="L12" s="1" t="s">
        <v>88</v>
      </c>
      <c r="M12" s="1"/>
      <c r="N12" s="1"/>
      <c r="P12" s="25" t="str">
        <f t="shared" si="2"/>
        <v>Onda 3 - 17</v>
      </c>
      <c r="Q12" s="25" t="str">
        <f t="shared" si="3"/>
        <v>17</v>
      </c>
      <c r="R12" s="25" t="str">
        <f t="shared" ref="R12:S12" si="14">C12</f>
        <v>P5_AM1</v>
      </c>
      <c r="S12" s="25" t="str">
        <f t="shared" si="14"/>
        <v>AM1_9</v>
      </c>
      <c r="T12" s="13" t="str">
        <f t="shared" si="5"/>
        <v>Onda 3</v>
      </c>
      <c r="U12" s="28"/>
    </row>
    <row r="13" ht="15.75" customHeight="1">
      <c r="A13" s="1" t="s">
        <v>18</v>
      </c>
      <c r="B13" s="18">
        <v>5.03162209005E11</v>
      </c>
      <c r="C13" s="1" t="s">
        <v>97</v>
      </c>
      <c r="D13" s="1" t="s">
        <v>98</v>
      </c>
      <c r="E13" s="1">
        <v>18.0</v>
      </c>
      <c r="F13" s="1" t="s">
        <v>21</v>
      </c>
      <c r="G13" s="1" t="s">
        <v>99</v>
      </c>
      <c r="H13" s="1" t="s">
        <v>100</v>
      </c>
      <c r="I13" s="21"/>
      <c r="J13" s="1" t="s">
        <v>101</v>
      </c>
      <c r="K13" s="18">
        <v>96.0</v>
      </c>
      <c r="L13" s="1" t="s">
        <v>73</v>
      </c>
      <c r="M13" s="1"/>
      <c r="N13" s="1"/>
      <c r="P13" s="25" t="str">
        <f t="shared" si="2"/>
        <v>Onda 3 - 18</v>
      </c>
      <c r="Q13" s="25" t="str">
        <f t="shared" si="3"/>
        <v>18</v>
      </c>
      <c r="R13" s="25" t="str">
        <f t="shared" ref="R13:S13" si="15">C13</f>
        <v>P7_AM1</v>
      </c>
      <c r="S13" s="25" t="str">
        <f t="shared" si="15"/>
        <v>AM1_19</v>
      </c>
      <c r="T13" s="13" t="str">
        <f t="shared" si="5"/>
        <v>Onda 3</v>
      </c>
      <c r="U13" s="28"/>
    </row>
    <row r="14" ht="15.75" customHeight="1">
      <c r="A14" s="1" t="s">
        <v>18</v>
      </c>
      <c r="B14" s="18">
        <v>5.03162096001E11</v>
      </c>
      <c r="C14" s="1" t="s">
        <v>102</v>
      </c>
      <c r="D14" s="1" t="s">
        <v>103</v>
      </c>
      <c r="E14" s="1">
        <v>19.0</v>
      </c>
      <c r="F14" s="1" t="s">
        <v>21</v>
      </c>
      <c r="G14" s="1" t="s">
        <v>104</v>
      </c>
      <c r="H14" s="1" t="s">
        <v>100</v>
      </c>
      <c r="I14" s="1" t="s">
        <v>38</v>
      </c>
      <c r="J14" s="1" t="s">
        <v>48</v>
      </c>
      <c r="K14" s="18">
        <v>310.0</v>
      </c>
      <c r="L14" s="1" t="s">
        <v>105</v>
      </c>
      <c r="M14" s="1"/>
      <c r="N14" s="1"/>
      <c r="P14" s="25" t="str">
        <f t="shared" si="2"/>
        <v>Onda 3 - 19</v>
      </c>
      <c r="Q14" s="25" t="str">
        <f t="shared" si="3"/>
        <v>19</v>
      </c>
      <c r="R14" s="25" t="str">
        <f t="shared" ref="R14:S14" si="16">C14</f>
        <v>VN6_AM1</v>
      </c>
      <c r="S14" s="25" t="str">
        <f t="shared" si="16"/>
        <v>AM1_3</v>
      </c>
      <c r="T14" s="13" t="str">
        <f t="shared" si="5"/>
        <v>Onda 3</v>
      </c>
      <c r="U14" s="28"/>
    </row>
    <row r="15" ht="15.75" customHeight="1">
      <c r="A15" s="1" t="s">
        <v>18</v>
      </c>
      <c r="B15" s="18">
        <v>5.03162052002E11</v>
      </c>
      <c r="C15" s="1" t="s">
        <v>106</v>
      </c>
      <c r="D15" s="1" t="s">
        <v>107</v>
      </c>
      <c r="E15" s="1">
        <v>20.0</v>
      </c>
      <c r="F15" s="1" t="s">
        <v>21</v>
      </c>
      <c r="G15" s="1" t="s">
        <v>108</v>
      </c>
      <c r="H15" s="1" t="s">
        <v>100</v>
      </c>
      <c r="I15" s="1"/>
      <c r="J15" s="1" t="s">
        <v>26</v>
      </c>
      <c r="K15" s="18">
        <v>119.0</v>
      </c>
      <c r="L15" s="1" t="s">
        <v>88</v>
      </c>
      <c r="M15" s="1"/>
      <c r="N15" s="1"/>
      <c r="P15" s="25" t="str">
        <f t="shared" si="2"/>
        <v>Onda 3 - 20</v>
      </c>
      <c r="Q15" s="25" t="str">
        <f t="shared" si="3"/>
        <v>20</v>
      </c>
      <c r="R15" s="25" t="str">
        <f t="shared" ref="R15:S15" si="17">C15</f>
        <v>Q5_AM1</v>
      </c>
      <c r="S15" s="25" t="str">
        <f t="shared" si="17"/>
        <v>AM1_5</v>
      </c>
      <c r="T15" s="13" t="str">
        <f t="shared" si="5"/>
        <v>Onda 3</v>
      </c>
      <c r="U15" s="28"/>
    </row>
    <row r="16" ht="15.75" customHeight="1">
      <c r="A16" s="1" t="s">
        <v>18</v>
      </c>
      <c r="B16" s="18">
        <v>5.03162211009E11</v>
      </c>
      <c r="C16" s="1" t="s">
        <v>109</v>
      </c>
      <c r="D16" s="1" t="s">
        <v>110</v>
      </c>
      <c r="E16" s="1">
        <v>21.0</v>
      </c>
      <c r="F16" s="1" t="s">
        <v>111</v>
      </c>
      <c r="G16" s="1" t="s">
        <v>112</v>
      </c>
      <c r="H16" s="1" t="s">
        <v>58</v>
      </c>
      <c r="I16" s="21"/>
      <c r="J16" s="1" t="s">
        <v>26</v>
      </c>
      <c r="K16" s="18">
        <v>108.0</v>
      </c>
      <c r="L16" s="1" t="s">
        <v>39</v>
      </c>
      <c r="M16" s="1"/>
      <c r="N16" s="1"/>
      <c r="P16" s="25" t="str">
        <f t="shared" si="2"/>
        <v>Onda 3 - 21</v>
      </c>
      <c r="Q16" s="25" t="str">
        <f t="shared" si="3"/>
        <v>21</v>
      </c>
      <c r="R16" s="25" t="str">
        <f t="shared" ref="R16:S16" si="18">C16</f>
        <v>P4_AM1</v>
      </c>
      <c r="S16" s="25" t="str">
        <f t="shared" si="18"/>
        <v>AM1_65</v>
      </c>
      <c r="T16" s="13" t="str">
        <f t="shared" si="5"/>
        <v>Onda 3</v>
      </c>
      <c r="U16" s="28"/>
    </row>
    <row r="17" ht="15.75" customHeight="1">
      <c r="A17" s="1" t="s">
        <v>18</v>
      </c>
      <c r="B17" s="18">
        <v>5.03162210007E11</v>
      </c>
      <c r="C17" s="1" t="s">
        <v>114</v>
      </c>
      <c r="D17" s="1" t="s">
        <v>115</v>
      </c>
      <c r="E17" s="1">
        <v>22.0</v>
      </c>
      <c r="F17" s="1" t="s">
        <v>111</v>
      </c>
      <c r="G17" s="1" t="s">
        <v>116</v>
      </c>
      <c r="H17" s="1" t="s">
        <v>72</v>
      </c>
      <c r="I17" s="21"/>
      <c r="J17" s="1" t="s">
        <v>26</v>
      </c>
      <c r="K17" s="18">
        <v>94.0</v>
      </c>
      <c r="L17" s="1" t="s">
        <v>27</v>
      </c>
      <c r="M17" s="1"/>
      <c r="N17" s="1"/>
      <c r="P17" s="25" t="str">
        <f t="shared" si="2"/>
        <v>Onda 3 - 22</v>
      </c>
      <c r="Q17" s="25" t="str">
        <f t="shared" si="3"/>
        <v>22</v>
      </c>
      <c r="R17" s="25" t="str">
        <f t="shared" ref="R17:S17" si="19">C17</f>
        <v>P8_AM1</v>
      </c>
      <c r="S17" s="25" t="str">
        <f t="shared" si="19"/>
        <v>AM1_43</v>
      </c>
      <c r="T17" s="13" t="str">
        <f t="shared" si="5"/>
        <v>Onda 3</v>
      </c>
      <c r="U17" s="28"/>
    </row>
    <row r="18" ht="15.75" customHeight="1">
      <c r="A18" s="1" t="s">
        <v>18</v>
      </c>
      <c r="B18" s="18">
        <v>5.03162211002E11</v>
      </c>
      <c r="C18" s="1" t="s">
        <v>117</v>
      </c>
      <c r="D18" s="1" t="s">
        <v>118</v>
      </c>
      <c r="E18" s="1">
        <v>23.0</v>
      </c>
      <c r="F18" s="1" t="s">
        <v>111</v>
      </c>
      <c r="G18" s="1" t="s">
        <v>119</v>
      </c>
      <c r="H18" s="1" t="s">
        <v>72</v>
      </c>
      <c r="I18" s="21"/>
      <c r="J18" s="1" t="s">
        <v>26</v>
      </c>
      <c r="K18" s="18">
        <v>108.0</v>
      </c>
      <c r="L18" s="1" t="s">
        <v>39</v>
      </c>
      <c r="M18" s="1"/>
      <c r="N18" s="1"/>
      <c r="P18" s="25" t="str">
        <f t="shared" si="2"/>
        <v>Onda 3 - 23</v>
      </c>
      <c r="Q18" s="25" t="str">
        <f t="shared" si="3"/>
        <v>23</v>
      </c>
      <c r="R18" s="25" t="str">
        <f t="shared" ref="R18:S18" si="20">C18</f>
        <v>Q8_AM1</v>
      </c>
      <c r="S18" s="25" t="str">
        <f t="shared" si="20"/>
        <v>AM1_58</v>
      </c>
      <c r="T18" s="13" t="str">
        <f t="shared" si="5"/>
        <v>Onda 3</v>
      </c>
      <c r="U18" s="28"/>
    </row>
    <row r="19" ht="15.75" customHeight="1">
      <c r="A19" s="1" t="s">
        <v>18</v>
      </c>
      <c r="B19" s="18">
        <v>5.03162211014E11</v>
      </c>
      <c r="C19" s="1" t="s">
        <v>120</v>
      </c>
      <c r="D19" s="1" t="s">
        <v>121</v>
      </c>
      <c r="E19" s="1">
        <v>24.0</v>
      </c>
      <c r="F19" s="1" t="s">
        <v>65</v>
      </c>
      <c r="G19" s="1" t="s">
        <v>122</v>
      </c>
      <c r="H19" s="1" t="s">
        <v>58</v>
      </c>
      <c r="I19" s="21"/>
      <c r="J19" s="1" t="s">
        <v>26</v>
      </c>
      <c r="K19" s="18">
        <v>130.0</v>
      </c>
      <c r="L19" s="1" t="s">
        <v>39</v>
      </c>
      <c r="M19" s="1"/>
      <c r="N19" s="1"/>
      <c r="P19" s="25" t="str">
        <f t="shared" si="2"/>
        <v>Onda 3 - 24</v>
      </c>
      <c r="Q19" s="25" t="str">
        <f t="shared" si="3"/>
        <v>24</v>
      </c>
      <c r="R19" s="25" t="str">
        <f t="shared" ref="R19:S19" si="21">C19</f>
        <v>P2_AM1</v>
      </c>
      <c r="S19" s="25" t="str">
        <f t="shared" si="21"/>
        <v>AM1_70</v>
      </c>
      <c r="T19" s="13" t="str">
        <f t="shared" si="5"/>
        <v>Onda 3</v>
      </c>
      <c r="U19" s="28"/>
    </row>
    <row r="20" ht="15.75" customHeight="1">
      <c r="A20" s="1" t="s">
        <v>18</v>
      </c>
      <c r="B20" s="18">
        <v>5.03162211013E11</v>
      </c>
      <c r="C20" s="1" t="s">
        <v>123</v>
      </c>
      <c r="D20" s="1" t="s">
        <v>124</v>
      </c>
      <c r="E20" s="1">
        <v>25.0</v>
      </c>
      <c r="F20" s="1" t="s">
        <v>65</v>
      </c>
      <c r="G20" s="1" t="s">
        <v>125</v>
      </c>
      <c r="H20" s="1" t="s">
        <v>58</v>
      </c>
      <c r="I20" s="21"/>
      <c r="J20" s="1" t="s">
        <v>26</v>
      </c>
      <c r="K20" s="18">
        <v>115.0</v>
      </c>
      <c r="L20" s="1" t="s">
        <v>39</v>
      </c>
      <c r="M20" s="1"/>
      <c r="N20" s="1"/>
      <c r="P20" s="25" t="str">
        <f t="shared" si="2"/>
        <v>Onda 3 - 25</v>
      </c>
      <c r="Q20" s="25" t="str">
        <f t="shared" si="3"/>
        <v>25</v>
      </c>
      <c r="R20" s="25" t="str">
        <f t="shared" ref="R20:S20" si="22">C20</f>
        <v>Q6_AM1</v>
      </c>
      <c r="S20" s="25" t="str">
        <f t="shared" si="22"/>
        <v>AM1_69</v>
      </c>
      <c r="T20" s="13" t="str">
        <f t="shared" si="5"/>
        <v>Onda 3</v>
      </c>
      <c r="U20" s="28"/>
    </row>
    <row r="21" ht="15.75" customHeight="1">
      <c r="A21" s="1" t="s">
        <v>18</v>
      </c>
      <c r="B21" s="18">
        <v>5.03162052003E11</v>
      </c>
      <c r="C21" s="1" t="s">
        <v>127</v>
      </c>
      <c r="D21" s="1" t="s">
        <v>128</v>
      </c>
      <c r="E21" s="1">
        <v>26.0</v>
      </c>
      <c r="F21" s="1" t="s">
        <v>86</v>
      </c>
      <c r="G21" s="1" t="s">
        <v>129</v>
      </c>
      <c r="H21" s="1" t="s">
        <v>92</v>
      </c>
      <c r="I21" s="21"/>
      <c r="J21" s="1" t="s">
        <v>26</v>
      </c>
      <c r="K21" s="18">
        <v>118.0</v>
      </c>
      <c r="L21" s="1" t="s">
        <v>88</v>
      </c>
      <c r="M21" s="1"/>
      <c r="N21" s="1"/>
      <c r="P21" s="25" t="str">
        <f t="shared" si="2"/>
        <v>Onda 3 - 26</v>
      </c>
      <c r="Q21" s="25" t="str">
        <f t="shared" si="3"/>
        <v>26</v>
      </c>
      <c r="R21" s="25" t="str">
        <f t="shared" ref="R21:S21" si="23">C21</f>
        <v>P3_AM1</v>
      </c>
      <c r="S21" s="25" t="str">
        <f t="shared" si="23"/>
        <v>AM1_6</v>
      </c>
      <c r="T21" s="13" t="str">
        <f t="shared" si="5"/>
        <v>Onda 3</v>
      </c>
      <c r="U21" s="28"/>
    </row>
    <row r="22" ht="15.75" customHeight="1">
      <c r="A22" s="1" t="s">
        <v>18</v>
      </c>
      <c r="B22" s="18">
        <v>5.03162052004E11</v>
      </c>
      <c r="C22" s="1" t="s">
        <v>130</v>
      </c>
      <c r="D22" s="1" t="s">
        <v>131</v>
      </c>
      <c r="E22" s="1">
        <v>27.0</v>
      </c>
      <c r="F22" s="1" t="s">
        <v>86</v>
      </c>
      <c r="G22" s="1" t="s">
        <v>132</v>
      </c>
      <c r="H22" s="1" t="s">
        <v>92</v>
      </c>
      <c r="I22" s="21"/>
      <c r="J22" s="1" t="s">
        <v>101</v>
      </c>
      <c r="K22" s="18">
        <v>92.0</v>
      </c>
      <c r="L22" s="1" t="s">
        <v>88</v>
      </c>
      <c r="M22" s="1"/>
      <c r="N22" s="1"/>
      <c r="P22" s="25" t="str">
        <f t="shared" si="2"/>
        <v>Onda 3 - 27</v>
      </c>
      <c r="Q22" s="25" t="str">
        <f t="shared" si="3"/>
        <v>27</v>
      </c>
      <c r="R22" s="25" t="str">
        <f t="shared" ref="R22:S22" si="24">C22</f>
        <v>P9_AM1</v>
      </c>
      <c r="S22" s="25" t="str">
        <f t="shared" si="24"/>
        <v>AM1_7</v>
      </c>
      <c r="T22" s="13" t="str">
        <f t="shared" si="5"/>
        <v>Onda 3</v>
      </c>
      <c r="U22" s="28"/>
    </row>
    <row r="23" ht="15.75" customHeight="1">
      <c r="A23" s="1" t="s">
        <v>18</v>
      </c>
      <c r="B23" s="18">
        <v>5.03162052008E11</v>
      </c>
      <c r="C23" s="1" t="s">
        <v>133</v>
      </c>
      <c r="D23" s="1" t="s">
        <v>134</v>
      </c>
      <c r="E23" s="1">
        <v>28.0</v>
      </c>
      <c r="F23" s="1" t="s">
        <v>86</v>
      </c>
      <c r="G23" s="1" t="s">
        <v>135</v>
      </c>
      <c r="H23" s="1" t="s">
        <v>92</v>
      </c>
      <c r="I23" s="21"/>
      <c r="J23" s="1" t="s">
        <v>26</v>
      </c>
      <c r="K23" s="18">
        <v>106.0</v>
      </c>
      <c r="L23" s="1" t="s">
        <v>88</v>
      </c>
      <c r="M23" s="1"/>
      <c r="N23" s="1"/>
      <c r="P23" s="25" t="str">
        <f t="shared" si="2"/>
        <v>Onda 3 - 28</v>
      </c>
      <c r="Q23" s="25" t="str">
        <f t="shared" si="3"/>
        <v>28</v>
      </c>
      <c r="R23" s="25" t="str">
        <f t="shared" ref="R23:S23" si="25">C23</f>
        <v>Q9_AM1</v>
      </c>
      <c r="S23" s="25" t="str">
        <f t="shared" si="25"/>
        <v>AM1_11</v>
      </c>
      <c r="T23" s="13" t="str">
        <f t="shared" si="5"/>
        <v>Onda 3</v>
      </c>
      <c r="U23" s="28"/>
    </row>
    <row r="24" ht="15.75" customHeight="1">
      <c r="A24" s="1" t="s">
        <v>18</v>
      </c>
      <c r="B24" s="18">
        <v>5.03162052009E11</v>
      </c>
      <c r="C24" s="1" t="s">
        <v>136</v>
      </c>
      <c r="D24" s="1" t="s">
        <v>137</v>
      </c>
      <c r="E24" s="1">
        <v>29.0</v>
      </c>
      <c r="F24" s="1" t="s">
        <v>86</v>
      </c>
      <c r="G24" s="1" t="s">
        <v>138</v>
      </c>
      <c r="H24" s="1" t="s">
        <v>92</v>
      </c>
      <c r="I24" s="21"/>
      <c r="J24" s="1" t="s">
        <v>26</v>
      </c>
      <c r="K24" s="18">
        <v>124.0</v>
      </c>
      <c r="L24" s="1" t="s">
        <v>88</v>
      </c>
      <c r="M24" s="1"/>
      <c r="N24" s="1"/>
      <c r="P24" s="25" t="str">
        <f t="shared" si="2"/>
        <v>Onda 3 - 29</v>
      </c>
      <c r="Q24" s="25" t="str">
        <f t="shared" si="3"/>
        <v>29</v>
      </c>
      <c r="R24" s="25" t="str">
        <f t="shared" ref="R24:S24" si="26">C24</f>
        <v>Q4_AM1</v>
      </c>
      <c r="S24" s="25" t="str">
        <f t="shared" si="26"/>
        <v>AM1_12</v>
      </c>
      <c r="T24" s="13" t="str">
        <f t="shared" si="5"/>
        <v>Onda 3</v>
      </c>
      <c r="U24" s="28"/>
    </row>
    <row r="25" ht="15.75" customHeight="1">
      <c r="A25" s="1" t="s">
        <v>18</v>
      </c>
      <c r="B25" s="18">
        <v>5.03162210001E11</v>
      </c>
      <c r="C25" s="1" t="s">
        <v>139</v>
      </c>
      <c r="D25" s="1" t="s">
        <v>140</v>
      </c>
      <c r="E25" s="1">
        <v>30.0</v>
      </c>
      <c r="F25" s="1" t="s">
        <v>141</v>
      </c>
      <c r="G25" s="1" t="s">
        <v>142</v>
      </c>
      <c r="H25" s="1" t="s">
        <v>72</v>
      </c>
      <c r="I25" s="21"/>
      <c r="J25" s="1" t="s">
        <v>26</v>
      </c>
      <c r="K25" s="18">
        <v>68.0</v>
      </c>
      <c r="L25" s="1" t="s">
        <v>27</v>
      </c>
      <c r="M25" s="1"/>
      <c r="N25" s="1"/>
      <c r="P25" s="25" t="str">
        <f t="shared" si="2"/>
        <v>Onda 3 - 30</v>
      </c>
      <c r="Q25" s="25" t="str">
        <f t="shared" si="3"/>
        <v>30</v>
      </c>
      <c r="R25" s="25" t="str">
        <f t="shared" ref="R25:S25" si="27">C25</f>
        <v>P13_AM1</v>
      </c>
      <c r="S25" s="25" t="str">
        <f t="shared" si="27"/>
        <v>AM1_37</v>
      </c>
      <c r="T25" s="13" t="str">
        <f t="shared" si="5"/>
        <v>Onda 3</v>
      </c>
      <c r="U25" s="28"/>
    </row>
    <row r="26" ht="15.75" customHeight="1">
      <c r="A26" s="1" t="s">
        <v>143</v>
      </c>
      <c r="B26" s="18">
        <v>5.03162211007E11</v>
      </c>
      <c r="C26" s="1" t="s">
        <v>144</v>
      </c>
      <c r="D26" s="1" t="s">
        <v>145</v>
      </c>
      <c r="E26" s="1">
        <v>1.0</v>
      </c>
      <c r="F26" s="1" t="s">
        <v>21</v>
      </c>
      <c r="G26" s="1" t="s">
        <v>146</v>
      </c>
      <c r="H26" s="1" t="s">
        <v>25</v>
      </c>
      <c r="I26" s="1" t="s">
        <v>38</v>
      </c>
      <c r="J26" s="1" t="s">
        <v>101</v>
      </c>
      <c r="K26" s="18">
        <v>121.0</v>
      </c>
      <c r="L26" s="1" t="s">
        <v>39</v>
      </c>
      <c r="M26" s="1"/>
      <c r="N26" s="1"/>
      <c r="P26" s="25" t="str">
        <f t="shared" si="2"/>
        <v>Onda 4 - DOCA 1</v>
      </c>
      <c r="Q26" s="25" t="str">
        <f t="shared" si="3"/>
        <v>DOCA 1</v>
      </c>
      <c r="R26" s="25" t="str">
        <f t="shared" ref="R26:S26" si="28">C26</f>
        <v>VM8_AM1</v>
      </c>
      <c r="S26" s="25" t="str">
        <f t="shared" si="28"/>
        <v>AM1_63</v>
      </c>
      <c r="T26" s="13" t="str">
        <f t="shared" si="5"/>
        <v>Onda 4</v>
      </c>
      <c r="U26" s="28"/>
    </row>
    <row r="27" ht="15.75" customHeight="1">
      <c r="A27" s="1" t="s">
        <v>143</v>
      </c>
      <c r="B27" s="18">
        <v>5.03162211006E11</v>
      </c>
      <c r="C27" s="1" t="s">
        <v>147</v>
      </c>
      <c r="D27" s="1" t="s">
        <v>148</v>
      </c>
      <c r="E27" s="1">
        <v>2.0</v>
      </c>
      <c r="F27" s="1" t="s">
        <v>21</v>
      </c>
      <c r="G27" s="1" t="s">
        <v>149</v>
      </c>
      <c r="H27" s="1" t="s">
        <v>25</v>
      </c>
      <c r="I27" s="1" t="s">
        <v>38</v>
      </c>
      <c r="J27" s="1" t="s">
        <v>101</v>
      </c>
      <c r="K27" s="18">
        <v>167.0</v>
      </c>
      <c r="L27" s="1" t="s">
        <v>39</v>
      </c>
      <c r="M27" s="1"/>
      <c r="N27" s="1"/>
      <c r="P27" s="25" t="str">
        <f t="shared" si="2"/>
        <v>Onda 4 - DOCA 2</v>
      </c>
      <c r="Q27" s="25" t="str">
        <f t="shared" si="3"/>
        <v>DOCA 2</v>
      </c>
      <c r="R27" s="25" t="str">
        <f t="shared" ref="R27:S27" si="29">C27</f>
        <v>VN1_AM1</v>
      </c>
      <c r="S27" s="25" t="str">
        <f t="shared" si="29"/>
        <v>AM1_62</v>
      </c>
      <c r="T27" s="13" t="str">
        <f t="shared" si="5"/>
        <v>Onda 4</v>
      </c>
      <c r="U27" s="28"/>
    </row>
    <row r="28" ht="15.75" customHeight="1">
      <c r="A28" s="1" t="s">
        <v>143</v>
      </c>
      <c r="B28" s="18">
        <v>5.03162697004E11</v>
      </c>
      <c r="C28" s="1" t="s">
        <v>150</v>
      </c>
      <c r="D28" s="1" t="s">
        <v>151</v>
      </c>
      <c r="E28" s="1">
        <v>9.0</v>
      </c>
      <c r="F28" s="1" t="s">
        <v>21</v>
      </c>
      <c r="G28" s="1" t="s">
        <v>152</v>
      </c>
      <c r="H28" s="1" t="s">
        <v>25</v>
      </c>
      <c r="I28" s="1"/>
      <c r="J28" s="1"/>
      <c r="K28" s="18">
        <v>120.0</v>
      </c>
      <c r="L28" s="1" t="s">
        <v>49</v>
      </c>
      <c r="M28" s="1"/>
      <c r="N28" s="1"/>
      <c r="P28" s="25" t="str">
        <f t="shared" si="2"/>
        <v>Onda 4 - 9</v>
      </c>
      <c r="Q28" s="25" t="str">
        <f t="shared" si="3"/>
        <v>9</v>
      </c>
      <c r="R28" s="25" t="str">
        <f t="shared" ref="R28:S28" si="30">C28</f>
        <v>A7_AM1</v>
      </c>
      <c r="S28" s="25" t="str">
        <f t="shared" si="30"/>
        <v>AM1_116</v>
      </c>
      <c r="T28" s="13" t="str">
        <f t="shared" si="5"/>
        <v>Onda 4</v>
      </c>
      <c r="U28" s="28"/>
    </row>
    <row r="29" ht="15.75" customHeight="1">
      <c r="A29" s="1" t="s">
        <v>143</v>
      </c>
      <c r="B29" s="18">
        <v>5.03162211012E11</v>
      </c>
      <c r="C29" s="1" t="s">
        <v>153</v>
      </c>
      <c r="D29" s="1" t="s">
        <v>154</v>
      </c>
      <c r="E29" s="1">
        <v>10.0</v>
      </c>
      <c r="F29" s="1" t="s">
        <v>70</v>
      </c>
      <c r="G29" s="1" t="s">
        <v>155</v>
      </c>
      <c r="H29" s="1" t="s">
        <v>58</v>
      </c>
      <c r="I29" s="1"/>
      <c r="J29" s="1" t="s">
        <v>26</v>
      </c>
      <c r="K29" s="18">
        <v>137.0</v>
      </c>
      <c r="L29" s="1" t="s">
        <v>39</v>
      </c>
      <c r="M29" s="1"/>
      <c r="N29" s="1"/>
      <c r="P29" s="25" t="str">
        <f t="shared" si="2"/>
        <v>Onda 4 - 10</v>
      </c>
      <c r="Q29" s="25" t="str">
        <f t="shared" si="3"/>
        <v>10</v>
      </c>
      <c r="R29" s="25" t="str">
        <f t="shared" ref="R29:S29" si="31">C29</f>
        <v>Q3_AM1</v>
      </c>
      <c r="S29" s="25" t="str">
        <f t="shared" si="31"/>
        <v>AM1_68</v>
      </c>
      <c r="T29" s="13" t="str">
        <f t="shared" si="5"/>
        <v>Onda 4</v>
      </c>
      <c r="U29" s="28"/>
    </row>
    <row r="30" ht="15.75" customHeight="1">
      <c r="A30" s="1" t="s">
        <v>143</v>
      </c>
      <c r="B30" s="18">
        <v>5.03162209008E11</v>
      </c>
      <c r="C30" s="1" t="s">
        <v>156</v>
      </c>
      <c r="D30" s="1" t="s">
        <v>157</v>
      </c>
      <c r="E30" s="1">
        <v>11.0</v>
      </c>
      <c r="F30" s="1" t="s">
        <v>70</v>
      </c>
      <c r="G30" s="1" t="s">
        <v>158</v>
      </c>
      <c r="H30" s="1" t="s">
        <v>58</v>
      </c>
      <c r="I30" s="1"/>
      <c r="J30" s="1" t="s">
        <v>26</v>
      </c>
      <c r="K30" s="18">
        <v>91.0</v>
      </c>
      <c r="L30" s="1" t="s">
        <v>73</v>
      </c>
      <c r="M30" s="1"/>
      <c r="N30" s="1"/>
      <c r="P30" s="25" t="str">
        <f t="shared" si="2"/>
        <v>Onda 4 - 11</v>
      </c>
      <c r="Q30" s="25" t="str">
        <f t="shared" si="3"/>
        <v>11</v>
      </c>
      <c r="R30" s="25" t="str">
        <f t="shared" ref="R30:S30" si="32">C30</f>
        <v>H11_AM1</v>
      </c>
      <c r="S30" s="25" t="str">
        <f t="shared" si="32"/>
        <v>AM1_22</v>
      </c>
      <c r="T30" s="13" t="str">
        <f t="shared" si="5"/>
        <v>Onda 4</v>
      </c>
      <c r="U30" s="28"/>
    </row>
    <row r="31" ht="15.75" customHeight="1">
      <c r="A31" s="1" t="s">
        <v>143</v>
      </c>
      <c r="B31" s="18">
        <v>5.03162211001E11</v>
      </c>
      <c r="C31" s="1" t="s">
        <v>159</v>
      </c>
      <c r="D31" s="1" t="s">
        <v>160</v>
      </c>
      <c r="E31" s="1">
        <v>12.0</v>
      </c>
      <c r="F31" s="1" t="s">
        <v>70</v>
      </c>
      <c r="G31" s="1" t="s">
        <v>161</v>
      </c>
      <c r="H31" s="1" t="s">
        <v>72</v>
      </c>
      <c r="I31" s="21"/>
      <c r="J31" s="1" t="s">
        <v>26</v>
      </c>
      <c r="K31" s="18">
        <v>113.0</v>
      </c>
      <c r="L31" s="1" t="s">
        <v>39</v>
      </c>
      <c r="M31" s="1"/>
      <c r="N31" s="1"/>
      <c r="P31" s="25" t="str">
        <f t="shared" si="2"/>
        <v>Onda 4 - 12</v>
      </c>
      <c r="Q31" s="25" t="str">
        <f t="shared" si="3"/>
        <v>12</v>
      </c>
      <c r="R31" s="25" t="str">
        <f t="shared" ref="R31:S31" si="33">C31</f>
        <v>I8_AM1</v>
      </c>
      <c r="S31" s="25" t="str">
        <f t="shared" si="33"/>
        <v>AM1_57</v>
      </c>
      <c r="T31" s="13" t="str">
        <f t="shared" si="5"/>
        <v>Onda 4</v>
      </c>
      <c r="U31" s="28"/>
    </row>
    <row r="32" ht="15.75" customHeight="1">
      <c r="A32" s="1" t="s">
        <v>143</v>
      </c>
      <c r="B32" s="18">
        <v>5.03162697008E11</v>
      </c>
      <c r="C32" s="1" t="s">
        <v>162</v>
      </c>
      <c r="D32" s="1" t="s">
        <v>163</v>
      </c>
      <c r="E32" s="1">
        <v>13.0</v>
      </c>
      <c r="F32" s="1" t="s">
        <v>70</v>
      </c>
      <c r="G32" s="1" t="s">
        <v>164</v>
      </c>
      <c r="H32" s="1" t="s">
        <v>58</v>
      </c>
      <c r="I32" s="21"/>
      <c r="J32" s="1" t="s">
        <v>165</v>
      </c>
      <c r="K32" s="18">
        <v>105.0</v>
      </c>
      <c r="L32" s="1" t="s">
        <v>49</v>
      </c>
      <c r="M32" s="1"/>
      <c r="N32" s="1"/>
      <c r="P32" s="25" t="str">
        <f t="shared" si="2"/>
        <v>Onda 4 - 13</v>
      </c>
      <c r="Q32" s="25" t="str">
        <f t="shared" si="3"/>
        <v>13</v>
      </c>
      <c r="R32" s="25" t="str">
        <f t="shared" ref="R32:S32" si="34">C32</f>
        <v>A8_AM1</v>
      </c>
      <c r="S32" s="25" t="str">
        <f t="shared" si="34"/>
        <v>AM1_120</v>
      </c>
      <c r="T32" s="13" t="str">
        <f t="shared" si="5"/>
        <v>Onda 4</v>
      </c>
      <c r="U32" s="28"/>
    </row>
    <row r="33" ht="15.75" customHeight="1">
      <c r="A33" s="1" t="s">
        <v>143</v>
      </c>
      <c r="B33" s="18">
        <v>5.0316236701E11</v>
      </c>
      <c r="C33" s="1" t="s">
        <v>166</v>
      </c>
      <c r="D33" s="1" t="s">
        <v>167</v>
      </c>
      <c r="E33" s="1">
        <v>14.0</v>
      </c>
      <c r="F33" s="1" t="s">
        <v>70</v>
      </c>
      <c r="G33" s="1" t="s">
        <v>168</v>
      </c>
      <c r="H33" s="1" t="s">
        <v>58</v>
      </c>
      <c r="I33" s="1"/>
      <c r="J33" s="1" t="s">
        <v>165</v>
      </c>
      <c r="K33" s="18">
        <v>134.0</v>
      </c>
      <c r="L33" s="1" t="s">
        <v>169</v>
      </c>
      <c r="M33" s="1"/>
      <c r="N33" s="1"/>
      <c r="P33" s="25" t="str">
        <f t="shared" si="2"/>
        <v>Onda 4 - 14</v>
      </c>
      <c r="Q33" s="25" t="str">
        <f t="shared" si="3"/>
        <v>14</v>
      </c>
      <c r="R33" s="25" t="str">
        <f t="shared" ref="R33:S33" si="35">C33</f>
        <v>B3_AM1</v>
      </c>
      <c r="S33" s="25" t="str">
        <f t="shared" si="35"/>
        <v>AM1_111</v>
      </c>
      <c r="T33" s="13" t="str">
        <f t="shared" si="5"/>
        <v>Onda 4</v>
      </c>
      <c r="U33" s="28"/>
    </row>
    <row r="34" ht="15.75" customHeight="1">
      <c r="A34" s="1" t="s">
        <v>143</v>
      </c>
      <c r="B34" s="18">
        <v>5.03162697003E11</v>
      </c>
      <c r="C34" s="1" t="s">
        <v>170</v>
      </c>
      <c r="D34" s="1" t="s">
        <v>171</v>
      </c>
      <c r="E34" s="1">
        <v>15.0</v>
      </c>
      <c r="F34" s="1" t="s">
        <v>21</v>
      </c>
      <c r="G34" s="1" t="s">
        <v>172</v>
      </c>
      <c r="H34" s="1" t="s">
        <v>173</v>
      </c>
      <c r="I34" s="21"/>
      <c r="J34" s="1" t="s">
        <v>165</v>
      </c>
      <c r="K34" s="18">
        <v>160.0</v>
      </c>
      <c r="L34" s="1" t="s">
        <v>49</v>
      </c>
      <c r="M34" s="1"/>
      <c r="N34" s="1"/>
      <c r="P34" s="25" t="str">
        <f t="shared" si="2"/>
        <v>Onda 4 - 15</v>
      </c>
      <c r="Q34" s="25" t="str">
        <f t="shared" si="3"/>
        <v>15</v>
      </c>
      <c r="R34" s="25" t="str">
        <f t="shared" ref="R34:S34" si="36">C34</f>
        <v>B1_AM1</v>
      </c>
      <c r="S34" s="25" t="str">
        <f t="shared" si="36"/>
        <v>AM1_115</v>
      </c>
      <c r="T34" s="13" t="str">
        <f t="shared" si="5"/>
        <v>Onda 4</v>
      </c>
      <c r="U34" s="28"/>
    </row>
    <row r="35" ht="15.75" customHeight="1">
      <c r="A35" s="1" t="s">
        <v>143</v>
      </c>
      <c r="B35" s="18">
        <v>5.03162211003E11</v>
      </c>
      <c r="C35" s="1" t="s">
        <v>174</v>
      </c>
      <c r="D35" s="1" t="s">
        <v>175</v>
      </c>
      <c r="E35" s="1">
        <v>16.0</v>
      </c>
      <c r="F35" s="1" t="s">
        <v>21</v>
      </c>
      <c r="G35" s="1" t="s">
        <v>176</v>
      </c>
      <c r="H35" s="1" t="s">
        <v>100</v>
      </c>
      <c r="I35" s="21"/>
      <c r="J35" s="1" t="s">
        <v>48</v>
      </c>
      <c r="K35" s="18">
        <v>115.0</v>
      </c>
      <c r="L35" s="1" t="s">
        <v>39</v>
      </c>
      <c r="M35" s="1"/>
      <c r="N35" s="1"/>
      <c r="P35" s="25" t="str">
        <f t="shared" si="2"/>
        <v>Onda 4 - 16</v>
      </c>
      <c r="Q35" s="25" t="str">
        <f t="shared" si="3"/>
        <v>16</v>
      </c>
      <c r="R35" s="25" t="str">
        <f t="shared" ref="R35:S35" si="37">C35</f>
        <v>Q7_AM1</v>
      </c>
      <c r="S35" s="25" t="str">
        <f t="shared" si="37"/>
        <v>AM1_59</v>
      </c>
      <c r="T35" s="13" t="str">
        <f t="shared" si="5"/>
        <v>Onda 4</v>
      </c>
      <c r="U35" s="28"/>
    </row>
    <row r="36" ht="15.75" customHeight="1">
      <c r="A36" s="1" t="s">
        <v>143</v>
      </c>
      <c r="B36" s="18">
        <v>5.03162697007E11</v>
      </c>
      <c r="C36" s="1" t="s">
        <v>177</v>
      </c>
      <c r="D36" s="1" t="s">
        <v>178</v>
      </c>
      <c r="E36" s="1">
        <v>17.0</v>
      </c>
      <c r="F36" s="1" t="s">
        <v>21</v>
      </c>
      <c r="G36" s="1" t="s">
        <v>179</v>
      </c>
      <c r="H36" s="1" t="s">
        <v>47</v>
      </c>
      <c r="I36" s="21"/>
      <c r="J36" s="1" t="s">
        <v>165</v>
      </c>
      <c r="K36" s="18">
        <v>58.0</v>
      </c>
      <c r="L36" s="1" t="s">
        <v>49</v>
      </c>
      <c r="M36" s="1"/>
      <c r="N36" s="1"/>
      <c r="P36" s="25" t="str">
        <f t="shared" si="2"/>
        <v>Onda 4 - 17</v>
      </c>
      <c r="Q36" s="25" t="str">
        <f t="shared" si="3"/>
        <v>17</v>
      </c>
      <c r="R36" s="25" t="str">
        <f t="shared" ref="R36:S36" si="38">C36</f>
        <v>A9_AM1</v>
      </c>
      <c r="S36" s="25" t="str">
        <f t="shared" si="38"/>
        <v>AM1_119</v>
      </c>
      <c r="T36" s="13" t="str">
        <f t="shared" si="5"/>
        <v>Onda 4</v>
      </c>
      <c r="U36" s="28"/>
    </row>
    <row r="37" ht="15.75" customHeight="1">
      <c r="A37" s="1" t="s">
        <v>143</v>
      </c>
      <c r="B37" s="18">
        <v>5.03162209001E11</v>
      </c>
      <c r="C37" s="1" t="s">
        <v>180</v>
      </c>
      <c r="D37" s="1" t="s">
        <v>181</v>
      </c>
      <c r="E37" s="1">
        <v>18.0</v>
      </c>
      <c r="F37" s="1" t="s">
        <v>70</v>
      </c>
      <c r="G37" s="1" t="s">
        <v>182</v>
      </c>
      <c r="H37" s="1" t="s">
        <v>183</v>
      </c>
      <c r="I37" s="1" t="s">
        <v>38</v>
      </c>
      <c r="J37" s="1" t="s">
        <v>26</v>
      </c>
      <c r="K37" s="18">
        <v>393.0</v>
      </c>
      <c r="L37" s="1" t="s">
        <v>73</v>
      </c>
      <c r="M37" s="1"/>
      <c r="N37" s="1"/>
      <c r="P37" s="25" t="str">
        <f t="shared" si="2"/>
        <v>Onda 4 - 18</v>
      </c>
      <c r="Q37" s="25" t="str">
        <f t="shared" si="3"/>
        <v>18</v>
      </c>
      <c r="R37" s="25" t="str">
        <f t="shared" ref="R37:S37" si="39">C37</f>
        <v>D1_AM1</v>
      </c>
      <c r="S37" s="25" t="str">
        <f t="shared" si="39"/>
        <v>AM1_15</v>
      </c>
      <c r="T37" s="13" t="str">
        <f t="shared" si="5"/>
        <v>Onda 4</v>
      </c>
      <c r="U37" s="28"/>
    </row>
    <row r="38" ht="15.75" customHeight="1">
      <c r="A38" s="1" t="s">
        <v>143</v>
      </c>
      <c r="B38" s="18">
        <v>5.03162211004E11</v>
      </c>
      <c r="C38" s="1" t="s">
        <v>184</v>
      </c>
      <c r="D38" s="1" t="s">
        <v>185</v>
      </c>
      <c r="E38" s="1">
        <v>19.0</v>
      </c>
      <c r="F38" s="1" t="s">
        <v>21</v>
      </c>
      <c r="G38" s="1" t="s">
        <v>186</v>
      </c>
      <c r="H38" s="1" t="s">
        <v>100</v>
      </c>
      <c r="I38" s="1"/>
      <c r="J38" s="1" t="s">
        <v>26</v>
      </c>
      <c r="K38" s="18">
        <v>154.0</v>
      </c>
      <c r="L38" s="1" t="s">
        <v>39</v>
      </c>
      <c r="M38" s="1"/>
      <c r="N38" s="1"/>
      <c r="P38" s="25" t="str">
        <f t="shared" si="2"/>
        <v>Onda 4 - 19</v>
      </c>
      <c r="Q38" s="25" t="str">
        <f t="shared" si="3"/>
        <v>19</v>
      </c>
      <c r="R38" s="25" t="str">
        <f t="shared" ref="R38:S38" si="40">C38</f>
        <v>I1_AM1</v>
      </c>
      <c r="S38" s="25" t="str">
        <f t="shared" si="40"/>
        <v>AM1_60</v>
      </c>
      <c r="T38" s="13" t="str">
        <f t="shared" si="5"/>
        <v>Onda 4</v>
      </c>
      <c r="U38" s="28"/>
    </row>
    <row r="39" ht="15.75" customHeight="1">
      <c r="A39" s="1" t="s">
        <v>143</v>
      </c>
      <c r="B39" s="18">
        <v>5.03162367009E11</v>
      </c>
      <c r="C39" s="1" t="s">
        <v>187</v>
      </c>
      <c r="D39" s="1" t="s">
        <v>188</v>
      </c>
      <c r="E39" s="1">
        <v>20.0</v>
      </c>
      <c r="F39" s="1" t="s">
        <v>21</v>
      </c>
      <c r="G39" s="1" t="s">
        <v>189</v>
      </c>
      <c r="H39" s="1" t="s">
        <v>47</v>
      </c>
      <c r="I39" s="1"/>
      <c r="J39" s="1" t="s">
        <v>165</v>
      </c>
      <c r="K39" s="18">
        <v>152.0</v>
      </c>
      <c r="L39" s="1" t="s">
        <v>169</v>
      </c>
      <c r="M39" s="1"/>
      <c r="N39" s="1"/>
      <c r="P39" s="25" t="str">
        <f t="shared" si="2"/>
        <v>Onda 4 - 20</v>
      </c>
      <c r="Q39" s="25" t="str">
        <f t="shared" si="3"/>
        <v>20</v>
      </c>
      <c r="R39" s="25" t="str">
        <f t="shared" ref="R39:S39" si="41">C39</f>
        <v>B2_AM1</v>
      </c>
      <c r="S39" s="25" t="str">
        <f t="shared" si="41"/>
        <v>AM1_110</v>
      </c>
      <c r="T39" s="13" t="str">
        <f t="shared" si="5"/>
        <v>Onda 4</v>
      </c>
      <c r="U39" s="28"/>
    </row>
    <row r="40" ht="15.75" customHeight="1">
      <c r="A40" s="1" t="s">
        <v>143</v>
      </c>
      <c r="B40" s="18">
        <v>5.03162697012E11</v>
      </c>
      <c r="C40" s="1" t="s">
        <v>191</v>
      </c>
      <c r="D40" s="1" t="s">
        <v>192</v>
      </c>
      <c r="E40" s="1">
        <v>21.0</v>
      </c>
      <c r="F40" s="1" t="s">
        <v>111</v>
      </c>
      <c r="G40" s="1" t="s">
        <v>193</v>
      </c>
      <c r="H40" s="1" t="s">
        <v>58</v>
      </c>
      <c r="I40" s="21"/>
      <c r="J40" s="1" t="s">
        <v>165</v>
      </c>
      <c r="K40" s="18">
        <v>130.0</v>
      </c>
      <c r="L40" s="1" t="s">
        <v>49</v>
      </c>
      <c r="M40" s="1"/>
      <c r="N40" s="1"/>
      <c r="P40" s="25" t="str">
        <f t="shared" si="2"/>
        <v>Onda 4 - 21</v>
      </c>
      <c r="Q40" s="25" t="str">
        <f t="shared" si="3"/>
        <v>21</v>
      </c>
      <c r="R40" s="25" t="str">
        <f t="shared" ref="R40:S40" si="42">C40</f>
        <v>A4_AM1</v>
      </c>
      <c r="S40" s="25" t="str">
        <f t="shared" si="42"/>
        <v>AM1_124</v>
      </c>
      <c r="T40" s="13" t="str">
        <f t="shared" si="5"/>
        <v>Onda 4</v>
      </c>
      <c r="U40" s="28"/>
    </row>
    <row r="41" ht="15.75" customHeight="1">
      <c r="A41" s="1" t="s">
        <v>143</v>
      </c>
      <c r="B41" s="18">
        <v>5.03162697011E11</v>
      </c>
      <c r="C41" s="1" t="s">
        <v>194</v>
      </c>
      <c r="D41" s="1" t="s">
        <v>195</v>
      </c>
      <c r="E41" s="1">
        <v>22.0</v>
      </c>
      <c r="F41" s="1" t="s">
        <v>111</v>
      </c>
      <c r="G41" s="1" t="s">
        <v>196</v>
      </c>
      <c r="H41" s="1" t="s">
        <v>58</v>
      </c>
      <c r="I41" s="21"/>
      <c r="J41" s="1"/>
      <c r="K41" s="18">
        <v>129.0</v>
      </c>
      <c r="L41" s="1" t="s">
        <v>49</v>
      </c>
      <c r="M41" s="1"/>
      <c r="N41" s="1"/>
      <c r="P41" s="25" t="str">
        <f t="shared" si="2"/>
        <v>Onda 4 - 22</v>
      </c>
      <c r="Q41" s="25" t="str">
        <f t="shared" si="3"/>
        <v>22</v>
      </c>
      <c r="R41" s="25" t="str">
        <f t="shared" ref="R41:S41" si="43">C41</f>
        <v>A5_AM1</v>
      </c>
      <c r="S41" s="25" t="str">
        <f t="shared" si="43"/>
        <v>AM1_123</v>
      </c>
      <c r="T41" s="13" t="str">
        <f t="shared" si="5"/>
        <v>Onda 4</v>
      </c>
      <c r="U41" s="28"/>
    </row>
    <row r="42" ht="15.75" customHeight="1">
      <c r="A42" s="1" t="s">
        <v>143</v>
      </c>
      <c r="B42" s="18">
        <v>5.03162697009E11</v>
      </c>
      <c r="C42" s="1" t="s">
        <v>197</v>
      </c>
      <c r="D42" s="1" t="s">
        <v>198</v>
      </c>
      <c r="E42" s="1">
        <v>23.0</v>
      </c>
      <c r="F42" s="1" t="s">
        <v>65</v>
      </c>
      <c r="G42" s="1" t="s">
        <v>199</v>
      </c>
      <c r="H42" s="1" t="s">
        <v>58</v>
      </c>
      <c r="I42" s="21"/>
      <c r="J42" s="1" t="s">
        <v>165</v>
      </c>
      <c r="K42" s="18">
        <v>125.0</v>
      </c>
      <c r="L42" s="1" t="s">
        <v>49</v>
      </c>
      <c r="M42" s="1"/>
      <c r="N42" s="1"/>
      <c r="P42" s="25" t="str">
        <f t="shared" si="2"/>
        <v>Onda 4 - 23</v>
      </c>
      <c r="Q42" s="25" t="str">
        <f t="shared" si="3"/>
        <v>23</v>
      </c>
      <c r="R42" s="25" t="str">
        <f t="shared" ref="R42:S42" si="44">C42</f>
        <v>A6_AM1</v>
      </c>
      <c r="S42" s="25" t="str">
        <f t="shared" si="44"/>
        <v>AM1_121</v>
      </c>
      <c r="T42" s="13" t="str">
        <f t="shared" si="5"/>
        <v>Onda 4</v>
      </c>
      <c r="U42" s="28"/>
    </row>
    <row r="43" ht="15.75" customHeight="1">
      <c r="A43" s="1" t="s">
        <v>143</v>
      </c>
      <c r="B43" s="18">
        <v>5.03162697015E11</v>
      </c>
      <c r="C43" s="1" t="s">
        <v>200</v>
      </c>
      <c r="D43" s="1" t="s">
        <v>201</v>
      </c>
      <c r="E43" s="1">
        <v>24.0</v>
      </c>
      <c r="F43" s="1" t="s">
        <v>70</v>
      </c>
      <c r="G43" s="1" t="s">
        <v>202</v>
      </c>
      <c r="H43" s="1" t="s">
        <v>183</v>
      </c>
      <c r="I43" s="21"/>
      <c r="J43" s="1" t="s">
        <v>165</v>
      </c>
      <c r="K43" s="18">
        <v>140.0</v>
      </c>
      <c r="L43" s="1" t="s">
        <v>49</v>
      </c>
      <c r="M43" s="1"/>
      <c r="N43" s="1"/>
      <c r="P43" s="25" t="str">
        <f t="shared" si="2"/>
        <v>Onda 4 - 24</v>
      </c>
      <c r="Q43" s="25" t="str">
        <f t="shared" si="3"/>
        <v>24</v>
      </c>
      <c r="R43" s="25" t="str">
        <f t="shared" ref="R43:S43" si="45">C43</f>
        <v>A2_AM1</v>
      </c>
      <c r="S43" s="25" t="str">
        <f t="shared" si="45"/>
        <v>AM1_127</v>
      </c>
      <c r="T43" s="13" t="str">
        <f t="shared" si="5"/>
        <v>Onda 4</v>
      </c>
      <c r="U43" s="28"/>
    </row>
    <row r="44" ht="15.75" customHeight="1">
      <c r="A44" s="1" t="s">
        <v>143</v>
      </c>
      <c r="B44" s="18">
        <v>5.03162211011E11</v>
      </c>
      <c r="C44" s="1" t="s">
        <v>203</v>
      </c>
      <c r="D44" s="1" t="s">
        <v>204</v>
      </c>
      <c r="E44" s="1">
        <v>25.0</v>
      </c>
      <c r="F44" s="1" t="s">
        <v>65</v>
      </c>
      <c r="G44" s="1" t="s">
        <v>205</v>
      </c>
      <c r="H44" s="1" t="s">
        <v>58</v>
      </c>
      <c r="I44" s="1"/>
      <c r="J44" s="1" t="s">
        <v>26</v>
      </c>
      <c r="K44" s="18">
        <v>98.0</v>
      </c>
      <c r="L44" s="1" t="s">
        <v>39</v>
      </c>
      <c r="M44" s="1"/>
      <c r="N44" s="1"/>
      <c r="P44" s="25" t="str">
        <f t="shared" si="2"/>
        <v>Onda 4 - 25</v>
      </c>
      <c r="Q44" s="25" t="str">
        <f t="shared" si="3"/>
        <v>25</v>
      </c>
      <c r="R44" s="25" t="str">
        <f t="shared" ref="R44:S44" si="46">C44</f>
        <v>P6_AM1</v>
      </c>
      <c r="S44" s="25" t="str">
        <f t="shared" si="46"/>
        <v>AM1_67</v>
      </c>
      <c r="T44" s="13" t="str">
        <f t="shared" si="5"/>
        <v>Onda 4</v>
      </c>
      <c r="U44" s="28"/>
    </row>
    <row r="45" ht="15.75" customHeight="1">
      <c r="A45" s="1" t="s">
        <v>143</v>
      </c>
      <c r="B45" s="18">
        <v>5.0316269701E11</v>
      </c>
      <c r="C45" s="1" t="s">
        <v>206</v>
      </c>
      <c r="D45" s="1" t="s">
        <v>207</v>
      </c>
      <c r="E45" s="1">
        <v>26.0</v>
      </c>
      <c r="F45" s="1" t="s">
        <v>65</v>
      </c>
      <c r="G45" s="1" t="s">
        <v>208</v>
      </c>
      <c r="H45" s="1" t="s">
        <v>58</v>
      </c>
      <c r="I45" s="1"/>
      <c r="J45" s="1"/>
      <c r="K45" s="18">
        <v>230.0</v>
      </c>
      <c r="L45" s="1" t="s">
        <v>49</v>
      </c>
      <c r="M45" s="1"/>
      <c r="N45" s="1"/>
      <c r="P45" s="25" t="str">
        <f t="shared" si="2"/>
        <v>Onda 4 - 26</v>
      </c>
      <c r="Q45" s="25" t="str">
        <f t="shared" si="3"/>
        <v>26</v>
      </c>
      <c r="R45" s="25" t="str">
        <f t="shared" ref="R45:S45" si="47">C45</f>
        <v>A1_AM1</v>
      </c>
      <c r="S45" s="25" t="str">
        <f t="shared" si="47"/>
        <v>AM1_122</v>
      </c>
      <c r="T45" s="13" t="str">
        <f t="shared" si="5"/>
        <v>Onda 4</v>
      </c>
      <c r="U45" s="28"/>
    </row>
    <row r="46" ht="15.75" customHeight="1">
      <c r="A46" s="1" t="s">
        <v>143</v>
      </c>
      <c r="B46" s="18">
        <v>5.03162052007E11</v>
      </c>
      <c r="C46" s="1" t="s">
        <v>209</v>
      </c>
      <c r="D46" s="1" t="s">
        <v>210</v>
      </c>
      <c r="E46" s="1">
        <v>27.0</v>
      </c>
      <c r="F46" s="1" t="s">
        <v>141</v>
      </c>
      <c r="G46" s="1" t="s">
        <v>211</v>
      </c>
      <c r="H46" s="1" t="s">
        <v>92</v>
      </c>
      <c r="I46" s="1"/>
      <c r="J46" s="1" t="s">
        <v>26</v>
      </c>
      <c r="K46" s="18">
        <v>126.0</v>
      </c>
      <c r="L46" s="1" t="s">
        <v>88</v>
      </c>
      <c r="M46" s="1"/>
      <c r="N46" s="1"/>
      <c r="P46" s="25" t="str">
        <f t="shared" si="2"/>
        <v>Onda 4 - 27</v>
      </c>
      <c r="Q46" s="25" t="str">
        <f t="shared" si="3"/>
        <v>27</v>
      </c>
      <c r="R46" s="25" t="str">
        <f t="shared" ref="R46:S46" si="48">C46</f>
        <v>I3_AM1</v>
      </c>
      <c r="S46" s="25" t="str">
        <f t="shared" si="48"/>
        <v>AM1_10</v>
      </c>
      <c r="T46" s="13" t="str">
        <f t="shared" si="5"/>
        <v>Onda 4</v>
      </c>
      <c r="U46" s="28"/>
    </row>
    <row r="47" ht="15.75" customHeight="1">
      <c r="A47" s="1" t="s">
        <v>143</v>
      </c>
      <c r="B47" s="18">
        <v>5.03162052011E11</v>
      </c>
      <c r="C47" s="1" t="s">
        <v>212</v>
      </c>
      <c r="D47" s="1" t="s">
        <v>213</v>
      </c>
      <c r="E47" s="1">
        <v>28.0</v>
      </c>
      <c r="F47" s="1" t="s">
        <v>141</v>
      </c>
      <c r="G47" s="1" t="s">
        <v>214</v>
      </c>
      <c r="H47" s="1" t="s">
        <v>58</v>
      </c>
      <c r="I47" s="21"/>
      <c r="J47" s="1" t="s">
        <v>26</v>
      </c>
      <c r="K47" s="18">
        <v>118.0</v>
      </c>
      <c r="L47" s="1" t="s">
        <v>88</v>
      </c>
      <c r="M47" s="1"/>
      <c r="N47" s="1"/>
      <c r="P47" s="25" t="str">
        <f t="shared" si="2"/>
        <v>Onda 4 - 28</v>
      </c>
      <c r="Q47" s="25" t="str">
        <f t="shared" si="3"/>
        <v>28</v>
      </c>
      <c r="R47" s="25" t="str">
        <f t="shared" ref="R47:S47" si="49">C47</f>
        <v>H8_AM1</v>
      </c>
      <c r="S47" s="25" t="str">
        <f t="shared" si="49"/>
        <v>AM1_14</v>
      </c>
      <c r="T47" s="13" t="str">
        <f t="shared" si="5"/>
        <v>Onda 4</v>
      </c>
      <c r="U47" s="28"/>
    </row>
    <row r="48" ht="15.75" customHeight="1">
      <c r="A48" s="1" t="s">
        <v>143</v>
      </c>
      <c r="B48" s="18">
        <v>5.03162211005E11</v>
      </c>
      <c r="C48" s="1" t="s">
        <v>216</v>
      </c>
      <c r="D48" s="1" t="s">
        <v>217</v>
      </c>
      <c r="E48" s="1">
        <v>29.0</v>
      </c>
      <c r="F48" s="1" t="s">
        <v>141</v>
      </c>
      <c r="G48" s="1" t="s">
        <v>218</v>
      </c>
      <c r="H48" s="1" t="s">
        <v>92</v>
      </c>
      <c r="I48" s="21"/>
      <c r="J48" s="1" t="s">
        <v>26</v>
      </c>
      <c r="K48" s="18">
        <v>105.0</v>
      </c>
      <c r="L48" s="1" t="s">
        <v>39</v>
      </c>
      <c r="M48" s="1"/>
      <c r="N48" s="1"/>
      <c r="P48" s="25" t="str">
        <f t="shared" si="2"/>
        <v>Onda 4 - 29</v>
      </c>
      <c r="Q48" s="25" t="str">
        <f t="shared" si="3"/>
        <v>29</v>
      </c>
      <c r="R48" s="25" t="str">
        <f t="shared" ref="R48:S48" si="50">C48</f>
        <v>I10_AM1</v>
      </c>
      <c r="S48" s="25" t="str">
        <f t="shared" si="50"/>
        <v>AM1_61</v>
      </c>
      <c r="T48" s="13" t="str">
        <f t="shared" si="5"/>
        <v>Onda 4</v>
      </c>
      <c r="U48" s="28"/>
    </row>
    <row r="49" ht="15.75" customHeight="1">
      <c r="A49" s="1" t="s">
        <v>143</v>
      </c>
      <c r="B49" s="18">
        <v>5.03162367003E11</v>
      </c>
      <c r="C49" s="1" t="s">
        <v>222</v>
      </c>
      <c r="D49" s="1" t="s">
        <v>223</v>
      </c>
      <c r="E49" s="1">
        <v>30.0</v>
      </c>
      <c r="F49" s="1" t="s">
        <v>141</v>
      </c>
      <c r="G49" s="1" t="s">
        <v>224</v>
      </c>
      <c r="H49" s="1" t="s">
        <v>72</v>
      </c>
      <c r="I49" s="21"/>
      <c r="J49" s="1" t="s">
        <v>165</v>
      </c>
      <c r="K49" s="18">
        <v>125.0</v>
      </c>
      <c r="L49" s="1" t="s">
        <v>169</v>
      </c>
      <c r="M49" s="1"/>
      <c r="N49" s="1"/>
      <c r="P49" s="25" t="str">
        <f t="shared" si="2"/>
        <v>Onda 4 - 30</v>
      </c>
      <c r="Q49" s="25" t="str">
        <f t="shared" si="3"/>
        <v>30</v>
      </c>
      <c r="R49" s="25" t="str">
        <f t="shared" ref="R49:S49" si="51">C49</f>
        <v>B4_AM1</v>
      </c>
      <c r="S49" s="25" t="str">
        <f t="shared" si="51"/>
        <v>AM1_104</v>
      </c>
      <c r="T49" s="13" t="str">
        <f t="shared" si="5"/>
        <v>Onda 4</v>
      </c>
      <c r="U49" s="28"/>
    </row>
    <row r="50" ht="15.75" customHeight="1">
      <c r="A50" s="1" t="s">
        <v>226</v>
      </c>
      <c r="B50" s="18">
        <v>5.03162210015E11</v>
      </c>
      <c r="C50" s="1" t="s">
        <v>227</v>
      </c>
      <c r="D50" s="1" t="s">
        <v>228</v>
      </c>
      <c r="E50" s="1">
        <v>9.0</v>
      </c>
      <c r="F50" s="1" t="s">
        <v>21</v>
      </c>
      <c r="G50" s="1" t="s">
        <v>229</v>
      </c>
      <c r="H50" s="1" t="s">
        <v>25</v>
      </c>
      <c r="I50" s="1"/>
      <c r="J50" s="1" t="s">
        <v>165</v>
      </c>
      <c r="K50" s="18">
        <v>352.0</v>
      </c>
      <c r="L50" s="1" t="s">
        <v>27</v>
      </c>
      <c r="M50" s="1"/>
      <c r="N50" s="1"/>
      <c r="P50" s="25" t="str">
        <f t="shared" si="2"/>
        <v>Onda 5 - 9</v>
      </c>
      <c r="Q50" s="25" t="str">
        <f t="shared" si="3"/>
        <v>9</v>
      </c>
      <c r="R50" s="25" t="str">
        <f t="shared" ref="R50:S50" si="52">C50</f>
        <v>D3_AM1</v>
      </c>
      <c r="S50" s="25" t="str">
        <f t="shared" si="52"/>
        <v>AM1_51</v>
      </c>
      <c r="T50" s="13" t="str">
        <f t="shared" si="5"/>
        <v>Onda 5</v>
      </c>
      <c r="U50" s="28"/>
    </row>
    <row r="51" ht="15.75" customHeight="1">
      <c r="A51" s="1" t="s">
        <v>226</v>
      </c>
      <c r="B51" s="18">
        <v>5.03162210011E11</v>
      </c>
      <c r="C51" s="1" t="s">
        <v>233</v>
      </c>
      <c r="D51" s="1" t="s">
        <v>234</v>
      </c>
      <c r="E51" s="1">
        <v>10.0</v>
      </c>
      <c r="F51" s="1" t="s">
        <v>21</v>
      </c>
      <c r="G51" s="1" t="s">
        <v>235</v>
      </c>
      <c r="H51" s="1" t="s">
        <v>173</v>
      </c>
      <c r="I51" s="1" t="s">
        <v>38</v>
      </c>
      <c r="J51" s="1" t="s">
        <v>165</v>
      </c>
      <c r="K51" s="18">
        <v>219.0</v>
      </c>
      <c r="L51" s="1" t="s">
        <v>27</v>
      </c>
      <c r="M51" s="1"/>
      <c r="N51" s="1"/>
      <c r="P51" s="25" t="str">
        <f t="shared" si="2"/>
        <v>Onda 5 - 10</v>
      </c>
      <c r="Q51" s="25" t="str">
        <f t="shared" si="3"/>
        <v>10</v>
      </c>
      <c r="R51" s="25" t="str">
        <f t="shared" ref="R51:S51" si="53">C51</f>
        <v>D2_AM1</v>
      </c>
      <c r="S51" s="25" t="str">
        <f t="shared" si="53"/>
        <v>AM1_47</v>
      </c>
      <c r="T51" s="13" t="str">
        <f t="shared" si="5"/>
        <v>Onda 5</v>
      </c>
      <c r="U51" s="28"/>
    </row>
    <row r="52" ht="15.75" customHeight="1">
      <c r="A52" s="1" t="s">
        <v>226</v>
      </c>
      <c r="B52" s="18">
        <v>5.03162207007E11</v>
      </c>
      <c r="C52" s="1" t="s">
        <v>239</v>
      </c>
      <c r="D52" s="1" t="s">
        <v>240</v>
      </c>
      <c r="E52" s="1">
        <v>11.0</v>
      </c>
      <c r="F52" s="1" t="s">
        <v>21</v>
      </c>
      <c r="G52" s="1" t="s">
        <v>241</v>
      </c>
      <c r="H52" s="1" t="s">
        <v>47</v>
      </c>
      <c r="I52" s="1"/>
      <c r="J52" s="1" t="s">
        <v>165</v>
      </c>
      <c r="K52" s="18">
        <v>142.0</v>
      </c>
      <c r="L52" s="1" t="s">
        <v>242</v>
      </c>
      <c r="M52" s="1"/>
      <c r="N52" s="1"/>
      <c r="P52" s="25" t="str">
        <f t="shared" si="2"/>
        <v>Onda 5 - 11</v>
      </c>
      <c r="Q52" s="25" t="str">
        <f t="shared" si="3"/>
        <v>11</v>
      </c>
      <c r="R52" s="25" t="str">
        <f t="shared" ref="R52:S52" si="54">C52</f>
        <v>C4_AM1</v>
      </c>
      <c r="S52" s="25" t="str">
        <f t="shared" si="54"/>
        <v>AM1_98</v>
      </c>
      <c r="T52" s="13" t="str">
        <f t="shared" si="5"/>
        <v>Onda 5</v>
      </c>
      <c r="U52" s="28"/>
    </row>
    <row r="53" ht="15.75" customHeight="1">
      <c r="A53" s="1" t="s">
        <v>226</v>
      </c>
      <c r="B53" s="18">
        <v>5.03162210014E11</v>
      </c>
      <c r="C53" s="1" t="s">
        <v>245</v>
      </c>
      <c r="D53" s="1" t="s">
        <v>246</v>
      </c>
      <c r="E53" s="1">
        <v>12.0</v>
      </c>
      <c r="F53" s="1" t="s">
        <v>21</v>
      </c>
      <c r="G53" s="1" t="s">
        <v>247</v>
      </c>
      <c r="H53" s="1" t="s">
        <v>25</v>
      </c>
      <c r="I53" s="1"/>
      <c r="J53" s="1" t="s">
        <v>165</v>
      </c>
      <c r="K53" s="18">
        <v>63.0</v>
      </c>
      <c r="L53" s="1" t="s">
        <v>27</v>
      </c>
      <c r="M53" s="1"/>
      <c r="N53" s="1"/>
      <c r="P53" s="25" t="str">
        <f t="shared" si="2"/>
        <v>Onda 5 - 12</v>
      </c>
      <c r="Q53" s="25" t="str">
        <f t="shared" si="3"/>
        <v>12</v>
      </c>
      <c r="R53" s="25" t="str">
        <f t="shared" ref="R53:S53" si="55">C53</f>
        <v>VN3_AM1</v>
      </c>
      <c r="S53" s="25" t="str">
        <f t="shared" si="55"/>
        <v>AM1_50</v>
      </c>
      <c r="T53" s="13" t="str">
        <f t="shared" si="5"/>
        <v>Onda 5</v>
      </c>
      <c r="U53" s="28"/>
    </row>
    <row r="54" ht="15.75" customHeight="1">
      <c r="A54" s="1" t="s">
        <v>226</v>
      </c>
      <c r="B54" s="18">
        <v>5.03162207008E11</v>
      </c>
      <c r="C54" s="1" t="s">
        <v>249</v>
      </c>
      <c r="D54" s="1" t="s">
        <v>250</v>
      </c>
      <c r="E54" s="1">
        <v>13.0</v>
      </c>
      <c r="F54" s="1" t="s">
        <v>65</v>
      </c>
      <c r="G54" s="1" t="s">
        <v>252</v>
      </c>
      <c r="H54" s="1" t="s">
        <v>58</v>
      </c>
      <c r="I54" s="1"/>
      <c r="J54" s="1"/>
      <c r="K54" s="18">
        <v>85.0</v>
      </c>
      <c r="L54" s="1" t="s">
        <v>242</v>
      </c>
      <c r="M54" s="1"/>
      <c r="N54" s="1"/>
      <c r="P54" s="25" t="str">
        <f t="shared" si="2"/>
        <v>Onda 5 - 13</v>
      </c>
      <c r="Q54" s="25" t="str">
        <f t="shared" si="3"/>
        <v>13</v>
      </c>
      <c r="R54" s="25" t="str">
        <f t="shared" ref="R54:S54" si="56">C54</f>
        <v>B9_AM1</v>
      </c>
      <c r="S54" s="25" t="str">
        <f t="shared" si="56"/>
        <v>AM1_99</v>
      </c>
      <c r="T54" s="13" t="str">
        <f t="shared" si="5"/>
        <v>Onda 5</v>
      </c>
      <c r="U54" s="28"/>
    </row>
    <row r="55" ht="15.75" customHeight="1">
      <c r="A55" s="1" t="s">
        <v>226</v>
      </c>
      <c r="B55" s="18">
        <v>5.03162207009E11</v>
      </c>
      <c r="C55" s="1" t="s">
        <v>255</v>
      </c>
      <c r="D55" s="1" t="s">
        <v>256</v>
      </c>
      <c r="E55" s="1">
        <v>14.0</v>
      </c>
      <c r="F55" s="1" t="s">
        <v>65</v>
      </c>
      <c r="G55" s="1" t="s">
        <v>258</v>
      </c>
      <c r="H55" s="1" t="s">
        <v>58</v>
      </c>
      <c r="I55" s="21"/>
      <c r="J55" s="1" t="s">
        <v>165</v>
      </c>
      <c r="K55" s="18">
        <v>113.0</v>
      </c>
      <c r="L55" s="1" t="s">
        <v>242</v>
      </c>
      <c r="M55" s="1"/>
      <c r="N55" s="1"/>
      <c r="P55" s="25" t="str">
        <f t="shared" si="2"/>
        <v>Onda 5 - 14</v>
      </c>
      <c r="Q55" s="25" t="str">
        <f t="shared" si="3"/>
        <v>14</v>
      </c>
      <c r="R55" s="25" t="str">
        <f t="shared" ref="R55:S55" si="57">C55</f>
        <v>B6_AM1</v>
      </c>
      <c r="S55" s="25" t="str">
        <f t="shared" si="57"/>
        <v>AM1_100</v>
      </c>
      <c r="T55" s="13" t="str">
        <f t="shared" si="5"/>
        <v>Onda 5</v>
      </c>
      <c r="U55" s="28"/>
    </row>
    <row r="56" ht="15.75" customHeight="1">
      <c r="A56" s="1" t="s">
        <v>226</v>
      </c>
      <c r="B56" s="18">
        <v>5.03162095001E11</v>
      </c>
      <c r="C56" s="1" t="s">
        <v>260</v>
      </c>
      <c r="D56" s="1" t="s">
        <v>261</v>
      </c>
      <c r="E56" s="1">
        <v>15.0</v>
      </c>
      <c r="F56" s="1" t="s">
        <v>21</v>
      </c>
      <c r="G56" s="1" t="s">
        <v>262</v>
      </c>
      <c r="H56" s="1" t="s">
        <v>25</v>
      </c>
      <c r="I56" s="1" t="s">
        <v>38</v>
      </c>
      <c r="J56" s="21"/>
      <c r="K56" s="18">
        <v>1199.0</v>
      </c>
      <c r="L56" s="1" t="s">
        <v>263</v>
      </c>
      <c r="M56" s="1"/>
      <c r="N56" s="1"/>
      <c r="P56" s="25" t="str">
        <f t="shared" si="2"/>
        <v>Onda 5 - 15</v>
      </c>
      <c r="Q56" s="25" t="str">
        <f t="shared" si="3"/>
        <v>15</v>
      </c>
      <c r="R56" s="25" t="str">
        <f t="shared" ref="R56:S56" si="58">C56</f>
        <v>F1_AM1</v>
      </c>
      <c r="S56" s="25" t="str">
        <f t="shared" si="58"/>
        <v>AM1_2</v>
      </c>
      <c r="T56" s="13" t="str">
        <f t="shared" si="5"/>
        <v>Onda 5</v>
      </c>
      <c r="U56" s="28"/>
    </row>
    <row r="57" ht="15.75" customHeight="1">
      <c r="A57" s="1" t="s">
        <v>226</v>
      </c>
      <c r="B57" s="18">
        <v>5.03162207004E11</v>
      </c>
      <c r="C57" s="1" t="s">
        <v>264</v>
      </c>
      <c r="D57" s="1" t="s">
        <v>265</v>
      </c>
      <c r="E57" s="1">
        <v>16.0</v>
      </c>
      <c r="F57" s="1" t="s">
        <v>21</v>
      </c>
      <c r="G57" s="1" t="s">
        <v>266</v>
      </c>
      <c r="H57" s="1" t="s">
        <v>100</v>
      </c>
      <c r="I57" s="1"/>
      <c r="J57" s="1" t="s">
        <v>165</v>
      </c>
      <c r="K57" s="18">
        <v>100.0</v>
      </c>
      <c r="L57" s="1" t="s">
        <v>242</v>
      </c>
      <c r="M57" s="1"/>
      <c r="N57" s="1"/>
      <c r="P57" s="25" t="str">
        <f t="shared" si="2"/>
        <v>Onda 5 - 16</v>
      </c>
      <c r="Q57" s="25" t="str">
        <f t="shared" si="3"/>
        <v>16</v>
      </c>
      <c r="R57" s="25" t="str">
        <f t="shared" ref="R57:S57" si="59">C57</f>
        <v>B8_AM1</v>
      </c>
      <c r="S57" s="25" t="str">
        <f t="shared" si="59"/>
        <v>AM1_95</v>
      </c>
      <c r="T57" s="13" t="str">
        <f t="shared" si="5"/>
        <v>Onda 5</v>
      </c>
      <c r="U57" s="28"/>
    </row>
    <row r="58" ht="15.75" customHeight="1">
      <c r="A58" s="1" t="s">
        <v>226</v>
      </c>
      <c r="B58" s="18">
        <v>5.03162697005E11</v>
      </c>
      <c r="C58" s="1" t="s">
        <v>269</v>
      </c>
      <c r="D58" s="1" t="s">
        <v>270</v>
      </c>
      <c r="E58" s="1">
        <v>17.0</v>
      </c>
      <c r="F58" s="1" t="s">
        <v>56</v>
      </c>
      <c r="G58" s="1" t="s">
        <v>272</v>
      </c>
      <c r="H58" s="1" t="s">
        <v>273</v>
      </c>
      <c r="I58" s="1" t="s">
        <v>274</v>
      </c>
      <c r="J58" s="1" t="s">
        <v>165</v>
      </c>
      <c r="K58" s="18">
        <v>87.0</v>
      </c>
      <c r="L58" s="1" t="s">
        <v>49</v>
      </c>
      <c r="M58" s="1"/>
      <c r="N58" s="1"/>
      <c r="P58" s="25" t="str">
        <f t="shared" si="2"/>
        <v>Onda 5 - 17</v>
      </c>
      <c r="Q58" s="25" t="str">
        <f t="shared" si="3"/>
        <v>17</v>
      </c>
      <c r="R58" s="25" t="str">
        <f t="shared" ref="R58:S58" si="60">C58</f>
        <v>C10_AM1</v>
      </c>
      <c r="S58" s="25" t="str">
        <f t="shared" si="60"/>
        <v>AM1_117</v>
      </c>
      <c r="T58" s="13" t="str">
        <f t="shared" si="5"/>
        <v>Onda 5</v>
      </c>
      <c r="U58" s="28"/>
    </row>
    <row r="59" ht="15.75" customHeight="1">
      <c r="A59" s="1" t="s">
        <v>226</v>
      </c>
      <c r="B59" s="18">
        <v>5.03162367002E11</v>
      </c>
      <c r="C59" s="1" t="s">
        <v>276</v>
      </c>
      <c r="D59" s="1" t="s">
        <v>277</v>
      </c>
      <c r="E59" s="1">
        <v>18.0</v>
      </c>
      <c r="F59" s="1" t="s">
        <v>56</v>
      </c>
      <c r="G59" s="1" t="s">
        <v>278</v>
      </c>
      <c r="H59" s="1" t="s">
        <v>279</v>
      </c>
      <c r="I59" s="1" t="s">
        <v>274</v>
      </c>
      <c r="J59" s="1" t="s">
        <v>165</v>
      </c>
      <c r="K59" s="18">
        <v>159.0</v>
      </c>
      <c r="L59" s="1" t="s">
        <v>169</v>
      </c>
      <c r="M59" s="1"/>
      <c r="N59" s="1"/>
      <c r="P59" s="25" t="str">
        <f t="shared" si="2"/>
        <v>Onda 5 - 18</v>
      </c>
      <c r="Q59" s="25" t="str">
        <f t="shared" si="3"/>
        <v>18</v>
      </c>
      <c r="R59" s="25" t="str">
        <f t="shared" ref="R59:S59" si="61">C59</f>
        <v>C1_AM1</v>
      </c>
      <c r="S59" s="25" t="str">
        <f t="shared" si="61"/>
        <v>AM1_103</v>
      </c>
      <c r="T59" s="13" t="str">
        <f t="shared" si="5"/>
        <v>Onda 5</v>
      </c>
      <c r="U59" s="28"/>
    </row>
    <row r="60" ht="15.75" customHeight="1">
      <c r="A60" s="1" t="s">
        <v>226</v>
      </c>
      <c r="B60" s="18">
        <v>5.03162367005E11</v>
      </c>
      <c r="C60" s="1" t="s">
        <v>281</v>
      </c>
      <c r="D60" s="1" t="s">
        <v>282</v>
      </c>
      <c r="E60" s="1">
        <v>19.0</v>
      </c>
      <c r="F60" s="1" t="s">
        <v>21</v>
      </c>
      <c r="G60" s="1" t="s">
        <v>283</v>
      </c>
      <c r="H60" s="1" t="s">
        <v>100</v>
      </c>
      <c r="I60" s="21"/>
      <c r="J60" s="1" t="s">
        <v>165</v>
      </c>
      <c r="K60" s="18">
        <v>156.0</v>
      </c>
      <c r="L60" s="1" t="s">
        <v>169</v>
      </c>
      <c r="M60" s="1"/>
      <c r="N60" s="1"/>
      <c r="P60" s="25" t="str">
        <f t="shared" si="2"/>
        <v>Onda 5 - 19</v>
      </c>
      <c r="Q60" s="25" t="str">
        <f t="shared" si="3"/>
        <v>19</v>
      </c>
      <c r="R60" s="25" t="str">
        <f t="shared" ref="R60:S60" si="62">C60</f>
        <v>C3_AM1</v>
      </c>
      <c r="S60" s="25" t="str">
        <f t="shared" si="62"/>
        <v>AM1_106</v>
      </c>
      <c r="T60" s="13" t="str">
        <f t="shared" si="5"/>
        <v>Onda 5</v>
      </c>
      <c r="U60" s="28"/>
    </row>
    <row r="61" ht="15.75" customHeight="1">
      <c r="A61" s="1" t="s">
        <v>226</v>
      </c>
      <c r="B61" s="18">
        <v>5.03162697002E11</v>
      </c>
      <c r="C61" s="1" t="s">
        <v>286</v>
      </c>
      <c r="D61" s="1" t="s">
        <v>287</v>
      </c>
      <c r="E61" s="1">
        <v>20.0</v>
      </c>
      <c r="F61" s="1" t="s">
        <v>141</v>
      </c>
      <c r="G61" s="1" t="s">
        <v>288</v>
      </c>
      <c r="H61" s="1" t="s">
        <v>100</v>
      </c>
      <c r="I61" s="1"/>
      <c r="J61" s="1"/>
      <c r="K61" s="18">
        <v>96.0</v>
      </c>
      <c r="L61" s="1" t="s">
        <v>49</v>
      </c>
      <c r="M61" s="1"/>
      <c r="N61" s="1"/>
      <c r="P61" s="25" t="str">
        <f t="shared" si="2"/>
        <v>Onda 5 - 20</v>
      </c>
      <c r="Q61" s="25" t="str">
        <f t="shared" si="3"/>
        <v>20</v>
      </c>
      <c r="R61" s="25" t="str">
        <f t="shared" ref="R61:S61" si="63">C61</f>
        <v>C9_AM1</v>
      </c>
      <c r="S61" s="25" t="str">
        <f t="shared" si="63"/>
        <v>AM1_114</v>
      </c>
      <c r="T61" s="13" t="str">
        <f t="shared" si="5"/>
        <v>Onda 5</v>
      </c>
      <c r="U61" s="28"/>
    </row>
    <row r="62" ht="15.75" customHeight="1">
      <c r="A62" s="1" t="s">
        <v>226</v>
      </c>
      <c r="B62" s="18">
        <v>5.03162367008E11</v>
      </c>
      <c r="C62" s="1" t="s">
        <v>289</v>
      </c>
      <c r="D62" s="1" t="s">
        <v>290</v>
      </c>
      <c r="E62" s="1">
        <v>21.0</v>
      </c>
      <c r="F62" s="1" t="s">
        <v>141</v>
      </c>
      <c r="G62" s="1" t="s">
        <v>291</v>
      </c>
      <c r="H62" s="1" t="s">
        <v>273</v>
      </c>
      <c r="I62" s="1" t="s">
        <v>274</v>
      </c>
      <c r="J62" s="1" t="s">
        <v>165</v>
      </c>
      <c r="K62" s="18">
        <v>97.0</v>
      </c>
      <c r="L62" s="1" t="s">
        <v>169</v>
      </c>
      <c r="M62" s="1"/>
      <c r="N62" s="1"/>
      <c r="P62" s="25" t="str">
        <f t="shared" si="2"/>
        <v>Onda 5 - 21</v>
      </c>
      <c r="Q62" s="25" t="str">
        <f t="shared" si="3"/>
        <v>21</v>
      </c>
      <c r="R62" s="25" t="str">
        <f t="shared" ref="R62:S62" si="64">C62</f>
        <v>C8_AM1</v>
      </c>
      <c r="S62" s="25" t="str">
        <f t="shared" si="64"/>
        <v>AM1_109</v>
      </c>
      <c r="T62" s="13" t="str">
        <f t="shared" si="5"/>
        <v>Onda 5</v>
      </c>
      <c r="U62" s="28"/>
    </row>
    <row r="63" ht="15.75" customHeight="1">
      <c r="A63" s="1" t="s">
        <v>226</v>
      </c>
      <c r="B63" s="18">
        <v>5.03162367006E11</v>
      </c>
      <c r="C63" s="1" t="s">
        <v>293</v>
      </c>
      <c r="D63" s="1" t="s">
        <v>294</v>
      </c>
      <c r="E63" s="1">
        <v>22.0</v>
      </c>
      <c r="F63" s="1" t="s">
        <v>141</v>
      </c>
      <c r="G63" s="1" t="s">
        <v>295</v>
      </c>
      <c r="H63" s="1" t="s">
        <v>92</v>
      </c>
      <c r="I63" s="21"/>
      <c r="J63" s="1" t="s">
        <v>165</v>
      </c>
      <c r="K63" s="18">
        <v>98.0</v>
      </c>
      <c r="L63" s="1" t="s">
        <v>169</v>
      </c>
      <c r="M63" s="1"/>
      <c r="N63" s="1"/>
      <c r="P63" s="25" t="str">
        <f t="shared" si="2"/>
        <v>Onda 5 - 22</v>
      </c>
      <c r="Q63" s="25" t="str">
        <f t="shared" si="3"/>
        <v>22</v>
      </c>
      <c r="R63" s="25" t="str">
        <f t="shared" ref="R63:S63" si="65">C63</f>
        <v>D5_AM1</v>
      </c>
      <c r="S63" s="25" t="str">
        <f t="shared" si="65"/>
        <v>AM1_107</v>
      </c>
      <c r="T63" s="13" t="str">
        <f t="shared" si="5"/>
        <v>Onda 5</v>
      </c>
      <c r="U63" s="28"/>
    </row>
    <row r="64" ht="15.75" customHeight="1">
      <c r="A64" s="1" t="s">
        <v>226</v>
      </c>
      <c r="B64" s="18">
        <v>5.03162367011E11</v>
      </c>
      <c r="C64" s="1" t="s">
        <v>297</v>
      </c>
      <c r="D64" s="1" t="s">
        <v>299</v>
      </c>
      <c r="E64" s="1">
        <v>23.0</v>
      </c>
      <c r="F64" s="1" t="s">
        <v>70</v>
      </c>
      <c r="G64" s="1" t="s">
        <v>300</v>
      </c>
      <c r="H64" s="1" t="s">
        <v>58</v>
      </c>
      <c r="I64" s="1"/>
      <c r="J64" s="1" t="s">
        <v>165</v>
      </c>
      <c r="K64" s="18">
        <v>141.0</v>
      </c>
      <c r="L64" s="1" t="s">
        <v>169</v>
      </c>
      <c r="M64" s="1"/>
      <c r="N64" s="1"/>
      <c r="P64" s="25" t="str">
        <f t="shared" si="2"/>
        <v>Onda 5 - 23</v>
      </c>
      <c r="Q64" s="25" t="str">
        <f t="shared" si="3"/>
        <v>23</v>
      </c>
      <c r="R64" s="25" t="str">
        <f t="shared" ref="R64:S64" si="66">C64</f>
        <v>C5_AM1</v>
      </c>
      <c r="S64" s="25" t="str">
        <f t="shared" si="66"/>
        <v>AM1_112</v>
      </c>
      <c r="T64" s="13" t="str">
        <f t="shared" si="5"/>
        <v>Onda 5</v>
      </c>
      <c r="U64" s="28"/>
    </row>
    <row r="65" ht="15.75" customHeight="1">
      <c r="A65" s="1" t="s">
        <v>226</v>
      </c>
      <c r="B65" s="18">
        <v>5.03162697013E11</v>
      </c>
      <c r="C65" s="1" t="s">
        <v>301</v>
      </c>
      <c r="D65" s="1" t="s">
        <v>302</v>
      </c>
      <c r="E65" s="1">
        <v>24.0</v>
      </c>
      <c r="F65" s="1" t="s">
        <v>70</v>
      </c>
      <c r="G65" s="1" t="s">
        <v>303</v>
      </c>
      <c r="H65" s="1" t="s">
        <v>183</v>
      </c>
      <c r="I65" s="1"/>
      <c r="J65" s="1" t="s">
        <v>165</v>
      </c>
      <c r="K65" s="18">
        <v>132.0</v>
      </c>
      <c r="L65" s="1" t="s">
        <v>49</v>
      </c>
      <c r="M65" s="1"/>
      <c r="N65" s="1"/>
      <c r="P65" s="25" t="str">
        <f t="shared" si="2"/>
        <v>Onda 5 - 24</v>
      </c>
      <c r="Q65" s="25" t="str">
        <f t="shared" si="3"/>
        <v>24</v>
      </c>
      <c r="R65" s="25" t="str">
        <f t="shared" ref="R65:S65" si="67">C65</f>
        <v>A3_AM1</v>
      </c>
      <c r="S65" s="25" t="str">
        <f t="shared" si="67"/>
        <v>AM1_125</v>
      </c>
      <c r="T65" s="13" t="str">
        <f t="shared" si="5"/>
        <v>Onda 5</v>
      </c>
      <c r="U65" s="28"/>
    </row>
    <row r="66" ht="15.75" customHeight="1">
      <c r="A66" s="1" t="s">
        <v>226</v>
      </c>
      <c r="B66" s="18">
        <v>5.03162207003E11</v>
      </c>
      <c r="C66" s="1" t="s">
        <v>305</v>
      </c>
      <c r="D66" s="1" t="s">
        <v>306</v>
      </c>
      <c r="E66" s="1">
        <v>25.0</v>
      </c>
      <c r="F66" s="1" t="s">
        <v>70</v>
      </c>
      <c r="G66" s="1" t="s">
        <v>307</v>
      </c>
      <c r="H66" s="1" t="s">
        <v>308</v>
      </c>
      <c r="I66" s="21"/>
      <c r="J66" s="1" t="s">
        <v>165</v>
      </c>
      <c r="K66" s="18">
        <v>122.0</v>
      </c>
      <c r="L66" s="1" t="s">
        <v>242</v>
      </c>
      <c r="M66" s="1"/>
      <c r="N66" s="1"/>
      <c r="P66" s="25" t="str">
        <f t="shared" si="2"/>
        <v>Onda 5 - 25</v>
      </c>
      <c r="Q66" s="25" t="str">
        <f t="shared" si="3"/>
        <v>25</v>
      </c>
      <c r="R66" s="25" t="str">
        <f t="shared" ref="R66:S66" si="68">C66</f>
        <v>B5_AM1</v>
      </c>
      <c r="S66" s="25" t="str">
        <f t="shared" si="68"/>
        <v>AM1_94</v>
      </c>
      <c r="T66" s="13" t="str">
        <f t="shared" si="5"/>
        <v>Onda 5</v>
      </c>
      <c r="U66" s="28"/>
    </row>
    <row r="67" ht="15.75" customHeight="1">
      <c r="A67" s="1" t="s">
        <v>226</v>
      </c>
      <c r="B67" s="18">
        <v>5.03162207001E11</v>
      </c>
      <c r="C67" s="1" t="s">
        <v>310</v>
      </c>
      <c r="D67" s="1" t="s">
        <v>311</v>
      </c>
      <c r="E67" s="1">
        <v>26.0</v>
      </c>
      <c r="F67" s="1" t="s">
        <v>70</v>
      </c>
      <c r="G67" s="1" t="s">
        <v>312</v>
      </c>
      <c r="H67" s="1" t="s">
        <v>72</v>
      </c>
      <c r="I67" s="21"/>
      <c r="J67" s="1" t="s">
        <v>165</v>
      </c>
      <c r="K67" s="18">
        <v>59.0</v>
      </c>
      <c r="L67" s="1" t="s">
        <v>242</v>
      </c>
      <c r="M67" s="1"/>
      <c r="N67" s="1"/>
      <c r="P67" s="25" t="str">
        <f t="shared" si="2"/>
        <v>Onda 5 - 26</v>
      </c>
      <c r="Q67" s="25" t="str">
        <f t="shared" si="3"/>
        <v>26</v>
      </c>
      <c r="R67" s="25" t="str">
        <f t="shared" ref="R67:S67" si="69">C67</f>
        <v>B10_AM1</v>
      </c>
      <c r="S67" s="25" t="str">
        <f t="shared" si="69"/>
        <v>AM1_92</v>
      </c>
      <c r="T67" s="13" t="str">
        <f t="shared" si="5"/>
        <v>Onda 5</v>
      </c>
      <c r="U67" s="28"/>
    </row>
    <row r="68" ht="15.75" customHeight="1">
      <c r="A68" s="1" t="s">
        <v>226</v>
      </c>
      <c r="B68" s="18">
        <v>5.03162207006E11</v>
      </c>
      <c r="C68" s="1" t="s">
        <v>313</v>
      </c>
      <c r="D68" s="1" t="s">
        <v>314</v>
      </c>
      <c r="E68" s="1">
        <v>27.0</v>
      </c>
      <c r="F68" s="1" t="s">
        <v>21</v>
      </c>
      <c r="G68" s="1" t="s">
        <v>315</v>
      </c>
      <c r="H68" s="1" t="s">
        <v>47</v>
      </c>
      <c r="I68" s="21"/>
      <c r="J68" s="1" t="s">
        <v>165</v>
      </c>
      <c r="K68" s="18">
        <v>113.0</v>
      </c>
      <c r="L68" s="1" t="s">
        <v>242</v>
      </c>
      <c r="M68" s="1"/>
      <c r="N68" s="1"/>
      <c r="P68" s="25" t="str">
        <f t="shared" si="2"/>
        <v>Onda 5 - 27</v>
      </c>
      <c r="Q68" s="25" t="str">
        <f t="shared" si="3"/>
        <v>27</v>
      </c>
      <c r="R68" s="25" t="str">
        <f t="shared" ref="R68:S68" si="70">C68</f>
        <v>B7_AM1</v>
      </c>
      <c r="S68" s="25" t="str">
        <f t="shared" si="70"/>
        <v>AM1_97</v>
      </c>
      <c r="T68" s="13" t="str">
        <f t="shared" si="5"/>
        <v>Onda 5</v>
      </c>
      <c r="U68" s="28"/>
    </row>
    <row r="69" ht="15.75" customHeight="1">
      <c r="A69" s="1" t="s">
        <v>226</v>
      </c>
      <c r="B69" s="18">
        <v>5.03162367004E11</v>
      </c>
      <c r="C69" s="1" t="s">
        <v>318</v>
      </c>
      <c r="D69" s="1" t="s">
        <v>319</v>
      </c>
      <c r="E69" s="1">
        <v>28.0</v>
      </c>
      <c r="F69" s="1" t="s">
        <v>56</v>
      </c>
      <c r="G69" s="1" t="s">
        <v>320</v>
      </c>
      <c r="H69" s="1" t="s">
        <v>58</v>
      </c>
      <c r="I69" s="1" t="s">
        <v>274</v>
      </c>
      <c r="J69" s="1" t="s">
        <v>165</v>
      </c>
      <c r="K69" s="18">
        <v>105.0</v>
      </c>
      <c r="L69" s="1" t="s">
        <v>169</v>
      </c>
      <c r="M69" s="1"/>
      <c r="N69" s="1"/>
      <c r="P69" s="25" t="str">
        <f t="shared" si="2"/>
        <v>Onda 5 - 28</v>
      </c>
      <c r="Q69" s="25" t="str">
        <f t="shared" si="3"/>
        <v>28</v>
      </c>
      <c r="R69" s="25" t="str">
        <f t="shared" ref="R69:S69" si="71">C69</f>
        <v>C7_AM1</v>
      </c>
      <c r="S69" s="25" t="str">
        <f t="shared" si="71"/>
        <v>AM1_105</v>
      </c>
      <c r="T69" s="13" t="str">
        <f t="shared" si="5"/>
        <v>Onda 5</v>
      </c>
      <c r="U69" s="28"/>
    </row>
    <row r="70" ht="15.75" customHeight="1">
      <c r="A70" s="1" t="s">
        <v>226</v>
      </c>
      <c r="B70" s="18">
        <v>5.0316220701E11</v>
      </c>
      <c r="C70" s="1" t="s">
        <v>322</v>
      </c>
      <c r="D70" s="1" t="s">
        <v>323</v>
      </c>
      <c r="E70" s="1">
        <v>29.0</v>
      </c>
      <c r="F70" s="1" t="s">
        <v>111</v>
      </c>
      <c r="G70" s="1" t="s">
        <v>324</v>
      </c>
      <c r="H70" s="1" t="s">
        <v>58</v>
      </c>
      <c r="I70" s="21"/>
      <c r="J70" s="1" t="s">
        <v>165</v>
      </c>
      <c r="K70" s="18">
        <v>99.0</v>
      </c>
      <c r="L70" s="1" t="s">
        <v>242</v>
      </c>
      <c r="M70" s="1"/>
      <c r="N70" s="1"/>
      <c r="P70" s="25" t="str">
        <f t="shared" si="2"/>
        <v>Onda 5 - 29</v>
      </c>
      <c r="Q70" s="25" t="str">
        <f t="shared" si="3"/>
        <v>29</v>
      </c>
      <c r="R70" s="25" t="str">
        <f t="shared" ref="R70:S70" si="72">C70</f>
        <v>D4_AM1</v>
      </c>
      <c r="S70" s="25" t="str">
        <f t="shared" si="72"/>
        <v>AM1_101</v>
      </c>
      <c r="T70" s="13" t="str">
        <f t="shared" si="5"/>
        <v>Onda 5</v>
      </c>
      <c r="U70" s="28"/>
    </row>
    <row r="71" ht="15.75" customHeight="1">
      <c r="A71" s="1" t="s">
        <v>226</v>
      </c>
      <c r="B71" s="18">
        <v>5.03162207002E11</v>
      </c>
      <c r="C71" s="1" t="s">
        <v>326</v>
      </c>
      <c r="D71" s="1" t="s">
        <v>327</v>
      </c>
      <c r="E71" s="1">
        <v>30.0</v>
      </c>
      <c r="F71" s="1" t="s">
        <v>111</v>
      </c>
      <c r="G71" s="1" t="s">
        <v>328</v>
      </c>
      <c r="H71" s="1" t="s">
        <v>72</v>
      </c>
      <c r="I71" s="1"/>
      <c r="J71" s="1" t="s">
        <v>165</v>
      </c>
      <c r="K71" s="18">
        <v>83.0</v>
      </c>
      <c r="L71" s="1" t="s">
        <v>242</v>
      </c>
      <c r="M71" s="1"/>
      <c r="N71" s="1"/>
      <c r="P71" s="25" t="str">
        <f t="shared" si="2"/>
        <v>Onda 5 - 30</v>
      </c>
      <c r="Q71" s="25" t="str">
        <f t="shared" si="3"/>
        <v>30</v>
      </c>
      <c r="R71" s="25" t="str">
        <f t="shared" ref="R71:S71" si="73">C71</f>
        <v>D6_AM1</v>
      </c>
      <c r="S71" s="25" t="str">
        <f t="shared" si="73"/>
        <v>AM1_93</v>
      </c>
      <c r="T71" s="13" t="str">
        <f t="shared" si="5"/>
        <v>Onda 5</v>
      </c>
      <c r="U71" s="28"/>
    </row>
    <row r="72" ht="15.75" customHeight="1">
      <c r="A72" s="1" t="s">
        <v>330</v>
      </c>
      <c r="B72" s="18">
        <v>5.0316205201E11</v>
      </c>
      <c r="C72" s="1" t="s">
        <v>331</v>
      </c>
      <c r="D72" s="1" t="s">
        <v>332</v>
      </c>
      <c r="E72" s="1">
        <v>1.0</v>
      </c>
      <c r="F72" s="1" t="s">
        <v>21</v>
      </c>
      <c r="G72" s="1" t="s">
        <v>333</v>
      </c>
      <c r="H72" s="1" t="s">
        <v>25</v>
      </c>
      <c r="I72" s="1"/>
      <c r="J72" s="1" t="s">
        <v>165</v>
      </c>
      <c r="K72" s="18">
        <v>105.0</v>
      </c>
      <c r="L72" s="1" t="s">
        <v>88</v>
      </c>
      <c r="M72" s="1"/>
      <c r="N72" s="1"/>
      <c r="P72" s="25" t="str">
        <f t="shared" si="2"/>
        <v>Onda 6 - DOCA 1</v>
      </c>
      <c r="Q72" s="25" t="str">
        <f t="shared" si="3"/>
        <v>DOCA 1</v>
      </c>
      <c r="R72" s="25" t="str">
        <f t="shared" ref="R72:S72" si="74">C72</f>
        <v>VM10_AM1</v>
      </c>
      <c r="S72" s="25" t="str">
        <f t="shared" si="74"/>
        <v>AM1_13</v>
      </c>
      <c r="T72" s="13" t="str">
        <f t="shared" si="5"/>
        <v>Onda 6</v>
      </c>
      <c r="U72" s="28"/>
    </row>
    <row r="73" ht="15.75" customHeight="1">
      <c r="A73" s="1" t="s">
        <v>330</v>
      </c>
      <c r="B73" s="18">
        <v>5.03162209006E11</v>
      </c>
      <c r="C73" s="1" t="s">
        <v>336</v>
      </c>
      <c r="D73" s="1" t="s">
        <v>337</v>
      </c>
      <c r="E73" s="1">
        <v>2.0</v>
      </c>
      <c r="F73" s="1" t="s">
        <v>21</v>
      </c>
      <c r="G73" s="1" t="s">
        <v>338</v>
      </c>
      <c r="H73" s="1" t="s">
        <v>25</v>
      </c>
      <c r="I73" s="1"/>
      <c r="J73" s="1"/>
      <c r="K73" s="18">
        <v>56.0</v>
      </c>
      <c r="L73" s="1" t="s">
        <v>73</v>
      </c>
      <c r="M73" s="1"/>
      <c r="N73" s="1"/>
      <c r="P73" s="25" t="str">
        <f t="shared" si="2"/>
        <v>Onda 6 - DOCA 2</v>
      </c>
      <c r="Q73" s="25" t="str">
        <f t="shared" si="3"/>
        <v>DOCA 2</v>
      </c>
      <c r="R73" s="25" t="str">
        <f t="shared" ref="R73:S73" si="75">C73</f>
        <v>VM11_AM1</v>
      </c>
      <c r="S73" s="25" t="str">
        <f t="shared" si="75"/>
        <v>AM1_20</v>
      </c>
      <c r="T73" s="13" t="str">
        <f t="shared" si="5"/>
        <v>Onda 6</v>
      </c>
      <c r="U73" s="28"/>
    </row>
    <row r="74" ht="15.75" customHeight="1">
      <c r="A74" s="1" t="s">
        <v>330</v>
      </c>
      <c r="B74" s="18">
        <v>5.03162207005E11</v>
      </c>
      <c r="C74" s="1" t="s">
        <v>339</v>
      </c>
      <c r="D74" s="1" t="s">
        <v>340</v>
      </c>
      <c r="E74" s="1">
        <v>9.0</v>
      </c>
      <c r="F74" s="1" t="s">
        <v>21</v>
      </c>
      <c r="G74" s="1" t="s">
        <v>341</v>
      </c>
      <c r="H74" s="1" t="s">
        <v>25</v>
      </c>
      <c r="I74" s="21"/>
      <c r="J74" s="1" t="s">
        <v>165</v>
      </c>
      <c r="K74" s="18">
        <v>100.0</v>
      </c>
      <c r="L74" s="1" t="s">
        <v>242</v>
      </c>
      <c r="M74" s="1"/>
      <c r="N74" s="1"/>
      <c r="P74" s="25" t="str">
        <f t="shared" si="2"/>
        <v>Onda 6 - 9</v>
      </c>
      <c r="Q74" s="25" t="str">
        <f t="shared" si="3"/>
        <v>9</v>
      </c>
      <c r="R74" s="25" t="str">
        <f t="shared" ref="R74:S74" si="76">C74</f>
        <v>VN2_AM1</v>
      </c>
      <c r="S74" s="25" t="str">
        <f t="shared" si="76"/>
        <v>AM1_96</v>
      </c>
      <c r="T74" s="13" t="str">
        <f t="shared" si="5"/>
        <v>Onda 6</v>
      </c>
      <c r="U74" s="28"/>
    </row>
    <row r="75" ht="15.75" customHeight="1">
      <c r="A75" s="1" t="s">
        <v>330</v>
      </c>
      <c r="B75" s="18">
        <v>5.03162209007E11</v>
      </c>
      <c r="C75" s="1" t="s">
        <v>344</v>
      </c>
      <c r="D75" s="1" t="s">
        <v>345</v>
      </c>
      <c r="E75" s="1">
        <v>10.0</v>
      </c>
      <c r="F75" s="1" t="s">
        <v>70</v>
      </c>
      <c r="G75" s="1" t="s">
        <v>346</v>
      </c>
      <c r="H75" s="1" t="s">
        <v>58</v>
      </c>
      <c r="I75" s="21"/>
      <c r="J75" s="1" t="s">
        <v>165</v>
      </c>
      <c r="K75" s="18">
        <v>160.0</v>
      </c>
      <c r="L75" s="1" t="s">
        <v>73</v>
      </c>
      <c r="M75" s="1"/>
      <c r="N75" s="1"/>
      <c r="P75" s="25" t="str">
        <f t="shared" si="2"/>
        <v>Onda 6 - 10</v>
      </c>
      <c r="Q75" s="25" t="str">
        <f t="shared" si="3"/>
        <v>10</v>
      </c>
      <c r="R75" s="25" t="str">
        <f t="shared" ref="R75:S75" si="77">C75</f>
        <v>H1_AM1</v>
      </c>
      <c r="S75" s="25" t="str">
        <f t="shared" si="77"/>
        <v>AM1_21</v>
      </c>
      <c r="T75" s="13" t="str">
        <f t="shared" si="5"/>
        <v>Onda 6</v>
      </c>
      <c r="U75" s="28"/>
    </row>
    <row r="76" ht="15.75" customHeight="1">
      <c r="A76" s="1" t="s">
        <v>330</v>
      </c>
      <c r="B76" s="18">
        <v>5.03162210012E11</v>
      </c>
      <c r="C76" s="1" t="s">
        <v>347</v>
      </c>
      <c r="D76" s="1" t="s">
        <v>348</v>
      </c>
      <c r="E76" s="1">
        <v>11.0</v>
      </c>
      <c r="F76" s="1" t="s">
        <v>70</v>
      </c>
      <c r="G76" s="1" t="s">
        <v>349</v>
      </c>
      <c r="H76" s="1" t="s">
        <v>173</v>
      </c>
      <c r="I76" s="21"/>
      <c r="J76" s="1" t="s">
        <v>165</v>
      </c>
      <c r="K76" s="18">
        <v>127.0</v>
      </c>
      <c r="L76" s="1" t="s">
        <v>27</v>
      </c>
      <c r="M76" s="1"/>
      <c r="N76" s="1"/>
      <c r="P76" s="25" t="str">
        <f t="shared" ref="P76:P614" si="79">IFERROR(CONCATENATE(A76," - ",Q76),"")</f>
        <v>Onda 6 - 11</v>
      </c>
      <c r="Q76" s="25" t="str">
        <f t="shared" si="3"/>
        <v>11</v>
      </c>
      <c r="R76" s="25" t="str">
        <f t="shared" ref="R76:S76" si="78">C76</f>
        <v>H6_AM1</v>
      </c>
      <c r="S76" s="25" t="str">
        <f t="shared" si="78"/>
        <v>AM1_48</v>
      </c>
      <c r="T76" s="13" t="str">
        <f t="shared" si="5"/>
        <v>Onda 6</v>
      </c>
      <c r="U76" s="28"/>
    </row>
    <row r="77" ht="15.75" customHeight="1">
      <c r="A77" s="1" t="s">
        <v>330</v>
      </c>
      <c r="B77" s="18">
        <v>5.03162094001E11</v>
      </c>
      <c r="C77" s="1" t="s">
        <v>351</v>
      </c>
      <c r="D77" s="1" t="s">
        <v>352</v>
      </c>
      <c r="E77" s="1">
        <v>12.0</v>
      </c>
      <c r="F77" s="1" t="s">
        <v>70</v>
      </c>
      <c r="G77" s="1" t="s">
        <v>353</v>
      </c>
      <c r="H77" s="1" t="s">
        <v>354</v>
      </c>
      <c r="I77" s="1" t="s">
        <v>38</v>
      </c>
      <c r="J77" s="1" t="s">
        <v>165</v>
      </c>
      <c r="K77" s="18">
        <v>1415.0</v>
      </c>
      <c r="L77" s="1" t="s">
        <v>355</v>
      </c>
      <c r="M77" s="1"/>
      <c r="N77" s="1"/>
      <c r="P77" s="25" t="str">
        <f t="shared" si="79"/>
        <v>Onda 6 - 12</v>
      </c>
      <c r="Q77" s="25" t="str">
        <f t="shared" si="3"/>
        <v>12</v>
      </c>
      <c r="R77" s="25" t="str">
        <f t="shared" ref="R77:S77" si="80">C77</f>
        <v>G1_AM1</v>
      </c>
      <c r="S77" s="25" t="str">
        <f t="shared" si="80"/>
        <v>AM1_1</v>
      </c>
      <c r="T77" s="13" t="str">
        <f t="shared" si="5"/>
        <v>Onda 6</v>
      </c>
      <c r="U77" s="28"/>
    </row>
    <row r="78" ht="15.75" customHeight="1">
      <c r="A78" s="1" t="s">
        <v>330</v>
      </c>
      <c r="B78" s="16">
        <v>5.03162210018E11</v>
      </c>
      <c r="C78" s="16" t="s">
        <v>356</v>
      </c>
      <c r="D78" s="16" t="s">
        <v>357</v>
      </c>
      <c r="E78" s="16">
        <v>13.0</v>
      </c>
      <c r="F78" s="16" t="s">
        <v>70</v>
      </c>
      <c r="G78" s="128" t="s">
        <v>358</v>
      </c>
      <c r="H78" s="16" t="s">
        <v>58</v>
      </c>
      <c r="I78" s="130"/>
      <c r="J78" s="16" t="s">
        <v>165</v>
      </c>
      <c r="K78" s="16">
        <v>112.0</v>
      </c>
      <c r="L78" s="16" t="s">
        <v>27</v>
      </c>
      <c r="M78" s="16"/>
      <c r="N78" s="16"/>
      <c r="P78" s="25" t="str">
        <f t="shared" si="79"/>
        <v>Onda 6 - 13</v>
      </c>
      <c r="Q78" s="25" t="str">
        <f t="shared" si="3"/>
        <v>13</v>
      </c>
      <c r="R78" s="25" t="str">
        <f t="shared" ref="R78:S78" si="81">C78</f>
        <v>H9_AM1</v>
      </c>
      <c r="S78" s="25" t="str">
        <f t="shared" si="81"/>
        <v>AM1_54</v>
      </c>
      <c r="T78" s="13" t="str">
        <f t="shared" si="5"/>
        <v>Onda 6</v>
      </c>
      <c r="U78" s="28"/>
    </row>
    <row r="79" ht="15.75" customHeight="1">
      <c r="A79" s="1" t="s">
        <v>330</v>
      </c>
      <c r="B79" s="16">
        <v>5.03162210019E11</v>
      </c>
      <c r="C79" s="16" t="s">
        <v>359</v>
      </c>
      <c r="D79" s="16" t="s">
        <v>360</v>
      </c>
      <c r="E79" s="16">
        <v>14.0</v>
      </c>
      <c r="F79" s="16" t="s">
        <v>70</v>
      </c>
      <c r="G79" s="128" t="s">
        <v>361</v>
      </c>
      <c r="H79" s="16" t="s">
        <v>58</v>
      </c>
      <c r="I79" s="130"/>
      <c r="J79" s="130"/>
      <c r="K79" s="16">
        <v>44.0</v>
      </c>
      <c r="L79" s="16" t="s">
        <v>27</v>
      </c>
      <c r="M79" s="16"/>
      <c r="N79" s="16"/>
      <c r="P79" s="25" t="str">
        <f t="shared" si="79"/>
        <v>Onda 6 - 14</v>
      </c>
      <c r="Q79" s="25" t="str">
        <f t="shared" si="3"/>
        <v>14</v>
      </c>
      <c r="R79" s="25" t="str">
        <f t="shared" ref="R79:S79" si="82">C79</f>
        <v>H12_AM1</v>
      </c>
      <c r="S79" s="25" t="str">
        <f t="shared" si="82"/>
        <v>AM1_55</v>
      </c>
      <c r="T79" s="13" t="str">
        <f t="shared" si="5"/>
        <v>Onda 6</v>
      </c>
      <c r="U79" s="28"/>
    </row>
    <row r="80" ht="15.75" customHeight="1">
      <c r="A80" s="1" t="s">
        <v>330</v>
      </c>
      <c r="B80" s="16">
        <v>5.03162367007E11</v>
      </c>
      <c r="C80" s="16" t="s">
        <v>362</v>
      </c>
      <c r="D80" s="16" t="s">
        <v>363</v>
      </c>
      <c r="E80" s="16">
        <v>15.0</v>
      </c>
      <c r="F80" s="16" t="s">
        <v>21</v>
      </c>
      <c r="G80" s="128" t="s">
        <v>364</v>
      </c>
      <c r="H80" s="16" t="s">
        <v>25</v>
      </c>
      <c r="I80" s="130"/>
      <c r="J80" s="16" t="s">
        <v>165</v>
      </c>
      <c r="K80" s="16">
        <v>263.0</v>
      </c>
      <c r="L80" s="16" t="s">
        <v>169</v>
      </c>
      <c r="M80" s="16"/>
      <c r="N80" s="16"/>
      <c r="P80" s="25" t="str">
        <f t="shared" si="79"/>
        <v>Onda 6 - 15</v>
      </c>
      <c r="Q80" s="25" t="str">
        <f t="shared" si="3"/>
        <v>15</v>
      </c>
      <c r="R80" s="25" t="str">
        <f t="shared" ref="R80:S80" si="83">C80</f>
        <v>VN4_AM1</v>
      </c>
      <c r="S80" s="25" t="str">
        <f t="shared" si="83"/>
        <v>AM1_108</v>
      </c>
      <c r="T80" s="13" t="str">
        <f t="shared" si="5"/>
        <v>Onda 6</v>
      </c>
      <c r="U80" s="28"/>
    </row>
    <row r="81" ht="15.75" customHeight="1">
      <c r="A81" s="1" t="s">
        <v>330</v>
      </c>
      <c r="B81" s="16">
        <v>5.03162210017E11</v>
      </c>
      <c r="C81" s="16" t="s">
        <v>365</v>
      </c>
      <c r="D81" s="16" t="s">
        <v>366</v>
      </c>
      <c r="E81" s="16">
        <v>16.0</v>
      </c>
      <c r="F81" s="16" t="s">
        <v>111</v>
      </c>
      <c r="G81" s="128" t="s">
        <v>367</v>
      </c>
      <c r="H81" s="16" t="s">
        <v>58</v>
      </c>
      <c r="I81" s="130"/>
      <c r="J81" s="16" t="s">
        <v>165</v>
      </c>
      <c r="K81" s="16">
        <v>111.0</v>
      </c>
      <c r="L81" s="16" t="s">
        <v>27</v>
      </c>
      <c r="M81" s="16"/>
      <c r="N81" s="16"/>
      <c r="P81" s="25" t="str">
        <f t="shared" si="79"/>
        <v>Onda 6 - 16</v>
      </c>
      <c r="Q81" s="25" t="str">
        <f t="shared" si="3"/>
        <v>16</v>
      </c>
      <c r="R81" s="25" t="str">
        <f t="shared" ref="R81:S81" si="84">C81</f>
        <v>H10_AM1</v>
      </c>
      <c r="S81" s="25" t="str">
        <f t="shared" si="84"/>
        <v>AM1_53</v>
      </c>
      <c r="T81" s="13" t="str">
        <f t="shared" si="5"/>
        <v>Onda 6</v>
      </c>
      <c r="U81" s="28"/>
    </row>
    <row r="82" ht="15.75" customHeight="1">
      <c r="A82" s="1" t="s">
        <v>330</v>
      </c>
      <c r="B82" s="16">
        <v>5.03162209004E11</v>
      </c>
      <c r="C82" s="16" t="s">
        <v>368</v>
      </c>
      <c r="D82" s="16" t="s">
        <v>369</v>
      </c>
      <c r="E82" s="16">
        <v>17.0</v>
      </c>
      <c r="F82" s="16" t="s">
        <v>111</v>
      </c>
      <c r="G82" s="128" t="s">
        <v>370</v>
      </c>
      <c r="H82" s="16" t="s">
        <v>72</v>
      </c>
      <c r="I82" s="130"/>
      <c r="J82" s="16"/>
      <c r="K82" s="16">
        <v>130.0</v>
      </c>
      <c r="L82" s="16" t="s">
        <v>73</v>
      </c>
      <c r="M82" s="16"/>
      <c r="N82" s="16"/>
      <c r="P82" s="25" t="str">
        <f t="shared" si="79"/>
        <v>Onda 6 - 17</v>
      </c>
      <c r="Q82" s="25" t="str">
        <f t="shared" si="3"/>
        <v>17</v>
      </c>
      <c r="R82" s="25" t="str">
        <f t="shared" ref="R82:S82" si="85">C82</f>
        <v>I2_AM1</v>
      </c>
      <c r="S82" s="25" t="str">
        <f t="shared" si="85"/>
        <v>AM1_18</v>
      </c>
      <c r="T82" s="13" t="str">
        <f t="shared" si="5"/>
        <v>Onda 6</v>
      </c>
      <c r="U82" s="28"/>
    </row>
    <row r="83" ht="15.75" customHeight="1">
      <c r="A83" s="1" t="s">
        <v>330</v>
      </c>
      <c r="B83" s="16">
        <v>5.03162367001E11</v>
      </c>
      <c r="C83" s="16" t="s">
        <v>371</v>
      </c>
      <c r="D83" s="16" t="s">
        <v>372</v>
      </c>
      <c r="E83" s="16">
        <v>18.0</v>
      </c>
      <c r="F83" s="16" t="s">
        <v>373</v>
      </c>
      <c r="G83" s="128" t="s">
        <v>374</v>
      </c>
      <c r="H83" s="16" t="s">
        <v>279</v>
      </c>
      <c r="I83" s="16" t="s">
        <v>274</v>
      </c>
      <c r="J83" s="16" t="s">
        <v>165</v>
      </c>
      <c r="K83" s="16">
        <v>159.0</v>
      </c>
      <c r="L83" s="16" t="s">
        <v>169</v>
      </c>
      <c r="M83" s="16"/>
      <c r="N83" s="16"/>
      <c r="P83" s="25" t="str">
        <f t="shared" si="79"/>
        <v>Onda 6 - 18</v>
      </c>
      <c r="Q83" s="25" t="str">
        <f t="shared" si="3"/>
        <v>18</v>
      </c>
      <c r="R83" s="25" t="str">
        <f t="shared" ref="R83:S83" si="86">C83</f>
        <v>C2_AM1</v>
      </c>
      <c r="S83" s="25" t="str">
        <f t="shared" si="86"/>
        <v>AM1_102</v>
      </c>
      <c r="T83" s="13" t="str">
        <f t="shared" si="5"/>
        <v>Onda 6</v>
      </c>
      <c r="U83" s="28"/>
    </row>
    <row r="84" ht="15.75" customHeight="1">
      <c r="A84" s="1" t="s">
        <v>330</v>
      </c>
      <c r="B84" s="16">
        <v>5.0316221001E11</v>
      </c>
      <c r="C84" s="16" t="s">
        <v>375</v>
      </c>
      <c r="D84" s="16" t="s">
        <v>376</v>
      </c>
      <c r="E84" s="16">
        <v>19.0</v>
      </c>
      <c r="F84" s="16" t="s">
        <v>141</v>
      </c>
      <c r="G84" s="128" t="s">
        <v>377</v>
      </c>
      <c r="H84" s="16" t="s">
        <v>92</v>
      </c>
      <c r="J84" s="16" t="s">
        <v>165</v>
      </c>
      <c r="K84" s="16">
        <v>125.0</v>
      </c>
      <c r="L84" s="16" t="s">
        <v>27</v>
      </c>
      <c r="M84" s="16"/>
      <c r="N84" s="16"/>
      <c r="P84" s="25" t="str">
        <f t="shared" si="79"/>
        <v>Onda 6 - 19</v>
      </c>
      <c r="Q84" s="25" t="str">
        <f t="shared" si="3"/>
        <v>19</v>
      </c>
      <c r="R84" s="25" t="str">
        <f t="shared" ref="R84:S84" si="87">C84</f>
        <v>H7_AM1</v>
      </c>
      <c r="S84" s="25" t="str">
        <f t="shared" si="87"/>
        <v>AM1_46</v>
      </c>
      <c r="T84" s="13" t="str">
        <f t="shared" si="5"/>
        <v>Onda 6</v>
      </c>
      <c r="U84" s="28"/>
    </row>
    <row r="85" ht="15.75" customHeight="1">
      <c r="A85" s="1" t="s">
        <v>330</v>
      </c>
      <c r="B85" s="16">
        <v>5.03162210013E11</v>
      </c>
      <c r="C85" s="16" t="s">
        <v>378</v>
      </c>
      <c r="D85" s="16" t="s">
        <v>379</v>
      </c>
      <c r="E85" s="16">
        <v>20.0</v>
      </c>
      <c r="F85" s="16" t="s">
        <v>21</v>
      </c>
      <c r="G85" s="128" t="s">
        <v>380</v>
      </c>
      <c r="H85" s="16" t="s">
        <v>381</v>
      </c>
      <c r="I85" s="130"/>
      <c r="J85" s="16" t="s">
        <v>165</v>
      </c>
      <c r="K85" s="16">
        <v>116.0</v>
      </c>
      <c r="L85" s="16" t="s">
        <v>27</v>
      </c>
      <c r="M85" s="16"/>
      <c r="N85" s="16"/>
      <c r="P85" s="25" t="str">
        <f t="shared" si="79"/>
        <v>Onda 6 - 20</v>
      </c>
      <c r="Q85" s="25" t="str">
        <f t="shared" si="3"/>
        <v>20</v>
      </c>
      <c r="R85" s="25" t="str">
        <f t="shared" ref="R85:S85" si="88">C85</f>
        <v>I6_AM1</v>
      </c>
      <c r="S85" s="25" t="str">
        <f t="shared" si="88"/>
        <v>AM1_49</v>
      </c>
      <c r="T85" s="13" t="str">
        <f t="shared" si="5"/>
        <v>Onda 6</v>
      </c>
      <c r="U85" s="28"/>
    </row>
    <row r="86" ht="15.75" customHeight="1">
      <c r="A86" s="1" t="s">
        <v>330</v>
      </c>
      <c r="B86" s="16">
        <v>5.03162209003E11</v>
      </c>
      <c r="C86" s="16" t="s">
        <v>382</v>
      </c>
      <c r="D86" s="16" t="s">
        <v>383</v>
      </c>
      <c r="E86" s="16">
        <v>21.0</v>
      </c>
      <c r="F86" s="16" t="s">
        <v>70</v>
      </c>
      <c r="G86" s="128" t="s">
        <v>384</v>
      </c>
      <c r="H86" s="16" t="s">
        <v>72</v>
      </c>
      <c r="I86" s="130"/>
      <c r="J86" s="16" t="s">
        <v>165</v>
      </c>
      <c r="K86" s="16">
        <v>128.0</v>
      </c>
      <c r="L86" s="16" t="s">
        <v>73</v>
      </c>
      <c r="M86" s="16"/>
      <c r="N86" s="16"/>
      <c r="P86" s="25" t="str">
        <f t="shared" si="79"/>
        <v>Onda 6 - 21</v>
      </c>
      <c r="Q86" s="25" t="str">
        <f t="shared" si="3"/>
        <v>21</v>
      </c>
      <c r="R86" s="25" t="str">
        <f t="shared" ref="R86:S86" si="89">C86</f>
        <v>H4_AM1</v>
      </c>
      <c r="S86" s="25" t="str">
        <f t="shared" si="89"/>
        <v>AM1_17</v>
      </c>
      <c r="T86" s="13" t="str">
        <f t="shared" si="5"/>
        <v>Onda 6</v>
      </c>
      <c r="U86" s="28"/>
    </row>
    <row r="87" ht="15.75" customHeight="1">
      <c r="A87" s="1" t="s">
        <v>330</v>
      </c>
      <c r="B87" s="16">
        <v>5.03162210003E11</v>
      </c>
      <c r="C87" s="16" t="s">
        <v>385</v>
      </c>
      <c r="D87" s="16" t="s">
        <v>386</v>
      </c>
      <c r="E87" s="16">
        <v>22.0</v>
      </c>
      <c r="F87" s="16" t="s">
        <v>70</v>
      </c>
      <c r="G87" s="128" t="s">
        <v>387</v>
      </c>
      <c r="H87" s="16" t="s">
        <v>72</v>
      </c>
      <c r="J87" s="16" t="s">
        <v>165</v>
      </c>
      <c r="K87" s="16">
        <v>152.0</v>
      </c>
      <c r="L87" s="16" t="s">
        <v>27</v>
      </c>
      <c r="M87" s="16"/>
      <c r="N87" s="16"/>
      <c r="P87" s="25" t="str">
        <f t="shared" si="79"/>
        <v>Onda 6 - 22</v>
      </c>
      <c r="Q87" s="25" t="str">
        <f t="shared" si="3"/>
        <v>22</v>
      </c>
      <c r="R87" s="25" t="str">
        <f t="shared" ref="R87:S87" si="90">C87</f>
        <v>H2_AM1</v>
      </c>
      <c r="S87" s="25" t="str">
        <f t="shared" si="90"/>
        <v>AM1_39</v>
      </c>
      <c r="T87" s="13" t="str">
        <f t="shared" si="5"/>
        <v>Onda 6</v>
      </c>
      <c r="U87" s="28"/>
    </row>
    <row r="88" ht="15.75" customHeight="1">
      <c r="A88" s="1" t="s">
        <v>330</v>
      </c>
      <c r="B88" s="16">
        <v>5.03162210005E11</v>
      </c>
      <c r="C88" s="16" t="s">
        <v>388</v>
      </c>
      <c r="D88" s="16" t="s">
        <v>389</v>
      </c>
      <c r="E88" s="16">
        <v>23.0</v>
      </c>
      <c r="F88" s="16" t="s">
        <v>70</v>
      </c>
      <c r="G88" s="128" t="s">
        <v>390</v>
      </c>
      <c r="H88" s="16" t="s">
        <v>72</v>
      </c>
      <c r="J88" s="130"/>
      <c r="K88" s="16">
        <v>123.0</v>
      </c>
      <c r="L88" s="16" t="s">
        <v>27</v>
      </c>
      <c r="M88" s="16"/>
      <c r="N88" s="16"/>
      <c r="P88" s="25" t="str">
        <f t="shared" si="79"/>
        <v>Onda 6 - 23</v>
      </c>
      <c r="Q88" s="25" t="str">
        <f t="shared" si="3"/>
        <v>23</v>
      </c>
      <c r="R88" s="25" t="str">
        <f t="shared" ref="R88:S88" si="91">C88</f>
        <v>I5_AM1</v>
      </c>
      <c r="S88" s="25" t="str">
        <f t="shared" si="91"/>
        <v>AM1_41</v>
      </c>
      <c r="T88" s="13" t="str">
        <f t="shared" si="5"/>
        <v>Onda 6</v>
      </c>
      <c r="U88" s="28"/>
    </row>
    <row r="89" ht="15.75" customHeight="1">
      <c r="A89" s="1" t="s">
        <v>330</v>
      </c>
      <c r="B89" s="16">
        <v>5.03162697001E11</v>
      </c>
      <c r="C89" s="16" t="s">
        <v>392</v>
      </c>
      <c r="D89" s="16" t="s">
        <v>393</v>
      </c>
      <c r="E89" s="16">
        <v>24.0</v>
      </c>
      <c r="F89" s="16" t="s">
        <v>373</v>
      </c>
      <c r="G89" s="128" t="s">
        <v>394</v>
      </c>
      <c r="H89" s="16" t="s">
        <v>279</v>
      </c>
      <c r="I89" s="128" t="s">
        <v>274</v>
      </c>
      <c r="J89" s="16" t="s">
        <v>165</v>
      </c>
      <c r="K89" s="16">
        <v>121.0</v>
      </c>
      <c r="L89" s="16" t="s">
        <v>49</v>
      </c>
      <c r="M89" s="16"/>
      <c r="N89" s="16"/>
      <c r="P89" s="25" t="str">
        <f t="shared" si="79"/>
        <v>Onda 6 - 24</v>
      </c>
      <c r="Q89" s="25" t="str">
        <f t="shared" si="3"/>
        <v>24</v>
      </c>
      <c r="R89" s="25" t="str">
        <f t="shared" ref="R89:S89" si="92">C89</f>
        <v>C6_AM1</v>
      </c>
      <c r="S89" s="25" t="str">
        <f t="shared" si="92"/>
        <v>AM1_113</v>
      </c>
      <c r="T89" s="13" t="str">
        <f t="shared" si="5"/>
        <v>Onda 6</v>
      </c>
      <c r="U89" s="28"/>
    </row>
    <row r="90" ht="15.75" customHeight="1">
      <c r="A90" s="1" t="s">
        <v>330</v>
      </c>
      <c r="B90" s="16">
        <v>5.03162210008E11</v>
      </c>
      <c r="C90" s="16" t="s">
        <v>395</v>
      </c>
      <c r="D90" s="16" t="s">
        <v>396</v>
      </c>
      <c r="E90" s="16">
        <v>25.0</v>
      </c>
      <c r="F90" s="16" t="s">
        <v>141</v>
      </c>
      <c r="G90" s="128" t="s">
        <v>397</v>
      </c>
      <c r="H90" s="16" t="s">
        <v>92</v>
      </c>
      <c r="I90" s="130"/>
      <c r="J90" s="16" t="s">
        <v>165</v>
      </c>
      <c r="K90" s="16">
        <v>125.0</v>
      </c>
      <c r="L90" s="16" t="s">
        <v>27</v>
      </c>
      <c r="M90" s="16"/>
      <c r="N90" s="16"/>
      <c r="P90" s="25" t="str">
        <f t="shared" si="79"/>
        <v>Onda 6 - 25</v>
      </c>
      <c r="Q90" s="25" t="str">
        <f t="shared" si="3"/>
        <v>25</v>
      </c>
      <c r="R90" s="25" t="str">
        <f t="shared" ref="R90:S90" si="93">C90</f>
        <v>I4_AM1</v>
      </c>
      <c r="S90" s="25" t="str">
        <f t="shared" si="93"/>
        <v>AM1_44</v>
      </c>
      <c r="T90" s="13" t="str">
        <f t="shared" si="5"/>
        <v>Onda 6</v>
      </c>
      <c r="U90" s="28"/>
    </row>
    <row r="91" ht="15.75" customHeight="1">
      <c r="A91" s="1" t="s">
        <v>330</v>
      </c>
      <c r="B91" s="16">
        <v>5.03162210009E11</v>
      </c>
      <c r="C91" s="16" t="s">
        <v>398</v>
      </c>
      <c r="D91" s="16" t="s">
        <v>399</v>
      </c>
      <c r="E91" s="16">
        <v>26.0</v>
      </c>
      <c r="F91" s="16" t="s">
        <v>141</v>
      </c>
      <c r="G91" s="128" t="s">
        <v>400</v>
      </c>
      <c r="H91" s="16" t="s">
        <v>92</v>
      </c>
      <c r="I91" s="16"/>
      <c r="J91" s="16"/>
      <c r="K91" s="16">
        <v>116.0</v>
      </c>
      <c r="L91" s="16" t="s">
        <v>27</v>
      </c>
      <c r="M91" s="16"/>
      <c r="N91" s="16"/>
      <c r="P91" s="25" t="str">
        <f t="shared" si="79"/>
        <v>Onda 6 - 26</v>
      </c>
      <c r="Q91" s="25" t="str">
        <f t="shared" si="3"/>
        <v>26</v>
      </c>
      <c r="R91" s="25" t="str">
        <f t="shared" ref="R91:S91" si="94">C91</f>
        <v>I7_AM1</v>
      </c>
      <c r="S91" s="25" t="str">
        <f t="shared" si="94"/>
        <v>AM1_45</v>
      </c>
      <c r="T91" s="13" t="str">
        <f t="shared" si="5"/>
        <v>Onda 6</v>
      </c>
      <c r="U91" s="28"/>
    </row>
    <row r="92" ht="15.75" customHeight="1">
      <c r="A92" s="16" t="s">
        <v>330</v>
      </c>
      <c r="B92" s="16">
        <v>5.03162210004E11</v>
      </c>
      <c r="C92" s="16" t="s">
        <v>401</v>
      </c>
      <c r="D92" s="16" t="s">
        <v>402</v>
      </c>
      <c r="E92" s="16">
        <v>27.0</v>
      </c>
      <c r="F92" s="16" t="s">
        <v>141</v>
      </c>
      <c r="G92" s="128" t="s">
        <v>403</v>
      </c>
      <c r="H92" s="16" t="s">
        <v>72</v>
      </c>
      <c r="I92" s="16"/>
      <c r="J92" s="16" t="s">
        <v>165</v>
      </c>
      <c r="K92" s="16">
        <v>137.0</v>
      </c>
      <c r="L92" s="16" t="s">
        <v>27</v>
      </c>
      <c r="M92" s="16"/>
      <c r="N92" s="16"/>
      <c r="P92" s="25" t="str">
        <f t="shared" si="79"/>
        <v>Onda 6 - 27</v>
      </c>
      <c r="Q92" s="25" t="str">
        <f t="shared" si="3"/>
        <v>27</v>
      </c>
      <c r="R92" s="25" t="str">
        <f t="shared" ref="R92:S92" si="95">C92</f>
        <v>H3_AM1</v>
      </c>
      <c r="S92" s="25" t="str">
        <f t="shared" si="95"/>
        <v>AM1_40</v>
      </c>
      <c r="T92" s="13" t="str">
        <f t="shared" si="5"/>
        <v>Onda 6</v>
      </c>
      <c r="U92" s="28"/>
    </row>
    <row r="93" ht="15.75" customHeight="1">
      <c r="A93" s="16" t="s">
        <v>330</v>
      </c>
      <c r="B93" s="16">
        <v>5.03162210002E11</v>
      </c>
      <c r="C93" s="16" t="s">
        <v>404</v>
      </c>
      <c r="D93" s="16" t="s">
        <v>405</v>
      </c>
      <c r="E93" s="16">
        <v>28.0</v>
      </c>
      <c r="F93" s="16" t="s">
        <v>141</v>
      </c>
      <c r="G93" s="128" t="s">
        <v>406</v>
      </c>
      <c r="H93" s="16" t="s">
        <v>72</v>
      </c>
      <c r="J93" s="16" t="s">
        <v>165</v>
      </c>
      <c r="K93" s="16">
        <v>110.0</v>
      </c>
      <c r="L93" s="16" t="s">
        <v>27</v>
      </c>
      <c r="M93" s="16"/>
      <c r="N93" s="16"/>
      <c r="P93" s="25" t="str">
        <f t="shared" si="79"/>
        <v>Onda 6 - 28</v>
      </c>
      <c r="Q93" s="25" t="str">
        <f t="shared" si="3"/>
        <v>28</v>
      </c>
      <c r="R93" s="25" t="str">
        <f t="shared" ref="R93:S93" si="96">C93</f>
        <v>I9_AM1</v>
      </c>
      <c r="S93" s="25" t="str">
        <f t="shared" si="96"/>
        <v>AM1_38</v>
      </c>
      <c r="T93" s="13" t="str">
        <f t="shared" si="5"/>
        <v>Onda 6</v>
      </c>
      <c r="U93" s="28"/>
    </row>
    <row r="94" ht="15.75" customHeight="1">
      <c r="A94" s="16" t="s">
        <v>330</v>
      </c>
      <c r="B94" s="16">
        <v>5.03162697014E11</v>
      </c>
      <c r="C94" s="16" t="s">
        <v>407</v>
      </c>
      <c r="D94" s="16" t="s">
        <v>408</v>
      </c>
      <c r="E94" s="16"/>
      <c r="F94" s="16" t="s">
        <v>21</v>
      </c>
      <c r="G94" s="128" t="s">
        <v>409</v>
      </c>
      <c r="H94" s="16" t="s">
        <v>183</v>
      </c>
      <c r="J94" s="16" t="s">
        <v>165</v>
      </c>
      <c r="K94" s="16">
        <v>40.0</v>
      </c>
      <c r="L94" s="16" t="s">
        <v>49</v>
      </c>
      <c r="M94" s="16"/>
      <c r="N94" s="16"/>
      <c r="P94" s="25" t="str">
        <f t="shared" si="79"/>
        <v>Onda 6 - </v>
      </c>
      <c r="Q94" s="25" t="str">
        <f t="shared" si="3"/>
        <v/>
      </c>
      <c r="R94" s="25" t="str">
        <f t="shared" ref="R94:S94" si="97">C94</f>
        <v>VN5_AM1</v>
      </c>
      <c r="S94" s="25" t="str">
        <f t="shared" si="97"/>
        <v>AM1_126</v>
      </c>
      <c r="T94" s="13" t="str">
        <f t="shared" si="5"/>
        <v>Onda 6</v>
      </c>
      <c r="U94" s="28"/>
    </row>
    <row r="95" ht="15.75" customHeight="1">
      <c r="A95" s="16"/>
      <c r="B95" s="16"/>
      <c r="C95" s="16"/>
      <c r="D95" s="16"/>
      <c r="E95" s="16"/>
      <c r="F95" s="16"/>
      <c r="H95" s="16"/>
      <c r="J95" s="16"/>
      <c r="K95" s="16"/>
      <c r="L95" s="16"/>
      <c r="M95" s="16"/>
      <c r="N95" s="16"/>
      <c r="O95" s="134" t="str">
        <f t="shared" ref="O95:O155" si="99">IF(OR(E95=1,E95=2),CONCATENATE("DOCA ",E95),"")</f>
        <v/>
      </c>
      <c r="P95" s="25" t="str">
        <f t="shared" si="79"/>
        <v> - </v>
      </c>
      <c r="Q95" s="25" t="str">
        <f t="shared" si="3"/>
        <v/>
      </c>
      <c r="R95" s="25" t="str">
        <f t="shared" ref="R95:S95" si="98">C95</f>
        <v/>
      </c>
      <c r="S95" s="25" t="str">
        <f t="shared" si="98"/>
        <v/>
      </c>
      <c r="T95" s="13" t="str">
        <f t="shared" si="5"/>
        <v/>
      </c>
      <c r="U95" s="28"/>
    </row>
    <row r="96" ht="15.75" customHeight="1">
      <c r="A96" s="16"/>
      <c r="B96" s="16"/>
      <c r="C96" s="16"/>
      <c r="D96" s="16"/>
      <c r="E96" s="16"/>
      <c r="F96" s="16"/>
      <c r="H96" s="16"/>
      <c r="I96" s="16"/>
      <c r="J96" s="16"/>
      <c r="K96" s="16"/>
      <c r="L96" s="16"/>
      <c r="M96" s="16"/>
      <c r="N96" s="16"/>
      <c r="O96" s="134" t="str">
        <f t="shared" si="99"/>
        <v/>
      </c>
      <c r="P96" s="25" t="str">
        <f t="shared" si="79"/>
        <v> - </v>
      </c>
      <c r="Q96" s="25" t="str">
        <f t="shared" si="3"/>
        <v/>
      </c>
      <c r="R96" s="25" t="str">
        <f t="shared" ref="R96:S96" si="100">C96</f>
        <v/>
      </c>
      <c r="S96" s="25" t="str">
        <f t="shared" si="100"/>
        <v/>
      </c>
      <c r="T96" s="13" t="str">
        <f t="shared" si="5"/>
        <v/>
      </c>
      <c r="U96" s="28"/>
    </row>
    <row r="97" ht="15.75" customHeight="1">
      <c r="A97" s="16"/>
      <c r="B97" s="16"/>
      <c r="C97" s="16"/>
      <c r="D97" s="16"/>
      <c r="E97" s="16"/>
      <c r="F97" s="16"/>
      <c r="H97" s="16"/>
      <c r="J97" s="130"/>
      <c r="K97" s="16"/>
      <c r="L97" s="16"/>
      <c r="M97" s="16"/>
      <c r="N97" s="16"/>
      <c r="O97" s="134" t="str">
        <f t="shared" si="99"/>
        <v/>
      </c>
      <c r="P97" s="25" t="str">
        <f t="shared" si="79"/>
        <v> - </v>
      </c>
      <c r="Q97" s="25" t="str">
        <f t="shared" si="3"/>
        <v/>
      </c>
      <c r="R97" s="25" t="str">
        <f t="shared" ref="R97:S97" si="101">C97</f>
        <v/>
      </c>
      <c r="S97" s="25" t="str">
        <f t="shared" si="101"/>
        <v/>
      </c>
      <c r="T97" s="13" t="str">
        <f t="shared" si="5"/>
        <v/>
      </c>
      <c r="U97" s="28"/>
    </row>
    <row r="98" ht="15.75" customHeight="1">
      <c r="A98" s="16"/>
      <c r="B98" s="16"/>
      <c r="C98" s="16"/>
      <c r="D98" s="16"/>
      <c r="E98" s="16"/>
      <c r="F98" s="16"/>
      <c r="H98" s="16"/>
      <c r="J98" s="130"/>
      <c r="K98" s="16"/>
      <c r="L98" s="16"/>
      <c r="M98" s="16"/>
      <c r="N98" s="16"/>
      <c r="O98" s="134" t="str">
        <f t="shared" si="99"/>
        <v/>
      </c>
      <c r="P98" s="25" t="str">
        <f t="shared" si="79"/>
        <v> - </v>
      </c>
      <c r="Q98" s="25" t="str">
        <f t="shared" si="3"/>
        <v/>
      </c>
      <c r="R98" s="25" t="str">
        <f t="shared" ref="R98:S98" si="102">C98</f>
        <v/>
      </c>
      <c r="S98" s="25" t="str">
        <f t="shared" si="102"/>
        <v/>
      </c>
      <c r="T98" s="13" t="str">
        <f t="shared" si="5"/>
        <v/>
      </c>
      <c r="U98" s="28"/>
    </row>
    <row r="99" ht="15.75" customHeight="1">
      <c r="A99" s="16"/>
      <c r="B99" s="16"/>
      <c r="C99" s="16"/>
      <c r="D99" s="16"/>
      <c r="E99" s="16"/>
      <c r="F99" s="16"/>
      <c r="H99" s="16"/>
      <c r="J99" s="16"/>
      <c r="K99" s="16"/>
      <c r="L99" s="16"/>
      <c r="M99" s="16"/>
      <c r="N99" s="16"/>
      <c r="O99" s="134" t="str">
        <f t="shared" si="99"/>
        <v/>
      </c>
      <c r="P99" s="25" t="str">
        <f t="shared" si="79"/>
        <v> - </v>
      </c>
      <c r="Q99" s="25" t="str">
        <f t="shared" si="3"/>
        <v/>
      </c>
      <c r="R99" s="25" t="str">
        <f t="shared" ref="R99:S99" si="103">C99</f>
        <v/>
      </c>
      <c r="S99" s="25" t="str">
        <f t="shared" si="103"/>
        <v/>
      </c>
      <c r="T99" s="13" t="str">
        <f t="shared" si="5"/>
        <v/>
      </c>
      <c r="U99" s="28"/>
    </row>
    <row r="100" ht="15.75" customHeight="1">
      <c r="A100" s="16"/>
      <c r="B100" s="16"/>
      <c r="C100" s="16"/>
      <c r="D100" s="16"/>
      <c r="E100" s="16"/>
      <c r="F100" s="16"/>
      <c r="H100" s="16"/>
      <c r="J100" s="130"/>
      <c r="K100" s="16"/>
      <c r="L100" s="16"/>
      <c r="M100" s="16"/>
      <c r="N100" s="16"/>
      <c r="O100" s="134" t="str">
        <f t="shared" si="99"/>
        <v/>
      </c>
      <c r="P100" s="25" t="str">
        <f t="shared" si="79"/>
        <v> - </v>
      </c>
      <c r="Q100" s="25" t="str">
        <f t="shared" si="3"/>
        <v/>
      </c>
      <c r="R100" s="25" t="str">
        <f t="shared" ref="R100:S100" si="104">C100</f>
        <v/>
      </c>
      <c r="S100" s="25" t="str">
        <f t="shared" si="104"/>
        <v/>
      </c>
      <c r="T100" s="13" t="str">
        <f t="shared" si="5"/>
        <v/>
      </c>
      <c r="U100" s="28"/>
    </row>
    <row r="101" ht="15.75" customHeight="1">
      <c r="B101" s="16"/>
      <c r="O101" s="134" t="str">
        <f t="shared" si="99"/>
        <v/>
      </c>
      <c r="P101" s="25" t="str">
        <f t="shared" si="79"/>
        <v> - </v>
      </c>
      <c r="Q101" s="25" t="str">
        <f t="shared" si="3"/>
        <v/>
      </c>
      <c r="R101" s="25" t="str">
        <f t="shared" ref="R101:S101" si="105">C101</f>
        <v/>
      </c>
      <c r="S101" s="25" t="str">
        <f t="shared" si="105"/>
        <v/>
      </c>
      <c r="T101" s="13" t="str">
        <f t="shared" si="5"/>
        <v/>
      </c>
      <c r="U101" s="28"/>
    </row>
    <row r="102" ht="15.75" customHeight="1">
      <c r="B102" s="16"/>
      <c r="O102" s="134" t="str">
        <f t="shared" si="99"/>
        <v/>
      </c>
      <c r="P102" s="25" t="str">
        <f t="shared" si="79"/>
        <v> - </v>
      </c>
      <c r="Q102" s="25" t="str">
        <f t="shared" si="3"/>
        <v/>
      </c>
      <c r="R102" s="25" t="str">
        <f t="shared" ref="R102:S102" si="106">C102</f>
        <v/>
      </c>
      <c r="S102" s="25" t="str">
        <f t="shared" si="106"/>
        <v/>
      </c>
      <c r="T102" s="13" t="str">
        <f t="shared" si="5"/>
        <v/>
      </c>
      <c r="U102" s="28"/>
    </row>
    <row r="103" ht="15.75" customHeight="1">
      <c r="B103" s="16"/>
      <c r="O103" s="134" t="str">
        <f t="shared" si="99"/>
        <v/>
      </c>
      <c r="P103" s="25" t="str">
        <f t="shared" si="79"/>
        <v> - </v>
      </c>
      <c r="Q103" s="25" t="str">
        <f t="shared" si="3"/>
        <v/>
      </c>
      <c r="R103" s="25" t="str">
        <f t="shared" ref="R103:S103" si="107">C103</f>
        <v/>
      </c>
      <c r="S103" s="25" t="str">
        <f t="shared" si="107"/>
        <v/>
      </c>
      <c r="T103" s="13" t="str">
        <f t="shared" si="5"/>
        <v/>
      </c>
      <c r="U103" s="28"/>
    </row>
    <row r="104" ht="15.75" customHeight="1">
      <c r="B104" s="16"/>
      <c r="O104" s="134" t="str">
        <f t="shared" si="99"/>
        <v/>
      </c>
      <c r="P104" s="25" t="str">
        <f t="shared" si="79"/>
        <v> - </v>
      </c>
      <c r="Q104" s="25" t="str">
        <f t="shared" si="3"/>
        <v/>
      </c>
      <c r="R104" s="25" t="str">
        <f t="shared" ref="R104:S104" si="108">C104</f>
        <v/>
      </c>
      <c r="S104" s="25" t="str">
        <f t="shared" si="108"/>
        <v/>
      </c>
      <c r="T104" s="13" t="str">
        <f t="shared" si="5"/>
        <v/>
      </c>
      <c r="U104" s="28"/>
    </row>
    <row r="105" ht="15.75" customHeight="1">
      <c r="B105" s="16"/>
      <c r="O105" s="134" t="str">
        <f t="shared" si="99"/>
        <v/>
      </c>
      <c r="P105" s="25" t="str">
        <f t="shared" si="79"/>
        <v> - </v>
      </c>
      <c r="Q105" s="25" t="str">
        <f t="shared" si="3"/>
        <v/>
      </c>
      <c r="R105" s="25" t="str">
        <f t="shared" ref="R105:S105" si="109">C105</f>
        <v/>
      </c>
      <c r="S105" s="25" t="str">
        <f t="shared" si="109"/>
        <v/>
      </c>
      <c r="T105" s="13" t="str">
        <f t="shared" si="5"/>
        <v/>
      </c>
      <c r="U105" s="28"/>
    </row>
    <row r="106" ht="15.75" customHeight="1">
      <c r="B106" s="16"/>
      <c r="O106" s="134" t="str">
        <f t="shared" si="99"/>
        <v/>
      </c>
      <c r="P106" s="25" t="str">
        <f t="shared" si="79"/>
        <v> - </v>
      </c>
      <c r="Q106" s="25" t="str">
        <f t="shared" si="3"/>
        <v/>
      </c>
      <c r="R106" s="25" t="str">
        <f t="shared" ref="R106:S106" si="110">C106</f>
        <v/>
      </c>
      <c r="S106" s="25" t="str">
        <f t="shared" si="110"/>
        <v/>
      </c>
      <c r="T106" s="13" t="str">
        <f t="shared" si="5"/>
        <v/>
      </c>
      <c r="U106" s="28"/>
    </row>
    <row r="107" ht="15.75" customHeight="1">
      <c r="B107" s="16"/>
      <c r="O107" s="134" t="str">
        <f t="shared" si="99"/>
        <v/>
      </c>
      <c r="P107" s="25" t="str">
        <f t="shared" si="79"/>
        <v> - </v>
      </c>
      <c r="Q107" s="25" t="str">
        <f t="shared" si="3"/>
        <v/>
      </c>
      <c r="R107" s="25" t="str">
        <f t="shared" ref="R107:S107" si="111">C107</f>
        <v/>
      </c>
      <c r="S107" s="25" t="str">
        <f t="shared" si="111"/>
        <v/>
      </c>
      <c r="T107" s="13" t="str">
        <f t="shared" si="5"/>
        <v/>
      </c>
      <c r="U107" s="28"/>
    </row>
    <row r="108" ht="15.75" customHeight="1">
      <c r="B108" s="16"/>
      <c r="O108" s="134" t="str">
        <f t="shared" si="99"/>
        <v/>
      </c>
      <c r="P108" s="25" t="str">
        <f t="shared" si="79"/>
        <v> - </v>
      </c>
      <c r="Q108" s="25" t="str">
        <f t="shared" si="3"/>
        <v/>
      </c>
      <c r="R108" s="25" t="str">
        <f t="shared" ref="R108:S108" si="112">C108</f>
        <v/>
      </c>
      <c r="S108" s="25" t="str">
        <f t="shared" si="112"/>
        <v/>
      </c>
      <c r="T108" s="13" t="str">
        <f t="shared" si="5"/>
        <v/>
      </c>
      <c r="U108" s="28"/>
    </row>
    <row r="109" ht="15.75" customHeight="1">
      <c r="B109" s="16"/>
      <c r="O109" s="134" t="str">
        <f t="shared" si="99"/>
        <v/>
      </c>
      <c r="P109" s="25" t="str">
        <f t="shared" si="79"/>
        <v> - </v>
      </c>
      <c r="Q109" s="25" t="str">
        <f t="shared" si="3"/>
        <v/>
      </c>
      <c r="R109" s="25" t="str">
        <f t="shared" ref="R109:S109" si="113">C109</f>
        <v/>
      </c>
      <c r="S109" s="25" t="str">
        <f t="shared" si="113"/>
        <v/>
      </c>
      <c r="T109" s="13" t="str">
        <f t="shared" si="5"/>
        <v/>
      </c>
      <c r="U109" s="28"/>
    </row>
    <row r="110" ht="15.75" customHeight="1">
      <c r="B110" s="16"/>
      <c r="O110" s="134" t="str">
        <f t="shared" si="99"/>
        <v/>
      </c>
      <c r="P110" s="25" t="str">
        <f t="shared" si="79"/>
        <v> - </v>
      </c>
      <c r="Q110" s="25" t="str">
        <f t="shared" si="3"/>
        <v/>
      </c>
      <c r="R110" s="25" t="str">
        <f t="shared" ref="R110:S110" si="114">C110</f>
        <v/>
      </c>
      <c r="S110" s="25" t="str">
        <f t="shared" si="114"/>
        <v/>
      </c>
      <c r="T110" s="13" t="str">
        <f t="shared" si="5"/>
        <v/>
      </c>
      <c r="U110" s="28"/>
    </row>
    <row r="111" ht="15.75" customHeight="1">
      <c r="B111" s="135"/>
      <c r="O111" s="134" t="str">
        <f t="shared" si="99"/>
        <v/>
      </c>
      <c r="P111" s="25" t="str">
        <f t="shared" si="79"/>
        <v> - </v>
      </c>
      <c r="Q111" s="25" t="str">
        <f t="shared" si="3"/>
        <v/>
      </c>
      <c r="R111" s="25" t="str">
        <f t="shared" ref="R111:S111" si="115">C111</f>
        <v/>
      </c>
      <c r="S111" s="25" t="str">
        <f t="shared" si="115"/>
        <v/>
      </c>
      <c r="T111" s="13" t="str">
        <f t="shared" si="5"/>
        <v/>
      </c>
      <c r="U111" s="28"/>
    </row>
    <row r="112" ht="15.75" customHeight="1">
      <c r="B112" s="135"/>
      <c r="O112" s="134" t="str">
        <f t="shared" si="99"/>
        <v/>
      </c>
      <c r="P112" s="25" t="str">
        <f t="shared" si="79"/>
        <v> - </v>
      </c>
      <c r="Q112" s="25" t="str">
        <f t="shared" si="3"/>
        <v/>
      </c>
      <c r="R112" s="25" t="str">
        <f t="shared" ref="R112:S112" si="116">C112</f>
        <v/>
      </c>
      <c r="S112" s="25" t="str">
        <f t="shared" si="116"/>
        <v/>
      </c>
      <c r="T112" s="13" t="str">
        <f t="shared" si="5"/>
        <v/>
      </c>
      <c r="U112" s="28"/>
    </row>
    <row r="113" ht="15.75" customHeight="1">
      <c r="B113" s="135"/>
      <c r="O113" s="134" t="str">
        <f t="shared" si="99"/>
        <v/>
      </c>
      <c r="P113" s="25" t="str">
        <f t="shared" si="79"/>
        <v> - </v>
      </c>
      <c r="Q113" s="25" t="str">
        <f t="shared" si="3"/>
        <v/>
      </c>
      <c r="R113" s="25" t="str">
        <f t="shared" ref="R113:S113" si="117">C113</f>
        <v/>
      </c>
      <c r="S113" s="25" t="str">
        <f t="shared" si="117"/>
        <v/>
      </c>
      <c r="T113" s="13" t="str">
        <f t="shared" si="5"/>
        <v/>
      </c>
      <c r="U113" s="28"/>
    </row>
    <row r="114" ht="15.75" customHeight="1">
      <c r="B114" s="135"/>
      <c r="O114" s="134" t="str">
        <f t="shared" si="99"/>
        <v/>
      </c>
      <c r="P114" s="25" t="str">
        <f t="shared" si="79"/>
        <v> - </v>
      </c>
      <c r="Q114" s="25" t="str">
        <f t="shared" si="3"/>
        <v/>
      </c>
      <c r="R114" s="25" t="str">
        <f t="shared" ref="R114:S114" si="118">C114</f>
        <v/>
      </c>
      <c r="S114" s="25" t="str">
        <f t="shared" si="118"/>
        <v/>
      </c>
      <c r="T114" s="13" t="str">
        <f t="shared" si="5"/>
        <v/>
      </c>
      <c r="U114" s="28"/>
    </row>
    <row r="115" ht="15.75" customHeight="1">
      <c r="B115" s="135"/>
      <c r="O115" s="134" t="str">
        <f t="shared" si="99"/>
        <v/>
      </c>
      <c r="P115" s="25" t="str">
        <f t="shared" si="79"/>
        <v> - </v>
      </c>
      <c r="Q115" s="25" t="str">
        <f t="shared" si="3"/>
        <v/>
      </c>
      <c r="R115" s="25" t="str">
        <f t="shared" ref="R115:S115" si="119">C115</f>
        <v/>
      </c>
      <c r="S115" s="25" t="str">
        <f t="shared" si="119"/>
        <v/>
      </c>
      <c r="T115" s="13" t="str">
        <f t="shared" si="5"/>
        <v/>
      </c>
      <c r="U115" s="28"/>
    </row>
    <row r="116" ht="15.75" customHeight="1">
      <c r="B116" s="135"/>
      <c r="O116" s="134" t="str">
        <f t="shared" si="99"/>
        <v/>
      </c>
      <c r="P116" s="25" t="str">
        <f t="shared" si="79"/>
        <v> - </v>
      </c>
      <c r="Q116" s="25" t="str">
        <f t="shared" si="3"/>
        <v/>
      </c>
      <c r="R116" s="25" t="str">
        <f t="shared" ref="R116:S116" si="120">C116</f>
        <v/>
      </c>
      <c r="S116" s="25" t="str">
        <f t="shared" si="120"/>
        <v/>
      </c>
      <c r="T116" s="13" t="str">
        <f t="shared" si="5"/>
        <v/>
      </c>
      <c r="U116" s="28"/>
    </row>
    <row r="117" ht="15.75" customHeight="1">
      <c r="O117" s="134" t="str">
        <f t="shared" si="99"/>
        <v/>
      </c>
      <c r="P117" s="25" t="str">
        <f t="shared" si="79"/>
        <v> - </v>
      </c>
      <c r="Q117" s="25" t="str">
        <f t="shared" si="3"/>
        <v/>
      </c>
      <c r="R117" s="25" t="str">
        <f t="shared" ref="R117:S117" si="121">C117</f>
        <v/>
      </c>
      <c r="S117" s="25" t="str">
        <f t="shared" si="121"/>
        <v/>
      </c>
      <c r="T117" s="13" t="str">
        <f t="shared" si="5"/>
        <v/>
      </c>
      <c r="U117" s="28"/>
    </row>
    <row r="118" ht="15.75" customHeight="1">
      <c r="O118" s="134" t="str">
        <f t="shared" si="99"/>
        <v/>
      </c>
      <c r="P118" s="25" t="str">
        <f t="shared" si="79"/>
        <v> - </v>
      </c>
      <c r="Q118" s="25" t="str">
        <f t="shared" si="3"/>
        <v/>
      </c>
      <c r="R118" s="25" t="str">
        <f t="shared" ref="R118:S118" si="122">C118</f>
        <v/>
      </c>
      <c r="S118" s="25" t="str">
        <f t="shared" si="122"/>
        <v/>
      </c>
      <c r="T118" s="13" t="str">
        <f t="shared" si="5"/>
        <v/>
      </c>
      <c r="U118" s="28"/>
    </row>
    <row r="119" ht="15.75" customHeight="1">
      <c r="O119" s="134" t="str">
        <f t="shared" si="99"/>
        <v/>
      </c>
      <c r="P119" s="25" t="str">
        <f t="shared" si="79"/>
        <v> - </v>
      </c>
      <c r="Q119" s="25" t="str">
        <f t="shared" si="3"/>
        <v/>
      </c>
      <c r="R119" s="25" t="str">
        <f t="shared" ref="R119:S119" si="123">C119</f>
        <v/>
      </c>
      <c r="S119" s="25" t="str">
        <f t="shared" si="123"/>
        <v/>
      </c>
      <c r="T119" s="13" t="str">
        <f t="shared" si="5"/>
        <v/>
      </c>
      <c r="U119" s="28"/>
    </row>
    <row r="120" ht="15.75" customHeight="1">
      <c r="O120" s="134" t="str">
        <f t="shared" si="99"/>
        <v/>
      </c>
      <c r="P120" s="25" t="str">
        <f t="shared" si="79"/>
        <v> - </v>
      </c>
      <c r="Q120" s="25" t="str">
        <f t="shared" si="3"/>
        <v/>
      </c>
      <c r="R120" s="25" t="str">
        <f t="shared" ref="R120:S120" si="124">C120</f>
        <v/>
      </c>
      <c r="S120" s="25" t="str">
        <f t="shared" si="124"/>
        <v/>
      </c>
      <c r="T120" s="13" t="str">
        <f t="shared" si="5"/>
        <v/>
      </c>
      <c r="U120" s="28"/>
    </row>
    <row r="121" ht="15.75" customHeight="1">
      <c r="O121" s="134" t="str">
        <f t="shared" si="99"/>
        <v/>
      </c>
      <c r="P121" s="25" t="str">
        <f t="shared" si="79"/>
        <v> - </v>
      </c>
      <c r="Q121" s="25" t="str">
        <f t="shared" si="3"/>
        <v/>
      </c>
      <c r="R121" s="25" t="str">
        <f t="shared" ref="R121:S121" si="125">C121</f>
        <v/>
      </c>
      <c r="S121" s="25" t="str">
        <f t="shared" si="125"/>
        <v/>
      </c>
      <c r="T121" s="13" t="str">
        <f t="shared" si="5"/>
        <v/>
      </c>
      <c r="U121" s="28"/>
    </row>
    <row r="122" ht="15.75" customHeight="1">
      <c r="O122" s="134" t="str">
        <f t="shared" si="99"/>
        <v/>
      </c>
      <c r="P122" s="25" t="str">
        <f t="shared" si="79"/>
        <v> - </v>
      </c>
      <c r="Q122" s="25" t="str">
        <f t="shared" si="3"/>
        <v/>
      </c>
      <c r="R122" s="25" t="str">
        <f t="shared" ref="R122:S122" si="126">C122</f>
        <v/>
      </c>
      <c r="S122" s="25" t="str">
        <f t="shared" si="126"/>
        <v/>
      </c>
      <c r="T122" s="13" t="str">
        <f t="shared" si="5"/>
        <v/>
      </c>
      <c r="U122" s="28"/>
    </row>
    <row r="123" ht="15.75" customHeight="1">
      <c r="O123" s="134" t="str">
        <f t="shared" si="99"/>
        <v/>
      </c>
      <c r="P123" s="25" t="str">
        <f t="shared" si="79"/>
        <v> - </v>
      </c>
      <c r="Q123" s="25" t="str">
        <f t="shared" si="3"/>
        <v/>
      </c>
      <c r="R123" s="25" t="str">
        <f t="shared" ref="R123:S123" si="127">C123</f>
        <v/>
      </c>
      <c r="S123" s="25" t="str">
        <f t="shared" si="127"/>
        <v/>
      </c>
      <c r="T123" s="13" t="str">
        <f t="shared" si="5"/>
        <v/>
      </c>
      <c r="U123" s="28"/>
    </row>
    <row r="124" ht="15.75" customHeight="1">
      <c r="O124" s="134" t="str">
        <f t="shared" si="99"/>
        <v/>
      </c>
      <c r="P124" s="25" t="str">
        <f t="shared" si="79"/>
        <v> - </v>
      </c>
      <c r="Q124" s="25" t="str">
        <f t="shared" si="3"/>
        <v/>
      </c>
      <c r="R124" s="25" t="str">
        <f t="shared" ref="R124:S124" si="128">C124</f>
        <v/>
      </c>
      <c r="S124" s="25" t="str">
        <f t="shared" si="128"/>
        <v/>
      </c>
      <c r="T124" s="13" t="str">
        <f t="shared" si="5"/>
        <v/>
      </c>
      <c r="U124" s="28"/>
    </row>
    <row r="125" ht="15.75" customHeight="1">
      <c r="O125" s="134" t="str">
        <f t="shared" si="99"/>
        <v/>
      </c>
      <c r="P125" s="25" t="str">
        <f t="shared" si="79"/>
        <v> - </v>
      </c>
      <c r="Q125" s="25" t="str">
        <f t="shared" si="3"/>
        <v/>
      </c>
      <c r="R125" s="25" t="str">
        <f t="shared" ref="R125:S125" si="129">C125</f>
        <v/>
      </c>
      <c r="S125" s="25" t="str">
        <f t="shared" si="129"/>
        <v/>
      </c>
      <c r="T125" s="13" t="str">
        <f t="shared" si="5"/>
        <v/>
      </c>
      <c r="U125" s="28"/>
    </row>
    <row r="126" ht="15.75" customHeight="1">
      <c r="O126" s="134" t="str">
        <f t="shared" si="99"/>
        <v/>
      </c>
      <c r="P126" s="25" t="str">
        <f t="shared" si="79"/>
        <v> - </v>
      </c>
      <c r="Q126" s="25" t="str">
        <f t="shared" si="3"/>
        <v/>
      </c>
      <c r="R126" s="25" t="str">
        <f t="shared" ref="R126:S126" si="130">C126</f>
        <v/>
      </c>
      <c r="S126" s="25" t="str">
        <f t="shared" si="130"/>
        <v/>
      </c>
      <c r="T126" s="13" t="str">
        <f t="shared" si="5"/>
        <v/>
      </c>
      <c r="U126" s="28"/>
    </row>
    <row r="127" ht="15.75" customHeight="1">
      <c r="O127" s="134" t="str">
        <f t="shared" si="99"/>
        <v/>
      </c>
      <c r="P127" s="25" t="str">
        <f t="shared" si="79"/>
        <v> - </v>
      </c>
      <c r="Q127" s="25" t="str">
        <f t="shared" si="3"/>
        <v/>
      </c>
      <c r="R127" s="25" t="str">
        <f t="shared" ref="R127:S127" si="131">C127</f>
        <v/>
      </c>
      <c r="S127" s="25" t="str">
        <f t="shared" si="131"/>
        <v/>
      </c>
      <c r="T127" s="13" t="str">
        <f t="shared" si="5"/>
        <v/>
      </c>
      <c r="U127" s="28"/>
    </row>
    <row r="128" ht="15.75" customHeight="1">
      <c r="O128" s="134" t="str">
        <f t="shared" si="99"/>
        <v/>
      </c>
      <c r="P128" s="25" t="str">
        <f t="shared" si="79"/>
        <v> - </v>
      </c>
      <c r="Q128" s="25" t="str">
        <f t="shared" si="3"/>
        <v/>
      </c>
      <c r="R128" s="25" t="str">
        <f t="shared" ref="R128:S128" si="132">C128</f>
        <v/>
      </c>
      <c r="S128" s="25" t="str">
        <f t="shared" si="132"/>
        <v/>
      </c>
      <c r="T128" s="13" t="str">
        <f t="shared" si="5"/>
        <v/>
      </c>
      <c r="U128" s="28"/>
    </row>
    <row r="129" ht="15.75" customHeight="1">
      <c r="O129" s="134" t="str">
        <f t="shared" si="99"/>
        <v/>
      </c>
      <c r="P129" s="25" t="str">
        <f t="shared" si="79"/>
        <v> - </v>
      </c>
      <c r="Q129" s="25" t="str">
        <f t="shared" si="3"/>
        <v/>
      </c>
      <c r="R129" s="25" t="str">
        <f t="shared" ref="R129:S129" si="133">C129</f>
        <v/>
      </c>
      <c r="S129" s="25" t="str">
        <f t="shared" si="133"/>
        <v/>
      </c>
      <c r="T129" s="13" t="str">
        <f t="shared" si="5"/>
        <v/>
      </c>
      <c r="U129" s="28"/>
    </row>
    <row r="130" ht="15.75" customHeight="1">
      <c r="O130" s="134" t="str">
        <f t="shared" si="99"/>
        <v/>
      </c>
      <c r="P130" s="25" t="str">
        <f t="shared" si="79"/>
        <v> - </v>
      </c>
      <c r="Q130" s="25" t="str">
        <f t="shared" si="3"/>
        <v/>
      </c>
      <c r="R130" s="25" t="str">
        <f t="shared" ref="R130:S130" si="134">C130</f>
        <v/>
      </c>
      <c r="S130" s="25" t="str">
        <f t="shared" si="134"/>
        <v/>
      </c>
      <c r="T130" s="13" t="str">
        <f t="shared" si="5"/>
        <v/>
      </c>
      <c r="U130" s="28"/>
    </row>
    <row r="131" ht="15.75" customHeight="1">
      <c r="O131" s="134" t="str">
        <f t="shared" si="99"/>
        <v/>
      </c>
      <c r="P131" s="25" t="str">
        <f t="shared" si="79"/>
        <v> - </v>
      </c>
      <c r="Q131" s="25" t="str">
        <f t="shared" si="3"/>
        <v/>
      </c>
      <c r="R131" s="25" t="str">
        <f t="shared" ref="R131:S131" si="135">C131</f>
        <v/>
      </c>
      <c r="S131" s="25" t="str">
        <f t="shared" si="135"/>
        <v/>
      </c>
      <c r="T131" s="13" t="str">
        <f t="shared" si="5"/>
        <v/>
      </c>
      <c r="U131" s="28"/>
    </row>
    <row r="132" ht="15.75" customHeight="1">
      <c r="O132" s="134" t="str">
        <f t="shared" si="99"/>
        <v/>
      </c>
      <c r="P132" s="25" t="str">
        <f t="shared" si="79"/>
        <v> - </v>
      </c>
      <c r="Q132" s="25" t="str">
        <f t="shared" si="3"/>
        <v/>
      </c>
      <c r="R132" s="25" t="str">
        <f t="shared" ref="R132:S132" si="136">C132</f>
        <v/>
      </c>
      <c r="S132" s="25" t="str">
        <f t="shared" si="136"/>
        <v/>
      </c>
      <c r="T132" s="13" t="str">
        <f t="shared" si="5"/>
        <v/>
      </c>
      <c r="U132" s="28"/>
    </row>
    <row r="133" ht="15.75" customHeight="1">
      <c r="O133" s="134" t="str">
        <f t="shared" si="99"/>
        <v/>
      </c>
      <c r="P133" s="25" t="str">
        <f t="shared" si="79"/>
        <v> - </v>
      </c>
      <c r="Q133" s="25" t="str">
        <f t="shared" si="3"/>
        <v/>
      </c>
      <c r="R133" s="25" t="str">
        <f t="shared" ref="R133:S133" si="137">C133</f>
        <v/>
      </c>
      <c r="S133" s="25" t="str">
        <f t="shared" si="137"/>
        <v/>
      </c>
      <c r="T133" s="13" t="str">
        <f t="shared" si="5"/>
        <v/>
      </c>
      <c r="U133" s="28"/>
    </row>
    <row r="134" ht="15.75" customHeight="1">
      <c r="O134" s="134" t="str">
        <f t="shared" si="99"/>
        <v/>
      </c>
      <c r="P134" s="25" t="str">
        <f t="shared" si="79"/>
        <v> - </v>
      </c>
      <c r="Q134" s="25" t="str">
        <f t="shared" si="3"/>
        <v/>
      </c>
      <c r="R134" s="25" t="str">
        <f t="shared" ref="R134:S134" si="138">C134</f>
        <v/>
      </c>
      <c r="S134" s="25" t="str">
        <f t="shared" si="138"/>
        <v/>
      </c>
      <c r="T134" s="13" t="str">
        <f t="shared" si="5"/>
        <v/>
      </c>
      <c r="U134" s="28"/>
    </row>
    <row r="135" ht="15.75" customHeight="1">
      <c r="O135" s="134" t="str">
        <f t="shared" si="99"/>
        <v/>
      </c>
      <c r="P135" s="25" t="str">
        <f t="shared" si="79"/>
        <v> - </v>
      </c>
      <c r="Q135" s="25" t="str">
        <f t="shared" si="3"/>
        <v/>
      </c>
      <c r="R135" s="25" t="str">
        <f t="shared" ref="R135:S135" si="139">C135</f>
        <v/>
      </c>
      <c r="S135" s="25" t="str">
        <f t="shared" si="139"/>
        <v/>
      </c>
      <c r="T135" s="13" t="str">
        <f t="shared" si="5"/>
        <v/>
      </c>
      <c r="U135" s="28"/>
    </row>
    <row r="136" ht="15.75" customHeight="1">
      <c r="O136" s="134" t="str">
        <f t="shared" si="99"/>
        <v/>
      </c>
      <c r="P136" s="25" t="str">
        <f t="shared" si="79"/>
        <v> - </v>
      </c>
      <c r="Q136" s="25" t="str">
        <f t="shared" si="3"/>
        <v/>
      </c>
      <c r="R136" s="25" t="str">
        <f t="shared" ref="R136:S136" si="140">C136</f>
        <v/>
      </c>
      <c r="S136" s="25" t="str">
        <f t="shared" si="140"/>
        <v/>
      </c>
      <c r="T136" s="13" t="str">
        <f t="shared" si="5"/>
        <v/>
      </c>
      <c r="U136" s="28"/>
    </row>
    <row r="137" ht="15.75" customHeight="1">
      <c r="O137" s="134" t="str">
        <f t="shared" si="99"/>
        <v/>
      </c>
      <c r="P137" s="25" t="str">
        <f t="shared" si="79"/>
        <v> - </v>
      </c>
      <c r="Q137" s="25" t="str">
        <f t="shared" si="3"/>
        <v/>
      </c>
      <c r="R137" s="25" t="str">
        <f t="shared" ref="R137:S137" si="141">C137</f>
        <v/>
      </c>
      <c r="S137" s="25" t="str">
        <f t="shared" si="141"/>
        <v/>
      </c>
      <c r="T137" s="13" t="str">
        <f t="shared" si="5"/>
        <v/>
      </c>
      <c r="U137" s="28"/>
    </row>
    <row r="138" ht="15.75" customHeight="1">
      <c r="O138" s="134" t="str">
        <f t="shared" si="99"/>
        <v/>
      </c>
      <c r="P138" s="25" t="str">
        <f t="shared" si="79"/>
        <v> - </v>
      </c>
      <c r="Q138" s="25" t="str">
        <f t="shared" si="3"/>
        <v/>
      </c>
      <c r="R138" s="25" t="str">
        <f t="shared" ref="R138:S138" si="142">C138</f>
        <v/>
      </c>
      <c r="S138" s="25" t="str">
        <f t="shared" si="142"/>
        <v/>
      </c>
      <c r="T138" s="13" t="str">
        <f t="shared" si="5"/>
        <v/>
      </c>
      <c r="U138" s="28"/>
    </row>
    <row r="139" ht="15.75" customHeight="1">
      <c r="O139" s="134" t="str">
        <f t="shared" si="99"/>
        <v/>
      </c>
      <c r="P139" s="25" t="str">
        <f t="shared" si="79"/>
        <v> - </v>
      </c>
      <c r="Q139" s="25" t="str">
        <f t="shared" si="3"/>
        <v/>
      </c>
      <c r="R139" s="25" t="str">
        <f t="shared" ref="R139:S139" si="143">C139</f>
        <v/>
      </c>
      <c r="S139" s="25" t="str">
        <f t="shared" si="143"/>
        <v/>
      </c>
      <c r="T139" s="13" t="str">
        <f t="shared" si="5"/>
        <v/>
      </c>
      <c r="U139" s="28"/>
    </row>
    <row r="140" ht="15.75" customHeight="1">
      <c r="A140" s="136"/>
      <c r="O140" s="134" t="str">
        <f t="shared" si="99"/>
        <v/>
      </c>
      <c r="P140" s="25" t="str">
        <f t="shared" si="79"/>
        <v> - </v>
      </c>
      <c r="Q140" s="25" t="str">
        <f t="shared" si="3"/>
        <v/>
      </c>
      <c r="R140" s="25" t="str">
        <f t="shared" ref="R140:S140" si="144">C140</f>
        <v/>
      </c>
      <c r="S140" s="25" t="str">
        <f t="shared" si="144"/>
        <v/>
      </c>
      <c r="T140" s="13" t="str">
        <f t="shared" si="5"/>
        <v/>
      </c>
      <c r="U140" s="28"/>
    </row>
    <row r="141" ht="15.75" customHeight="1">
      <c r="E141" s="136"/>
      <c r="O141" s="134" t="str">
        <f t="shared" si="99"/>
        <v/>
      </c>
      <c r="P141" s="25" t="str">
        <f t="shared" si="79"/>
        <v> - </v>
      </c>
      <c r="Q141" s="25" t="str">
        <f t="shared" si="3"/>
        <v/>
      </c>
      <c r="R141" s="25" t="str">
        <f t="shared" ref="R141:S141" si="145">C141</f>
        <v/>
      </c>
      <c r="S141" s="25" t="str">
        <f t="shared" si="145"/>
        <v/>
      </c>
      <c r="T141" s="13" t="str">
        <f t="shared" si="5"/>
        <v/>
      </c>
      <c r="U141" s="28"/>
    </row>
    <row r="142" ht="15.75" customHeight="1">
      <c r="E142" s="136"/>
      <c r="O142" s="134" t="str">
        <f t="shared" si="99"/>
        <v/>
      </c>
      <c r="P142" s="25" t="str">
        <f t="shared" si="79"/>
        <v> - </v>
      </c>
      <c r="Q142" s="25" t="str">
        <f t="shared" si="3"/>
        <v/>
      </c>
      <c r="R142" s="25" t="str">
        <f t="shared" ref="R142:S142" si="146">C142</f>
        <v/>
      </c>
      <c r="S142" s="25" t="str">
        <f t="shared" si="146"/>
        <v/>
      </c>
      <c r="T142" s="13" t="str">
        <f t="shared" si="5"/>
        <v/>
      </c>
      <c r="U142" s="28"/>
    </row>
    <row r="143" ht="15.75" customHeight="1">
      <c r="E143" s="136"/>
      <c r="O143" s="134" t="str">
        <f t="shared" si="99"/>
        <v/>
      </c>
      <c r="P143" s="25" t="str">
        <f t="shared" si="79"/>
        <v> - </v>
      </c>
      <c r="Q143" s="25" t="str">
        <f t="shared" si="3"/>
        <v/>
      </c>
      <c r="R143" s="25" t="str">
        <f t="shared" ref="R143:S143" si="147">C143</f>
        <v/>
      </c>
      <c r="S143" s="25" t="str">
        <f t="shared" si="147"/>
        <v/>
      </c>
      <c r="T143" s="13" t="str">
        <f t="shared" si="5"/>
        <v/>
      </c>
      <c r="U143" s="28"/>
    </row>
    <row r="144" ht="15.75" customHeight="1">
      <c r="A144" s="136"/>
      <c r="E144" s="136"/>
      <c r="O144" s="134" t="str">
        <f t="shared" si="99"/>
        <v/>
      </c>
      <c r="P144" s="25" t="str">
        <f t="shared" si="79"/>
        <v> - </v>
      </c>
      <c r="Q144" s="25" t="str">
        <f t="shared" si="3"/>
        <v/>
      </c>
      <c r="R144" s="25" t="str">
        <f t="shared" ref="R144:S144" si="148">C144</f>
        <v/>
      </c>
      <c r="S144" s="25" t="str">
        <f t="shared" si="148"/>
        <v/>
      </c>
      <c r="T144" s="13" t="str">
        <f t="shared" si="5"/>
        <v/>
      </c>
      <c r="U144" s="28"/>
    </row>
    <row r="145" ht="15.75" customHeight="1">
      <c r="O145" s="134" t="str">
        <f t="shared" si="99"/>
        <v/>
      </c>
      <c r="P145" s="25" t="str">
        <f t="shared" si="79"/>
        <v> - </v>
      </c>
      <c r="Q145" s="25" t="str">
        <f t="shared" si="3"/>
        <v/>
      </c>
      <c r="R145" s="25" t="str">
        <f t="shared" ref="R145:S145" si="149">C145</f>
        <v/>
      </c>
      <c r="S145" s="25" t="str">
        <f t="shared" si="149"/>
        <v/>
      </c>
      <c r="T145" s="13" t="str">
        <f t="shared" si="5"/>
        <v/>
      </c>
      <c r="U145" s="28"/>
    </row>
    <row r="146" ht="15.75" customHeight="1">
      <c r="O146" s="134" t="str">
        <f t="shared" si="99"/>
        <v/>
      </c>
      <c r="P146" s="25" t="str">
        <f t="shared" si="79"/>
        <v> - </v>
      </c>
      <c r="Q146" s="25" t="str">
        <f t="shared" si="3"/>
        <v/>
      </c>
      <c r="R146" s="25" t="str">
        <f t="shared" ref="R146:S146" si="150">C146</f>
        <v/>
      </c>
      <c r="S146" s="25" t="str">
        <f t="shared" si="150"/>
        <v/>
      </c>
      <c r="T146" s="13" t="str">
        <f t="shared" si="5"/>
        <v/>
      </c>
      <c r="U146" s="28"/>
    </row>
    <row r="147" ht="15.75" customHeight="1">
      <c r="O147" s="134" t="str">
        <f t="shared" si="99"/>
        <v/>
      </c>
      <c r="P147" s="25" t="str">
        <f t="shared" si="79"/>
        <v> - </v>
      </c>
      <c r="Q147" s="25" t="str">
        <f t="shared" si="3"/>
        <v/>
      </c>
      <c r="R147" s="25" t="str">
        <f t="shared" ref="R147:S147" si="151">C147</f>
        <v/>
      </c>
      <c r="S147" s="25" t="str">
        <f t="shared" si="151"/>
        <v/>
      </c>
      <c r="T147" s="13" t="str">
        <f t="shared" si="5"/>
        <v/>
      </c>
      <c r="U147" s="28"/>
    </row>
    <row r="148" ht="15.75" customHeight="1">
      <c r="O148" s="134" t="str">
        <f t="shared" si="99"/>
        <v/>
      </c>
      <c r="P148" s="25" t="str">
        <f t="shared" si="79"/>
        <v> - </v>
      </c>
      <c r="Q148" s="25" t="str">
        <f t="shared" si="3"/>
        <v/>
      </c>
      <c r="R148" s="25" t="str">
        <f t="shared" ref="R148:S148" si="152">C148</f>
        <v/>
      </c>
      <c r="S148" s="25" t="str">
        <f t="shared" si="152"/>
        <v/>
      </c>
      <c r="T148" s="13" t="str">
        <f t="shared" si="5"/>
        <v/>
      </c>
      <c r="U148" s="28"/>
    </row>
    <row r="149" ht="15.75" customHeight="1">
      <c r="O149" s="134" t="str">
        <f t="shared" si="99"/>
        <v/>
      </c>
      <c r="P149" s="25" t="str">
        <f t="shared" si="79"/>
        <v> - </v>
      </c>
      <c r="Q149" s="25" t="str">
        <f t="shared" si="3"/>
        <v/>
      </c>
      <c r="R149" s="25" t="str">
        <f t="shared" ref="R149:S149" si="153">C149</f>
        <v/>
      </c>
      <c r="S149" s="25" t="str">
        <f t="shared" si="153"/>
        <v/>
      </c>
      <c r="T149" s="13" t="str">
        <f t="shared" si="5"/>
        <v/>
      </c>
      <c r="U149" s="28"/>
    </row>
    <row r="150" ht="15.75" customHeight="1">
      <c r="O150" s="134" t="str">
        <f t="shared" si="99"/>
        <v/>
      </c>
      <c r="P150" s="25" t="str">
        <f t="shared" si="79"/>
        <v> - </v>
      </c>
      <c r="Q150" s="25" t="str">
        <f t="shared" si="3"/>
        <v/>
      </c>
      <c r="R150" s="25" t="str">
        <f t="shared" ref="R150:S150" si="154">C150</f>
        <v/>
      </c>
      <c r="S150" s="25" t="str">
        <f t="shared" si="154"/>
        <v/>
      </c>
      <c r="T150" s="13" t="str">
        <f t="shared" si="5"/>
        <v/>
      </c>
      <c r="U150" s="28"/>
    </row>
    <row r="151" ht="15.75" customHeight="1">
      <c r="O151" s="134" t="str">
        <f t="shared" si="99"/>
        <v/>
      </c>
      <c r="P151" s="25" t="str">
        <f t="shared" si="79"/>
        <v> - </v>
      </c>
      <c r="Q151" s="25" t="str">
        <f t="shared" si="3"/>
        <v/>
      </c>
      <c r="R151" s="25" t="str">
        <f t="shared" ref="R151:S151" si="155">C151</f>
        <v/>
      </c>
      <c r="S151" s="25" t="str">
        <f t="shared" si="155"/>
        <v/>
      </c>
      <c r="T151" s="13" t="str">
        <f t="shared" si="5"/>
        <v/>
      </c>
      <c r="U151" s="28"/>
    </row>
    <row r="152" ht="15.75" customHeight="1">
      <c r="O152" s="134" t="str">
        <f t="shared" si="99"/>
        <v/>
      </c>
      <c r="P152" s="25" t="str">
        <f t="shared" si="79"/>
        <v> - </v>
      </c>
      <c r="Q152" s="25" t="str">
        <f t="shared" si="3"/>
        <v/>
      </c>
      <c r="R152" s="25" t="str">
        <f t="shared" ref="R152:S152" si="156">C152</f>
        <v/>
      </c>
      <c r="S152" s="25" t="str">
        <f t="shared" si="156"/>
        <v/>
      </c>
      <c r="T152" s="13" t="str">
        <f t="shared" si="5"/>
        <v/>
      </c>
      <c r="U152" s="28"/>
    </row>
    <row r="153" ht="15.75" customHeight="1">
      <c r="O153" s="134" t="str">
        <f t="shared" si="99"/>
        <v/>
      </c>
      <c r="P153" s="25" t="str">
        <f t="shared" si="79"/>
        <v> - </v>
      </c>
      <c r="Q153" s="25" t="str">
        <f t="shared" si="3"/>
        <v/>
      </c>
      <c r="R153" s="25" t="str">
        <f t="shared" ref="R153:S153" si="157">C153</f>
        <v/>
      </c>
      <c r="S153" s="25" t="str">
        <f t="shared" si="157"/>
        <v/>
      </c>
      <c r="T153" s="13" t="str">
        <f t="shared" si="5"/>
        <v/>
      </c>
      <c r="U153" s="28"/>
    </row>
    <row r="154" ht="15.75" customHeight="1">
      <c r="O154" s="134" t="str">
        <f t="shared" si="99"/>
        <v/>
      </c>
      <c r="P154" s="25" t="str">
        <f t="shared" si="79"/>
        <v> - </v>
      </c>
      <c r="Q154" s="25" t="str">
        <f t="shared" si="3"/>
        <v/>
      </c>
      <c r="R154" s="25" t="str">
        <f t="shared" ref="R154:S154" si="158">C154</f>
        <v/>
      </c>
      <c r="S154" s="25" t="str">
        <f t="shared" si="158"/>
        <v/>
      </c>
      <c r="T154" s="13" t="str">
        <f t="shared" si="5"/>
        <v/>
      </c>
      <c r="U154" s="28"/>
    </row>
    <row r="155" ht="15.75" customHeight="1">
      <c r="A155" s="136"/>
      <c r="E155" s="136"/>
      <c r="O155" s="134" t="str">
        <f t="shared" si="99"/>
        <v/>
      </c>
      <c r="P155" s="25" t="str">
        <f t="shared" si="79"/>
        <v> - </v>
      </c>
      <c r="Q155" s="25" t="str">
        <f t="shared" si="3"/>
        <v/>
      </c>
      <c r="R155" s="25" t="str">
        <f t="shared" ref="R155:S155" si="159">C155</f>
        <v/>
      </c>
      <c r="S155" s="25" t="str">
        <f t="shared" si="159"/>
        <v/>
      </c>
      <c r="T155" s="13" t="str">
        <f t="shared" si="5"/>
        <v/>
      </c>
      <c r="U155" s="28"/>
    </row>
    <row r="156" ht="15.75" customHeight="1">
      <c r="P156" s="25" t="str">
        <f t="shared" si="79"/>
        <v> - </v>
      </c>
      <c r="Q156" s="25" t="str">
        <f t="shared" si="3"/>
        <v/>
      </c>
      <c r="R156" s="25" t="str">
        <f t="shared" ref="R156:S156" si="160">C156</f>
        <v/>
      </c>
      <c r="S156" s="25" t="str">
        <f t="shared" si="160"/>
        <v/>
      </c>
      <c r="T156" s="13" t="str">
        <f t="shared" si="5"/>
        <v/>
      </c>
      <c r="U156" s="28"/>
    </row>
    <row r="157" ht="15.75" customHeight="1">
      <c r="P157" s="25" t="str">
        <f t="shared" si="79"/>
        <v> - </v>
      </c>
      <c r="Q157" s="25" t="str">
        <f t="shared" si="3"/>
        <v/>
      </c>
      <c r="R157" s="25" t="str">
        <f t="shared" ref="R157:S157" si="161">C157</f>
        <v/>
      </c>
      <c r="S157" s="25" t="str">
        <f t="shared" si="161"/>
        <v/>
      </c>
      <c r="T157" s="13" t="str">
        <f t="shared" si="5"/>
        <v/>
      </c>
      <c r="U157" s="28"/>
    </row>
    <row r="158" ht="15.75" customHeight="1">
      <c r="P158" s="25" t="str">
        <f t="shared" si="79"/>
        <v> - </v>
      </c>
      <c r="Q158" s="25" t="str">
        <f t="shared" si="3"/>
        <v/>
      </c>
      <c r="R158" s="25" t="str">
        <f t="shared" ref="R158:S158" si="162">C158</f>
        <v/>
      </c>
      <c r="S158" s="25" t="str">
        <f t="shared" si="162"/>
        <v/>
      </c>
      <c r="T158" s="13" t="str">
        <f t="shared" si="5"/>
        <v/>
      </c>
      <c r="U158" s="28"/>
    </row>
    <row r="159" ht="15.75" customHeight="1">
      <c r="P159" s="25" t="str">
        <f t="shared" si="79"/>
        <v> - </v>
      </c>
      <c r="Q159" s="25" t="str">
        <f t="shared" si="3"/>
        <v/>
      </c>
      <c r="R159" s="25" t="str">
        <f t="shared" ref="R159:S159" si="163">C159</f>
        <v/>
      </c>
      <c r="S159" s="25" t="str">
        <f t="shared" si="163"/>
        <v/>
      </c>
      <c r="T159" s="13" t="str">
        <f t="shared" si="5"/>
        <v/>
      </c>
      <c r="U159" s="28"/>
    </row>
    <row r="160" ht="15.75" customHeight="1">
      <c r="P160" s="25" t="str">
        <f t="shared" si="79"/>
        <v> - </v>
      </c>
      <c r="Q160" s="25" t="str">
        <f t="shared" si="3"/>
        <v/>
      </c>
      <c r="R160" s="25" t="str">
        <f t="shared" ref="R160:S160" si="164">C160</f>
        <v/>
      </c>
      <c r="S160" s="25" t="str">
        <f t="shared" si="164"/>
        <v/>
      </c>
      <c r="T160" s="13" t="str">
        <f t="shared" si="5"/>
        <v/>
      </c>
      <c r="U160" s="28"/>
    </row>
    <row r="161" ht="15.75" customHeight="1">
      <c r="P161" s="25" t="str">
        <f t="shared" si="79"/>
        <v> - </v>
      </c>
      <c r="Q161" s="25" t="str">
        <f t="shared" si="3"/>
        <v/>
      </c>
      <c r="R161" s="25" t="str">
        <f t="shared" ref="R161:S161" si="165">C161</f>
        <v/>
      </c>
      <c r="S161" s="25" t="str">
        <f t="shared" si="165"/>
        <v/>
      </c>
      <c r="T161" s="13" t="str">
        <f t="shared" si="5"/>
        <v/>
      </c>
      <c r="U161" s="28"/>
    </row>
    <row r="162" ht="15.75" customHeight="1">
      <c r="P162" s="25" t="str">
        <f t="shared" si="79"/>
        <v> - </v>
      </c>
      <c r="Q162" s="25" t="str">
        <f t="shared" si="3"/>
        <v/>
      </c>
      <c r="R162" s="25" t="str">
        <f t="shared" ref="R162:S162" si="166">C162</f>
        <v/>
      </c>
      <c r="S162" s="25" t="str">
        <f t="shared" si="166"/>
        <v/>
      </c>
      <c r="T162" s="13" t="str">
        <f t="shared" si="5"/>
        <v/>
      </c>
      <c r="U162" s="28"/>
    </row>
    <row r="163" ht="15.75" customHeight="1">
      <c r="P163" s="25" t="str">
        <f t="shared" si="79"/>
        <v> - </v>
      </c>
      <c r="Q163" s="25" t="str">
        <f t="shared" si="3"/>
        <v/>
      </c>
      <c r="R163" s="25" t="str">
        <f t="shared" ref="R163:S163" si="167">C163</f>
        <v/>
      </c>
      <c r="S163" s="25" t="str">
        <f t="shared" si="167"/>
        <v/>
      </c>
      <c r="T163" s="13" t="str">
        <f t="shared" si="5"/>
        <v/>
      </c>
      <c r="U163" s="28"/>
    </row>
    <row r="164" ht="15.75" customHeight="1">
      <c r="P164" s="25" t="str">
        <f t="shared" si="79"/>
        <v> - </v>
      </c>
      <c r="Q164" s="25" t="str">
        <f t="shared" si="3"/>
        <v/>
      </c>
      <c r="R164" s="25" t="str">
        <f t="shared" ref="R164:S164" si="168">C164</f>
        <v/>
      </c>
      <c r="S164" s="25" t="str">
        <f t="shared" si="168"/>
        <v/>
      </c>
      <c r="T164" s="13" t="str">
        <f t="shared" si="5"/>
        <v/>
      </c>
      <c r="U164" s="28"/>
    </row>
    <row r="165" ht="15.75" customHeight="1">
      <c r="P165" s="25" t="str">
        <f t="shared" si="79"/>
        <v> - </v>
      </c>
      <c r="Q165" s="25" t="str">
        <f t="shared" si="3"/>
        <v/>
      </c>
      <c r="R165" s="25" t="str">
        <f t="shared" ref="R165:S165" si="169">C165</f>
        <v/>
      </c>
      <c r="S165" s="25" t="str">
        <f t="shared" si="169"/>
        <v/>
      </c>
      <c r="T165" s="13" t="str">
        <f t="shared" si="5"/>
        <v/>
      </c>
      <c r="U165" s="28"/>
    </row>
    <row r="166" ht="15.75" customHeight="1">
      <c r="P166" s="25" t="str">
        <f t="shared" si="79"/>
        <v> - </v>
      </c>
      <c r="Q166" s="25" t="str">
        <f t="shared" si="3"/>
        <v/>
      </c>
      <c r="R166" s="25" t="str">
        <f t="shared" ref="R166:S166" si="170">C166</f>
        <v/>
      </c>
      <c r="S166" s="25" t="str">
        <f t="shared" si="170"/>
        <v/>
      </c>
      <c r="T166" s="13" t="str">
        <f t="shared" si="5"/>
        <v/>
      </c>
      <c r="U166" s="28"/>
    </row>
    <row r="167" ht="15.75" customHeight="1">
      <c r="P167" s="25" t="str">
        <f t="shared" si="79"/>
        <v> - </v>
      </c>
      <c r="Q167" s="25" t="str">
        <f t="shared" si="3"/>
        <v/>
      </c>
      <c r="R167" s="25" t="str">
        <f t="shared" ref="R167:S167" si="171">C167</f>
        <v/>
      </c>
      <c r="S167" s="25" t="str">
        <f t="shared" si="171"/>
        <v/>
      </c>
      <c r="T167" s="13" t="str">
        <f t="shared" si="5"/>
        <v/>
      </c>
      <c r="U167" s="28"/>
    </row>
    <row r="168" ht="15.75" customHeight="1">
      <c r="P168" s="25" t="str">
        <f t="shared" si="79"/>
        <v> - </v>
      </c>
      <c r="Q168" s="25" t="str">
        <f t="shared" si="3"/>
        <v/>
      </c>
      <c r="R168" s="25" t="str">
        <f t="shared" ref="R168:S168" si="172">C168</f>
        <v/>
      </c>
      <c r="S168" s="25" t="str">
        <f t="shared" si="172"/>
        <v/>
      </c>
      <c r="T168" s="13" t="str">
        <f t="shared" si="5"/>
        <v/>
      </c>
      <c r="U168" s="28"/>
    </row>
    <row r="169" ht="15.75" customHeight="1">
      <c r="P169" s="25" t="str">
        <f t="shared" si="79"/>
        <v> - </v>
      </c>
      <c r="Q169" s="25" t="str">
        <f t="shared" si="3"/>
        <v/>
      </c>
      <c r="R169" s="25" t="str">
        <f t="shared" ref="R169:S169" si="173">C169</f>
        <v/>
      </c>
      <c r="S169" s="25" t="str">
        <f t="shared" si="173"/>
        <v/>
      </c>
      <c r="T169" s="13" t="str">
        <f t="shared" si="5"/>
        <v/>
      </c>
      <c r="U169" s="28"/>
    </row>
    <row r="170" ht="15.75" customHeight="1">
      <c r="P170" s="25" t="str">
        <f t="shared" si="79"/>
        <v> - </v>
      </c>
      <c r="Q170" s="25" t="str">
        <f t="shared" si="3"/>
        <v/>
      </c>
      <c r="R170" s="25" t="str">
        <f t="shared" ref="R170:S170" si="174">C170</f>
        <v/>
      </c>
      <c r="S170" s="25" t="str">
        <f t="shared" si="174"/>
        <v/>
      </c>
      <c r="T170" s="13" t="str">
        <f t="shared" si="5"/>
        <v/>
      </c>
      <c r="U170" s="28"/>
    </row>
    <row r="171" ht="15.75" customHeight="1">
      <c r="P171" s="25" t="str">
        <f t="shared" si="79"/>
        <v> - </v>
      </c>
      <c r="Q171" s="25" t="str">
        <f t="shared" si="3"/>
        <v/>
      </c>
      <c r="R171" s="25" t="str">
        <f t="shared" ref="R171:S171" si="175">C171</f>
        <v/>
      </c>
      <c r="S171" s="25" t="str">
        <f t="shared" si="175"/>
        <v/>
      </c>
      <c r="T171" s="13" t="str">
        <f t="shared" si="5"/>
        <v/>
      </c>
      <c r="U171" s="28"/>
    </row>
    <row r="172" ht="15.75" customHeight="1">
      <c r="P172" s="25" t="str">
        <f t="shared" si="79"/>
        <v> - </v>
      </c>
      <c r="Q172" s="25" t="str">
        <f t="shared" si="3"/>
        <v/>
      </c>
      <c r="R172" s="25" t="str">
        <f t="shared" ref="R172:S172" si="176">C172</f>
        <v/>
      </c>
      <c r="S172" s="25" t="str">
        <f t="shared" si="176"/>
        <v/>
      </c>
      <c r="T172" s="13" t="str">
        <f t="shared" si="5"/>
        <v/>
      </c>
      <c r="U172" s="28"/>
    </row>
    <row r="173" ht="15.75" customHeight="1">
      <c r="P173" s="25" t="str">
        <f t="shared" si="79"/>
        <v> - </v>
      </c>
      <c r="Q173" s="25" t="str">
        <f t="shared" si="3"/>
        <v/>
      </c>
      <c r="R173" s="25" t="str">
        <f t="shared" ref="R173:S173" si="177">C173</f>
        <v/>
      </c>
      <c r="S173" s="25" t="str">
        <f t="shared" si="177"/>
        <v/>
      </c>
      <c r="T173" s="13" t="str">
        <f t="shared" si="5"/>
        <v/>
      </c>
      <c r="U173" s="28"/>
    </row>
    <row r="174" ht="15.75" customHeight="1">
      <c r="P174" s="25" t="str">
        <f t="shared" si="79"/>
        <v> - </v>
      </c>
      <c r="Q174" s="25" t="str">
        <f t="shared" si="3"/>
        <v/>
      </c>
      <c r="R174" s="25" t="str">
        <f t="shared" ref="R174:S174" si="178">C174</f>
        <v/>
      </c>
      <c r="S174" s="25" t="str">
        <f t="shared" si="178"/>
        <v/>
      </c>
      <c r="T174" s="13" t="str">
        <f t="shared" si="5"/>
        <v/>
      </c>
      <c r="U174" s="28"/>
    </row>
    <row r="175" ht="15.75" customHeight="1">
      <c r="P175" s="25" t="str">
        <f t="shared" si="79"/>
        <v> - </v>
      </c>
      <c r="Q175" s="25" t="str">
        <f t="shared" si="3"/>
        <v/>
      </c>
      <c r="R175" s="25" t="str">
        <f t="shared" ref="R175:S175" si="179">C175</f>
        <v/>
      </c>
      <c r="S175" s="25" t="str">
        <f t="shared" si="179"/>
        <v/>
      </c>
      <c r="T175" s="13" t="str">
        <f t="shared" si="5"/>
        <v/>
      </c>
      <c r="U175" s="28"/>
    </row>
    <row r="176" ht="15.75" customHeight="1">
      <c r="P176" s="25" t="str">
        <f t="shared" si="79"/>
        <v> - </v>
      </c>
      <c r="Q176" s="25" t="str">
        <f t="shared" si="3"/>
        <v/>
      </c>
      <c r="R176" s="25" t="str">
        <f t="shared" ref="R176:S176" si="180">C176</f>
        <v/>
      </c>
      <c r="S176" s="25" t="str">
        <f t="shared" si="180"/>
        <v/>
      </c>
      <c r="T176" s="13" t="str">
        <f t="shared" si="5"/>
        <v/>
      </c>
      <c r="U176" s="28"/>
    </row>
    <row r="177" ht="15.75" customHeight="1">
      <c r="P177" s="25" t="str">
        <f t="shared" si="79"/>
        <v> - </v>
      </c>
      <c r="Q177" s="25" t="str">
        <f t="shared" si="3"/>
        <v/>
      </c>
      <c r="R177" s="25" t="str">
        <f t="shared" ref="R177:S177" si="181">C177</f>
        <v/>
      </c>
      <c r="S177" s="25" t="str">
        <f t="shared" si="181"/>
        <v/>
      </c>
      <c r="T177" s="13" t="str">
        <f t="shared" si="5"/>
        <v/>
      </c>
      <c r="U177" s="28"/>
    </row>
    <row r="178" ht="15.75" customHeight="1">
      <c r="P178" s="25" t="str">
        <f t="shared" si="79"/>
        <v> - </v>
      </c>
      <c r="Q178" s="25" t="str">
        <f t="shared" si="3"/>
        <v/>
      </c>
      <c r="R178" s="25" t="str">
        <f t="shared" ref="R178:S178" si="182">C178</f>
        <v/>
      </c>
      <c r="S178" s="25" t="str">
        <f t="shared" si="182"/>
        <v/>
      </c>
      <c r="T178" s="13" t="str">
        <f t="shared" si="5"/>
        <v/>
      </c>
      <c r="U178" s="28"/>
    </row>
    <row r="179" ht="15.75" customHeight="1">
      <c r="P179" s="25" t="str">
        <f t="shared" si="79"/>
        <v> - </v>
      </c>
      <c r="Q179" s="25" t="str">
        <f t="shared" si="3"/>
        <v/>
      </c>
      <c r="R179" s="25" t="str">
        <f t="shared" ref="R179:S179" si="183">C179</f>
        <v/>
      </c>
      <c r="S179" s="25" t="str">
        <f t="shared" si="183"/>
        <v/>
      </c>
      <c r="T179" s="13" t="str">
        <f t="shared" si="5"/>
        <v/>
      </c>
      <c r="U179" s="28"/>
    </row>
    <row r="180" ht="15.75" customHeight="1">
      <c r="P180" s="25" t="str">
        <f t="shared" si="79"/>
        <v> - </v>
      </c>
      <c r="Q180" s="25" t="str">
        <f t="shared" si="3"/>
        <v/>
      </c>
      <c r="R180" s="25" t="str">
        <f t="shared" ref="R180:S180" si="184">C180</f>
        <v/>
      </c>
      <c r="S180" s="25" t="str">
        <f t="shared" si="184"/>
        <v/>
      </c>
      <c r="T180" s="13" t="str">
        <f t="shared" si="5"/>
        <v/>
      </c>
      <c r="U180" s="28"/>
    </row>
    <row r="181" ht="15.75" customHeight="1">
      <c r="P181" s="25" t="str">
        <f t="shared" si="79"/>
        <v> - </v>
      </c>
      <c r="Q181" s="25" t="str">
        <f t="shared" si="3"/>
        <v/>
      </c>
      <c r="R181" s="25" t="str">
        <f t="shared" ref="R181:S181" si="185">C181</f>
        <v/>
      </c>
      <c r="S181" s="25" t="str">
        <f t="shared" si="185"/>
        <v/>
      </c>
      <c r="T181" s="13" t="str">
        <f t="shared" si="5"/>
        <v/>
      </c>
      <c r="U181" s="28"/>
    </row>
    <row r="182" ht="15.75" customHeight="1">
      <c r="P182" s="25" t="str">
        <f t="shared" si="79"/>
        <v> - </v>
      </c>
      <c r="Q182" s="25" t="str">
        <f t="shared" si="3"/>
        <v/>
      </c>
      <c r="R182" s="25" t="str">
        <f t="shared" ref="R182:S182" si="186">C182</f>
        <v/>
      </c>
      <c r="S182" s="25" t="str">
        <f t="shared" si="186"/>
        <v/>
      </c>
      <c r="T182" s="13" t="str">
        <f t="shared" si="5"/>
        <v/>
      </c>
      <c r="U182" s="28"/>
    </row>
    <row r="183" ht="15.75" customHeight="1">
      <c r="P183" s="25" t="str">
        <f t="shared" si="79"/>
        <v> - </v>
      </c>
      <c r="Q183" s="25" t="str">
        <f t="shared" si="3"/>
        <v/>
      </c>
      <c r="R183" s="25" t="str">
        <f t="shared" ref="R183:S183" si="187">C183</f>
        <v/>
      </c>
      <c r="S183" s="25" t="str">
        <f t="shared" si="187"/>
        <v/>
      </c>
      <c r="T183" s="13" t="str">
        <f t="shared" si="5"/>
        <v/>
      </c>
      <c r="U183" s="28"/>
    </row>
    <row r="184" ht="15.75" customHeight="1">
      <c r="P184" s="25" t="str">
        <f t="shared" si="79"/>
        <v> - </v>
      </c>
      <c r="Q184" s="25" t="str">
        <f t="shared" si="3"/>
        <v/>
      </c>
      <c r="R184" s="25" t="str">
        <f t="shared" ref="R184:S184" si="188">C184</f>
        <v/>
      </c>
      <c r="S184" s="25" t="str">
        <f t="shared" si="188"/>
        <v/>
      </c>
      <c r="T184" s="13" t="str">
        <f t="shared" si="5"/>
        <v/>
      </c>
      <c r="U184" s="28"/>
    </row>
    <row r="185" ht="15.75" customHeight="1">
      <c r="P185" s="25" t="str">
        <f t="shared" si="79"/>
        <v> - </v>
      </c>
      <c r="Q185" s="25" t="str">
        <f t="shared" si="3"/>
        <v/>
      </c>
      <c r="R185" s="25" t="str">
        <f t="shared" ref="R185:S185" si="189">C185</f>
        <v/>
      </c>
      <c r="S185" s="25" t="str">
        <f t="shared" si="189"/>
        <v/>
      </c>
      <c r="T185" s="13" t="str">
        <f t="shared" si="5"/>
        <v/>
      </c>
      <c r="U185" s="28"/>
    </row>
    <row r="186" ht="15.75" customHeight="1">
      <c r="P186" s="25" t="str">
        <f t="shared" si="79"/>
        <v> - </v>
      </c>
      <c r="Q186" s="25" t="str">
        <f t="shared" si="3"/>
        <v/>
      </c>
      <c r="R186" s="25" t="str">
        <f t="shared" ref="R186:S186" si="190">C186</f>
        <v/>
      </c>
      <c r="S186" s="25" t="str">
        <f t="shared" si="190"/>
        <v/>
      </c>
      <c r="T186" s="13" t="str">
        <f t="shared" si="5"/>
        <v/>
      </c>
      <c r="U186" s="28"/>
    </row>
    <row r="187" ht="15.75" customHeight="1">
      <c r="P187" s="25" t="str">
        <f t="shared" si="79"/>
        <v> - </v>
      </c>
      <c r="Q187" s="25" t="str">
        <f t="shared" si="3"/>
        <v/>
      </c>
      <c r="R187" s="25" t="str">
        <f t="shared" ref="R187:S187" si="191">C187</f>
        <v/>
      </c>
      <c r="S187" s="25" t="str">
        <f t="shared" si="191"/>
        <v/>
      </c>
      <c r="T187" s="13" t="str">
        <f t="shared" si="5"/>
        <v/>
      </c>
      <c r="U187" s="28"/>
    </row>
    <row r="188" ht="15.75" customHeight="1">
      <c r="P188" s="25" t="str">
        <f t="shared" si="79"/>
        <v> - </v>
      </c>
      <c r="Q188" s="25" t="str">
        <f t="shared" si="3"/>
        <v/>
      </c>
      <c r="R188" s="25" t="str">
        <f t="shared" ref="R188:S188" si="192">C188</f>
        <v/>
      </c>
      <c r="S188" s="25" t="str">
        <f t="shared" si="192"/>
        <v/>
      </c>
      <c r="T188" s="13" t="str">
        <f t="shared" si="5"/>
        <v/>
      </c>
      <c r="U188" s="28"/>
    </row>
    <row r="189" ht="15.75" customHeight="1">
      <c r="P189" s="25" t="str">
        <f t="shared" si="79"/>
        <v> - </v>
      </c>
      <c r="Q189" s="25" t="str">
        <f t="shared" si="3"/>
        <v/>
      </c>
      <c r="R189" s="25" t="str">
        <f t="shared" ref="R189:S189" si="193">C189</f>
        <v/>
      </c>
      <c r="S189" s="25" t="str">
        <f t="shared" si="193"/>
        <v/>
      </c>
      <c r="T189" s="13" t="str">
        <f t="shared" si="5"/>
        <v/>
      </c>
      <c r="U189" s="28"/>
    </row>
    <row r="190" ht="15.75" customHeight="1">
      <c r="P190" s="25" t="str">
        <f t="shared" si="79"/>
        <v> - </v>
      </c>
      <c r="Q190" s="25" t="str">
        <f t="shared" si="3"/>
        <v/>
      </c>
      <c r="R190" s="25" t="str">
        <f t="shared" ref="R190:S190" si="194">C190</f>
        <v/>
      </c>
      <c r="S190" s="25" t="str">
        <f t="shared" si="194"/>
        <v/>
      </c>
      <c r="T190" s="13" t="str">
        <f t="shared" si="5"/>
        <v/>
      </c>
      <c r="U190" s="28"/>
    </row>
    <row r="191" ht="15.75" customHeight="1">
      <c r="P191" s="25" t="str">
        <f t="shared" si="79"/>
        <v> - </v>
      </c>
      <c r="Q191" s="25" t="str">
        <f t="shared" si="3"/>
        <v/>
      </c>
      <c r="R191" s="25" t="str">
        <f t="shared" ref="R191:S191" si="195">C191</f>
        <v/>
      </c>
      <c r="S191" s="25" t="str">
        <f t="shared" si="195"/>
        <v/>
      </c>
      <c r="T191" s="13" t="str">
        <f t="shared" si="5"/>
        <v/>
      </c>
      <c r="U191" s="28"/>
    </row>
    <row r="192" ht="15.75" customHeight="1">
      <c r="P192" s="25" t="str">
        <f t="shared" si="79"/>
        <v> - </v>
      </c>
      <c r="Q192" s="25" t="str">
        <f t="shared" si="3"/>
        <v/>
      </c>
      <c r="R192" s="25" t="str">
        <f t="shared" ref="R192:S192" si="196">C192</f>
        <v/>
      </c>
      <c r="S192" s="25" t="str">
        <f t="shared" si="196"/>
        <v/>
      </c>
      <c r="T192" s="13" t="str">
        <f t="shared" si="5"/>
        <v/>
      </c>
      <c r="U192" s="28"/>
    </row>
    <row r="193" ht="15.75" customHeight="1">
      <c r="P193" s="25" t="str">
        <f t="shared" si="79"/>
        <v> - </v>
      </c>
      <c r="Q193" s="25" t="str">
        <f t="shared" si="3"/>
        <v/>
      </c>
      <c r="R193" s="25" t="str">
        <f t="shared" ref="R193:S193" si="197">C193</f>
        <v/>
      </c>
      <c r="S193" s="25" t="str">
        <f t="shared" si="197"/>
        <v/>
      </c>
      <c r="T193" s="13" t="str">
        <f t="shared" si="5"/>
        <v/>
      </c>
      <c r="U193" s="28"/>
    </row>
    <row r="194" ht="15.75" customHeight="1">
      <c r="P194" s="25" t="str">
        <f t="shared" si="79"/>
        <v> - </v>
      </c>
      <c r="Q194" s="25" t="str">
        <f t="shared" si="3"/>
        <v/>
      </c>
      <c r="R194" s="25" t="str">
        <f t="shared" ref="R194:S194" si="198">C194</f>
        <v/>
      </c>
      <c r="S194" s="25" t="str">
        <f t="shared" si="198"/>
        <v/>
      </c>
      <c r="T194" s="13" t="str">
        <f t="shared" si="5"/>
        <v/>
      </c>
      <c r="U194" s="28"/>
    </row>
    <row r="195" ht="15.75" customHeight="1">
      <c r="P195" s="25" t="str">
        <f t="shared" si="79"/>
        <v> - </v>
      </c>
      <c r="Q195" s="25" t="str">
        <f t="shared" si="3"/>
        <v/>
      </c>
      <c r="R195" s="25" t="str">
        <f t="shared" ref="R195:S195" si="199">C195</f>
        <v/>
      </c>
      <c r="S195" s="25" t="str">
        <f t="shared" si="199"/>
        <v/>
      </c>
      <c r="T195" s="13" t="str">
        <f t="shared" si="5"/>
        <v/>
      </c>
      <c r="U195" s="28"/>
    </row>
    <row r="196" ht="15.75" customHeight="1">
      <c r="P196" s="25" t="str">
        <f t="shared" si="79"/>
        <v> - </v>
      </c>
      <c r="Q196" s="25" t="str">
        <f t="shared" si="3"/>
        <v/>
      </c>
      <c r="R196" s="25" t="str">
        <f t="shared" ref="R196:S196" si="200">C196</f>
        <v/>
      </c>
      <c r="S196" s="25" t="str">
        <f t="shared" si="200"/>
        <v/>
      </c>
      <c r="T196" s="13" t="str">
        <f t="shared" si="5"/>
        <v/>
      </c>
      <c r="U196" s="28"/>
    </row>
    <row r="197" ht="15.75" customHeight="1">
      <c r="P197" s="25" t="str">
        <f t="shared" si="79"/>
        <v> - </v>
      </c>
      <c r="Q197" s="25" t="str">
        <f t="shared" si="3"/>
        <v/>
      </c>
      <c r="R197" s="25" t="str">
        <f t="shared" ref="R197:S197" si="201">C197</f>
        <v/>
      </c>
      <c r="S197" s="25" t="str">
        <f t="shared" si="201"/>
        <v/>
      </c>
      <c r="T197" s="13" t="str">
        <f t="shared" si="5"/>
        <v/>
      </c>
      <c r="U197" s="28"/>
    </row>
    <row r="198" ht="15.75" customHeight="1">
      <c r="P198" s="25" t="str">
        <f t="shared" si="79"/>
        <v> - </v>
      </c>
      <c r="Q198" s="25" t="str">
        <f t="shared" si="3"/>
        <v/>
      </c>
      <c r="R198" s="25" t="str">
        <f t="shared" ref="R198:S198" si="202">C198</f>
        <v/>
      </c>
      <c r="S198" s="25" t="str">
        <f t="shared" si="202"/>
        <v/>
      </c>
      <c r="T198" s="13" t="str">
        <f t="shared" si="5"/>
        <v/>
      </c>
      <c r="U198" s="28"/>
    </row>
    <row r="199" ht="15.75" customHeight="1">
      <c r="P199" s="25" t="str">
        <f t="shared" si="79"/>
        <v> - </v>
      </c>
      <c r="Q199" s="25" t="str">
        <f t="shared" si="3"/>
        <v/>
      </c>
      <c r="R199" s="25" t="str">
        <f t="shared" ref="R199:S199" si="203">C199</f>
        <v/>
      </c>
      <c r="S199" s="25" t="str">
        <f t="shared" si="203"/>
        <v/>
      </c>
      <c r="T199" s="13" t="str">
        <f t="shared" si="5"/>
        <v/>
      </c>
      <c r="U199" s="28"/>
    </row>
    <row r="200" ht="15.75" customHeight="1">
      <c r="P200" s="25" t="str">
        <f t="shared" si="79"/>
        <v> - </v>
      </c>
      <c r="Q200" s="25" t="str">
        <f t="shared" si="3"/>
        <v/>
      </c>
      <c r="R200" s="25" t="str">
        <f t="shared" ref="R200:S200" si="204">C200</f>
        <v/>
      </c>
      <c r="S200" s="25" t="str">
        <f t="shared" si="204"/>
        <v/>
      </c>
      <c r="T200" s="13" t="str">
        <f t="shared" si="5"/>
        <v/>
      </c>
      <c r="U200" s="28"/>
    </row>
    <row r="201" ht="15.75" customHeight="1">
      <c r="P201" s="25" t="str">
        <f t="shared" si="79"/>
        <v> - </v>
      </c>
      <c r="Q201" s="25" t="str">
        <f t="shared" si="3"/>
        <v/>
      </c>
      <c r="R201" s="25" t="str">
        <f t="shared" ref="R201:S201" si="205">C201</f>
        <v/>
      </c>
      <c r="S201" s="25" t="str">
        <f t="shared" si="205"/>
        <v/>
      </c>
      <c r="T201" s="13" t="str">
        <f t="shared" si="5"/>
        <v/>
      </c>
      <c r="U201" s="28"/>
    </row>
    <row r="202" ht="15.75" customHeight="1">
      <c r="P202" s="25" t="str">
        <f t="shared" si="79"/>
        <v> - </v>
      </c>
      <c r="Q202" s="25" t="str">
        <f t="shared" si="3"/>
        <v/>
      </c>
      <c r="R202" s="25" t="str">
        <f t="shared" ref="R202:S202" si="206">C202</f>
        <v/>
      </c>
      <c r="S202" s="25" t="str">
        <f t="shared" si="206"/>
        <v/>
      </c>
      <c r="T202" s="13" t="str">
        <f t="shared" si="5"/>
        <v/>
      </c>
      <c r="U202" s="28"/>
    </row>
    <row r="203" ht="15.75" customHeight="1">
      <c r="P203" s="25" t="str">
        <f t="shared" si="79"/>
        <v> - </v>
      </c>
      <c r="Q203" s="25" t="str">
        <f t="shared" si="3"/>
        <v/>
      </c>
      <c r="R203" s="25" t="str">
        <f t="shared" ref="R203:S203" si="207">C203</f>
        <v/>
      </c>
      <c r="S203" s="25" t="str">
        <f t="shared" si="207"/>
        <v/>
      </c>
      <c r="T203" s="13" t="str">
        <f t="shared" si="5"/>
        <v/>
      </c>
      <c r="U203" s="28"/>
    </row>
    <row r="204" ht="15.75" customHeight="1">
      <c r="P204" s="25" t="str">
        <f t="shared" si="79"/>
        <v> - </v>
      </c>
      <c r="Q204" s="25" t="str">
        <f t="shared" si="3"/>
        <v/>
      </c>
      <c r="R204" s="25" t="str">
        <f t="shared" ref="R204:S204" si="208">C204</f>
        <v/>
      </c>
      <c r="S204" s="25" t="str">
        <f t="shared" si="208"/>
        <v/>
      </c>
      <c r="T204" s="13" t="str">
        <f t="shared" si="5"/>
        <v/>
      </c>
      <c r="U204" s="28"/>
    </row>
    <row r="205" ht="15.75" customHeight="1">
      <c r="P205" s="25" t="str">
        <f t="shared" si="79"/>
        <v> - </v>
      </c>
      <c r="Q205" s="25" t="str">
        <f t="shared" si="3"/>
        <v/>
      </c>
      <c r="R205" s="25" t="str">
        <f t="shared" ref="R205:S205" si="209">C205</f>
        <v/>
      </c>
      <c r="S205" s="25" t="str">
        <f t="shared" si="209"/>
        <v/>
      </c>
      <c r="T205" s="13" t="str">
        <f t="shared" si="5"/>
        <v/>
      </c>
      <c r="U205" s="28"/>
    </row>
    <row r="206" ht="15.75" customHeight="1">
      <c r="P206" s="25" t="str">
        <f t="shared" si="79"/>
        <v> - </v>
      </c>
      <c r="Q206" s="25" t="str">
        <f t="shared" si="3"/>
        <v/>
      </c>
      <c r="R206" s="25" t="str">
        <f t="shared" ref="R206:S206" si="210">C206</f>
        <v/>
      </c>
      <c r="S206" s="25" t="str">
        <f t="shared" si="210"/>
        <v/>
      </c>
      <c r="T206" s="13" t="str">
        <f t="shared" si="5"/>
        <v/>
      </c>
      <c r="U206" s="28"/>
    </row>
    <row r="207" ht="15.75" customHeight="1">
      <c r="P207" s="25" t="str">
        <f t="shared" si="79"/>
        <v> - </v>
      </c>
      <c r="Q207" s="25" t="str">
        <f t="shared" si="3"/>
        <v/>
      </c>
      <c r="R207" s="25" t="str">
        <f t="shared" ref="R207:S207" si="211">C207</f>
        <v/>
      </c>
      <c r="S207" s="25" t="str">
        <f t="shared" si="211"/>
        <v/>
      </c>
      <c r="T207" s="13" t="str">
        <f t="shared" si="5"/>
        <v/>
      </c>
      <c r="U207" s="28"/>
    </row>
    <row r="208" ht="15.75" customHeight="1">
      <c r="P208" s="25" t="str">
        <f t="shared" si="79"/>
        <v> - </v>
      </c>
      <c r="Q208" s="25" t="str">
        <f t="shared" si="3"/>
        <v/>
      </c>
      <c r="R208" s="25" t="str">
        <f t="shared" ref="R208:S208" si="212">C208</f>
        <v/>
      </c>
      <c r="S208" s="25" t="str">
        <f t="shared" si="212"/>
        <v/>
      </c>
      <c r="T208" s="13" t="str">
        <f t="shared" si="5"/>
        <v/>
      </c>
      <c r="U208" s="28"/>
    </row>
    <row r="209" ht="15.75" customHeight="1">
      <c r="P209" s="25" t="str">
        <f t="shared" si="79"/>
        <v> - </v>
      </c>
      <c r="Q209" s="25" t="str">
        <f t="shared" si="3"/>
        <v/>
      </c>
      <c r="R209" s="25" t="str">
        <f t="shared" ref="R209:S209" si="213">C209</f>
        <v/>
      </c>
      <c r="S209" s="25" t="str">
        <f t="shared" si="213"/>
        <v/>
      </c>
      <c r="T209" s="13" t="str">
        <f t="shared" si="5"/>
        <v/>
      </c>
      <c r="U209" s="28"/>
    </row>
    <row r="210" ht="15.75" customHeight="1">
      <c r="P210" s="25" t="str">
        <f t="shared" si="79"/>
        <v> - </v>
      </c>
      <c r="Q210" s="25" t="str">
        <f t="shared" si="3"/>
        <v/>
      </c>
      <c r="R210" s="25" t="str">
        <f t="shared" ref="R210:S210" si="214">C210</f>
        <v/>
      </c>
      <c r="S210" s="25" t="str">
        <f t="shared" si="214"/>
        <v/>
      </c>
      <c r="T210" s="13" t="str">
        <f t="shared" si="5"/>
        <v/>
      </c>
      <c r="U210" s="28"/>
    </row>
    <row r="211" ht="15.75" customHeight="1">
      <c r="P211" s="25" t="str">
        <f t="shared" si="79"/>
        <v> - </v>
      </c>
      <c r="Q211" s="25" t="str">
        <f t="shared" si="3"/>
        <v/>
      </c>
      <c r="R211" s="25" t="str">
        <f t="shared" ref="R211:S211" si="215">C211</f>
        <v/>
      </c>
      <c r="S211" s="25" t="str">
        <f t="shared" si="215"/>
        <v/>
      </c>
      <c r="T211" s="13" t="str">
        <f t="shared" si="5"/>
        <v/>
      </c>
      <c r="U211" s="28"/>
    </row>
    <row r="212" ht="15.75" customHeight="1">
      <c r="P212" s="25" t="str">
        <f t="shared" si="79"/>
        <v> - </v>
      </c>
      <c r="Q212" s="25" t="str">
        <f t="shared" si="3"/>
        <v/>
      </c>
      <c r="R212" s="25" t="str">
        <f t="shared" ref="R212:S212" si="216">C212</f>
        <v/>
      </c>
      <c r="S212" s="25" t="str">
        <f t="shared" si="216"/>
        <v/>
      </c>
      <c r="T212" s="13" t="str">
        <f t="shared" si="5"/>
        <v/>
      </c>
      <c r="U212" s="28"/>
    </row>
    <row r="213" ht="15.75" customHeight="1">
      <c r="P213" s="25" t="str">
        <f t="shared" si="79"/>
        <v> - </v>
      </c>
      <c r="Q213" s="25" t="str">
        <f t="shared" si="3"/>
        <v/>
      </c>
      <c r="R213" s="25" t="str">
        <f t="shared" ref="R213:S213" si="217">C213</f>
        <v/>
      </c>
      <c r="S213" s="25" t="str">
        <f t="shared" si="217"/>
        <v/>
      </c>
      <c r="T213" s="13" t="str">
        <f t="shared" si="5"/>
        <v/>
      </c>
      <c r="U213" s="28"/>
    </row>
    <row r="214" ht="15.75" customHeight="1">
      <c r="P214" s="25" t="str">
        <f t="shared" si="79"/>
        <v> - </v>
      </c>
      <c r="Q214" s="25" t="str">
        <f t="shared" si="3"/>
        <v/>
      </c>
      <c r="R214" s="25" t="str">
        <f t="shared" ref="R214:S214" si="218">C214</f>
        <v/>
      </c>
      <c r="S214" s="25" t="str">
        <f t="shared" si="218"/>
        <v/>
      </c>
      <c r="T214" s="13" t="str">
        <f t="shared" si="5"/>
        <v/>
      </c>
      <c r="U214" s="28"/>
    </row>
    <row r="215" ht="15.75" customHeight="1">
      <c r="P215" s="25" t="str">
        <f t="shared" si="79"/>
        <v> - </v>
      </c>
      <c r="Q215" s="25" t="str">
        <f t="shared" si="3"/>
        <v/>
      </c>
      <c r="R215" s="25" t="str">
        <f t="shared" ref="R215:S215" si="219">C215</f>
        <v/>
      </c>
      <c r="S215" s="25" t="str">
        <f t="shared" si="219"/>
        <v/>
      </c>
      <c r="T215" s="13" t="str">
        <f t="shared" si="5"/>
        <v/>
      </c>
      <c r="U215" s="28"/>
    </row>
    <row r="216" ht="15.75" customHeight="1">
      <c r="P216" s="25" t="str">
        <f t="shared" si="79"/>
        <v> - </v>
      </c>
      <c r="Q216" s="25" t="str">
        <f t="shared" si="3"/>
        <v/>
      </c>
      <c r="R216" s="25" t="str">
        <f t="shared" ref="R216:S216" si="220">C216</f>
        <v/>
      </c>
      <c r="S216" s="25" t="str">
        <f t="shared" si="220"/>
        <v/>
      </c>
      <c r="T216" s="13" t="str">
        <f t="shared" si="5"/>
        <v/>
      </c>
      <c r="U216" s="28"/>
    </row>
    <row r="217" ht="15.75" customHeight="1">
      <c r="P217" s="25" t="str">
        <f t="shared" si="79"/>
        <v> - </v>
      </c>
      <c r="Q217" s="25" t="str">
        <f t="shared" si="3"/>
        <v/>
      </c>
      <c r="R217" s="25" t="str">
        <f t="shared" ref="R217:S217" si="221">C217</f>
        <v/>
      </c>
      <c r="S217" s="25" t="str">
        <f t="shared" si="221"/>
        <v/>
      </c>
      <c r="T217" s="13" t="str">
        <f t="shared" si="5"/>
        <v/>
      </c>
      <c r="U217" s="28"/>
    </row>
    <row r="218" ht="15.75" customHeight="1">
      <c r="P218" s="25" t="str">
        <f t="shared" si="79"/>
        <v> - </v>
      </c>
      <c r="Q218" s="25" t="str">
        <f t="shared" si="3"/>
        <v/>
      </c>
      <c r="R218" s="25" t="str">
        <f t="shared" ref="R218:S218" si="222">C218</f>
        <v/>
      </c>
      <c r="S218" s="25" t="str">
        <f t="shared" si="222"/>
        <v/>
      </c>
      <c r="T218" s="13" t="str">
        <f t="shared" si="5"/>
        <v/>
      </c>
      <c r="U218" s="28"/>
    </row>
    <row r="219" ht="15.75" customHeight="1">
      <c r="P219" s="25" t="str">
        <f t="shared" si="79"/>
        <v> - </v>
      </c>
      <c r="Q219" s="25" t="str">
        <f t="shared" si="3"/>
        <v/>
      </c>
      <c r="R219" s="25" t="str">
        <f t="shared" ref="R219:S219" si="223">C219</f>
        <v/>
      </c>
      <c r="S219" s="25" t="str">
        <f t="shared" si="223"/>
        <v/>
      </c>
      <c r="T219" s="13" t="str">
        <f t="shared" si="5"/>
        <v/>
      </c>
      <c r="U219" s="28"/>
    </row>
    <row r="220" ht="15.75" customHeight="1">
      <c r="P220" s="25" t="str">
        <f t="shared" si="79"/>
        <v> - </v>
      </c>
      <c r="Q220" s="25" t="str">
        <f t="shared" si="3"/>
        <v/>
      </c>
      <c r="R220" s="25" t="str">
        <f t="shared" ref="R220:S220" si="224">C220</f>
        <v/>
      </c>
      <c r="S220" s="25" t="str">
        <f t="shared" si="224"/>
        <v/>
      </c>
      <c r="T220" s="13" t="str">
        <f t="shared" si="5"/>
        <v/>
      </c>
      <c r="U220" s="28"/>
    </row>
    <row r="221" ht="15.75" customHeight="1">
      <c r="P221" s="25" t="str">
        <f t="shared" si="79"/>
        <v> - </v>
      </c>
      <c r="Q221" s="25" t="str">
        <f t="shared" si="3"/>
        <v/>
      </c>
      <c r="R221" s="25" t="str">
        <f t="shared" ref="R221:S221" si="225">C221</f>
        <v/>
      </c>
      <c r="S221" s="25" t="str">
        <f t="shared" si="225"/>
        <v/>
      </c>
      <c r="T221" s="13" t="str">
        <f t="shared" si="5"/>
        <v/>
      </c>
      <c r="U221" s="28"/>
    </row>
    <row r="222" ht="15.75" customHeight="1">
      <c r="P222" s="25" t="str">
        <f t="shared" si="79"/>
        <v> - </v>
      </c>
      <c r="Q222" s="25" t="str">
        <f t="shared" si="3"/>
        <v/>
      </c>
      <c r="R222" s="25" t="str">
        <f t="shared" ref="R222:S222" si="226">C222</f>
        <v/>
      </c>
      <c r="S222" s="25" t="str">
        <f t="shared" si="226"/>
        <v/>
      </c>
      <c r="T222" s="13" t="str">
        <f t="shared" si="5"/>
        <v/>
      </c>
      <c r="U222" s="28"/>
    </row>
    <row r="223" ht="15.75" customHeight="1">
      <c r="P223" s="25" t="str">
        <f t="shared" si="79"/>
        <v> - </v>
      </c>
      <c r="Q223" s="25" t="str">
        <f t="shared" si="3"/>
        <v/>
      </c>
      <c r="R223" s="25" t="str">
        <f t="shared" ref="R223:S223" si="227">C223</f>
        <v/>
      </c>
      <c r="S223" s="25" t="str">
        <f t="shared" si="227"/>
        <v/>
      </c>
      <c r="T223" s="13" t="str">
        <f t="shared" si="5"/>
        <v/>
      </c>
      <c r="U223" s="28"/>
    </row>
    <row r="224" ht="15.75" customHeight="1">
      <c r="P224" s="25" t="str">
        <f t="shared" si="79"/>
        <v> - </v>
      </c>
      <c r="Q224" s="25" t="str">
        <f t="shared" si="3"/>
        <v/>
      </c>
      <c r="R224" s="25" t="str">
        <f t="shared" ref="R224:S224" si="228">C224</f>
        <v/>
      </c>
      <c r="S224" s="25" t="str">
        <f t="shared" si="228"/>
        <v/>
      </c>
      <c r="T224" s="13" t="str">
        <f t="shared" si="5"/>
        <v/>
      </c>
      <c r="U224" s="28"/>
    </row>
    <row r="225" ht="15.75" customHeight="1">
      <c r="P225" s="25" t="str">
        <f t="shared" si="79"/>
        <v> - </v>
      </c>
      <c r="Q225" s="25" t="str">
        <f t="shared" si="3"/>
        <v/>
      </c>
      <c r="R225" s="25" t="str">
        <f t="shared" ref="R225:S225" si="229">C225</f>
        <v/>
      </c>
      <c r="S225" s="25" t="str">
        <f t="shared" si="229"/>
        <v/>
      </c>
      <c r="T225" s="13" t="str">
        <f t="shared" si="5"/>
        <v/>
      </c>
      <c r="U225" s="28"/>
    </row>
    <row r="226" ht="15.75" customHeight="1">
      <c r="P226" s="25" t="str">
        <f t="shared" si="79"/>
        <v> - </v>
      </c>
      <c r="Q226" s="25" t="str">
        <f t="shared" si="3"/>
        <v/>
      </c>
      <c r="R226" s="25" t="str">
        <f t="shared" ref="R226:S226" si="230">C226</f>
        <v/>
      </c>
      <c r="S226" s="25" t="str">
        <f t="shared" si="230"/>
        <v/>
      </c>
      <c r="T226" s="13" t="str">
        <f t="shared" si="5"/>
        <v/>
      </c>
      <c r="U226" s="28"/>
    </row>
    <row r="227" ht="15.75" customHeight="1">
      <c r="P227" s="25" t="str">
        <f t="shared" si="79"/>
        <v> - </v>
      </c>
      <c r="Q227" s="25" t="str">
        <f t="shared" si="3"/>
        <v/>
      </c>
      <c r="R227" s="25" t="str">
        <f t="shared" ref="R227:S227" si="231">C227</f>
        <v/>
      </c>
      <c r="S227" s="25" t="str">
        <f t="shared" si="231"/>
        <v/>
      </c>
      <c r="T227" s="13" t="str">
        <f t="shared" si="5"/>
        <v/>
      </c>
      <c r="U227" s="28"/>
    </row>
    <row r="228" ht="15.75" customHeight="1">
      <c r="P228" s="25" t="str">
        <f t="shared" si="79"/>
        <v> - </v>
      </c>
      <c r="Q228" s="25" t="str">
        <f t="shared" si="3"/>
        <v/>
      </c>
      <c r="R228" s="25" t="str">
        <f t="shared" ref="R228:S228" si="232">C228</f>
        <v/>
      </c>
      <c r="S228" s="25" t="str">
        <f t="shared" si="232"/>
        <v/>
      </c>
      <c r="T228" s="13" t="str">
        <f t="shared" si="5"/>
        <v/>
      </c>
      <c r="U228" s="28"/>
    </row>
    <row r="229" ht="15.75" customHeight="1">
      <c r="P229" s="25" t="str">
        <f t="shared" si="79"/>
        <v> - </v>
      </c>
      <c r="Q229" s="25" t="str">
        <f t="shared" si="3"/>
        <v/>
      </c>
      <c r="R229" s="25" t="str">
        <f t="shared" ref="R229:S229" si="233">C229</f>
        <v/>
      </c>
      <c r="S229" s="25" t="str">
        <f t="shared" si="233"/>
        <v/>
      </c>
      <c r="T229" s="13" t="str">
        <f t="shared" si="5"/>
        <v/>
      </c>
      <c r="U229" s="28"/>
    </row>
    <row r="230" ht="15.75" customHeight="1">
      <c r="P230" s="25" t="str">
        <f t="shared" si="79"/>
        <v> - </v>
      </c>
      <c r="Q230" s="25" t="str">
        <f t="shared" si="3"/>
        <v/>
      </c>
      <c r="R230" s="25" t="str">
        <f t="shared" ref="R230:S230" si="234">C230</f>
        <v/>
      </c>
      <c r="S230" s="25" t="str">
        <f t="shared" si="234"/>
        <v/>
      </c>
      <c r="T230" s="13" t="str">
        <f t="shared" si="5"/>
        <v/>
      </c>
      <c r="U230" s="28"/>
    </row>
    <row r="231" ht="15.75" customHeight="1">
      <c r="P231" s="25" t="str">
        <f t="shared" si="79"/>
        <v> - </v>
      </c>
      <c r="Q231" s="25" t="str">
        <f t="shared" si="3"/>
        <v/>
      </c>
      <c r="R231" s="25" t="str">
        <f t="shared" ref="R231:S231" si="235">C231</f>
        <v/>
      </c>
      <c r="S231" s="25" t="str">
        <f t="shared" si="235"/>
        <v/>
      </c>
      <c r="T231" s="13" t="str">
        <f t="shared" si="5"/>
        <v/>
      </c>
      <c r="U231" s="28"/>
    </row>
    <row r="232" ht="15.75" customHeight="1">
      <c r="P232" s="25" t="str">
        <f t="shared" si="79"/>
        <v> - </v>
      </c>
      <c r="Q232" s="25" t="str">
        <f t="shared" si="3"/>
        <v/>
      </c>
      <c r="R232" s="25" t="str">
        <f t="shared" ref="R232:S232" si="236">C232</f>
        <v/>
      </c>
      <c r="S232" s="25" t="str">
        <f t="shared" si="236"/>
        <v/>
      </c>
      <c r="T232" s="13" t="str">
        <f t="shared" si="5"/>
        <v/>
      </c>
      <c r="U232" s="28"/>
    </row>
    <row r="233" ht="15.75" customHeight="1">
      <c r="P233" s="25" t="str">
        <f t="shared" si="79"/>
        <v> - </v>
      </c>
      <c r="Q233" s="25" t="str">
        <f t="shared" si="3"/>
        <v/>
      </c>
      <c r="R233" s="25" t="str">
        <f t="shared" ref="R233:S233" si="237">C233</f>
        <v/>
      </c>
      <c r="S233" s="25" t="str">
        <f t="shared" si="237"/>
        <v/>
      </c>
      <c r="T233" s="13" t="str">
        <f t="shared" si="5"/>
        <v/>
      </c>
      <c r="U233" s="28"/>
    </row>
    <row r="234" ht="15.75" customHeight="1">
      <c r="P234" s="25" t="str">
        <f t="shared" si="79"/>
        <v> - </v>
      </c>
      <c r="Q234" s="25" t="str">
        <f t="shared" si="3"/>
        <v/>
      </c>
      <c r="R234" s="25" t="str">
        <f t="shared" ref="R234:S234" si="238">C234</f>
        <v/>
      </c>
      <c r="S234" s="25" t="str">
        <f t="shared" si="238"/>
        <v/>
      </c>
      <c r="T234" s="13" t="str">
        <f t="shared" si="5"/>
        <v/>
      </c>
      <c r="U234" s="28"/>
    </row>
    <row r="235" ht="15.75" customHeight="1">
      <c r="P235" s="25" t="str">
        <f t="shared" si="79"/>
        <v> - </v>
      </c>
      <c r="Q235" s="25" t="str">
        <f t="shared" si="3"/>
        <v/>
      </c>
      <c r="R235" s="25" t="str">
        <f t="shared" ref="R235:S235" si="239">C235</f>
        <v/>
      </c>
      <c r="S235" s="25" t="str">
        <f t="shared" si="239"/>
        <v/>
      </c>
      <c r="T235" s="13" t="str">
        <f t="shared" si="5"/>
        <v/>
      </c>
      <c r="U235" s="28"/>
    </row>
    <row r="236" ht="15.75" customHeight="1">
      <c r="P236" s="25" t="str">
        <f t="shared" si="79"/>
        <v> - </v>
      </c>
      <c r="Q236" s="25" t="str">
        <f t="shared" si="3"/>
        <v/>
      </c>
      <c r="R236" s="25" t="str">
        <f t="shared" ref="R236:S236" si="240">C236</f>
        <v/>
      </c>
      <c r="S236" s="25" t="str">
        <f t="shared" si="240"/>
        <v/>
      </c>
      <c r="T236" s="13" t="str">
        <f t="shared" si="5"/>
        <v/>
      </c>
      <c r="U236" s="28"/>
    </row>
    <row r="237" ht="15.75" customHeight="1">
      <c r="P237" s="25" t="str">
        <f t="shared" si="79"/>
        <v> - </v>
      </c>
      <c r="Q237" s="25" t="str">
        <f t="shared" si="3"/>
        <v/>
      </c>
      <c r="R237" s="25" t="str">
        <f t="shared" ref="R237:S237" si="241">C237</f>
        <v/>
      </c>
      <c r="S237" s="25" t="str">
        <f t="shared" si="241"/>
        <v/>
      </c>
      <c r="T237" s="13" t="str">
        <f t="shared" si="5"/>
        <v/>
      </c>
      <c r="U237" s="28"/>
    </row>
    <row r="238" ht="15.75" customHeight="1">
      <c r="P238" s="25" t="str">
        <f t="shared" si="79"/>
        <v> - </v>
      </c>
      <c r="Q238" s="25" t="str">
        <f t="shared" si="3"/>
        <v/>
      </c>
      <c r="R238" s="25" t="str">
        <f t="shared" ref="R238:S238" si="242">C238</f>
        <v/>
      </c>
      <c r="S238" s="25" t="str">
        <f t="shared" si="242"/>
        <v/>
      </c>
      <c r="T238" s="13" t="str">
        <f t="shared" si="5"/>
        <v/>
      </c>
      <c r="U238" s="28"/>
    </row>
    <row r="239" ht="15.75" customHeight="1">
      <c r="P239" s="25" t="str">
        <f t="shared" si="79"/>
        <v> - </v>
      </c>
      <c r="Q239" s="25" t="str">
        <f t="shared" si="3"/>
        <v/>
      </c>
      <c r="R239" s="25" t="str">
        <f t="shared" ref="R239:S239" si="243">C239</f>
        <v/>
      </c>
      <c r="S239" s="25" t="str">
        <f t="shared" si="243"/>
        <v/>
      </c>
      <c r="T239" s="13" t="str">
        <f t="shared" si="5"/>
        <v/>
      </c>
      <c r="U239" s="28"/>
    </row>
    <row r="240" ht="15.75" customHeight="1">
      <c r="P240" s="25" t="str">
        <f t="shared" si="79"/>
        <v> - </v>
      </c>
      <c r="Q240" s="25" t="str">
        <f t="shared" si="3"/>
        <v/>
      </c>
      <c r="R240" s="25" t="str">
        <f t="shared" ref="R240:S240" si="244">C240</f>
        <v/>
      </c>
      <c r="S240" s="25" t="str">
        <f t="shared" si="244"/>
        <v/>
      </c>
      <c r="T240" s="13" t="str">
        <f t="shared" si="5"/>
        <v/>
      </c>
      <c r="U240" s="28"/>
    </row>
    <row r="241" ht="15.75" customHeight="1">
      <c r="P241" s="25" t="str">
        <f t="shared" si="79"/>
        <v> - </v>
      </c>
      <c r="Q241" s="25" t="str">
        <f t="shared" si="3"/>
        <v/>
      </c>
      <c r="R241" s="25" t="str">
        <f t="shared" ref="R241:S241" si="245">C241</f>
        <v/>
      </c>
      <c r="S241" s="25" t="str">
        <f t="shared" si="245"/>
        <v/>
      </c>
      <c r="T241" s="13" t="str">
        <f t="shared" si="5"/>
        <v/>
      </c>
      <c r="U241" s="28"/>
    </row>
    <row r="242" ht="15.75" customHeight="1">
      <c r="P242" s="25" t="str">
        <f t="shared" si="79"/>
        <v> - </v>
      </c>
      <c r="Q242" s="25" t="str">
        <f t="shared" si="3"/>
        <v/>
      </c>
      <c r="R242" s="25" t="str">
        <f t="shared" ref="R242:S242" si="246">C242</f>
        <v/>
      </c>
      <c r="S242" s="25" t="str">
        <f t="shared" si="246"/>
        <v/>
      </c>
      <c r="T242" s="13" t="str">
        <f t="shared" si="5"/>
        <v/>
      </c>
      <c r="U242" s="28"/>
    </row>
    <row r="243" ht="15.75" customHeight="1">
      <c r="P243" s="25" t="str">
        <f t="shared" si="79"/>
        <v> - </v>
      </c>
      <c r="Q243" s="25" t="str">
        <f t="shared" si="3"/>
        <v/>
      </c>
      <c r="R243" s="25" t="str">
        <f t="shared" ref="R243:S243" si="247">C243</f>
        <v/>
      </c>
      <c r="S243" s="25" t="str">
        <f t="shared" si="247"/>
        <v/>
      </c>
      <c r="T243" s="13" t="str">
        <f t="shared" si="5"/>
        <v/>
      </c>
      <c r="U243" s="28"/>
    </row>
    <row r="244" ht="15.75" customHeight="1">
      <c r="P244" s="25" t="str">
        <f t="shared" si="79"/>
        <v> - </v>
      </c>
      <c r="Q244" s="25" t="str">
        <f t="shared" si="3"/>
        <v/>
      </c>
      <c r="R244" s="25" t="str">
        <f t="shared" ref="R244:S244" si="248">C244</f>
        <v/>
      </c>
      <c r="S244" s="25" t="str">
        <f t="shared" si="248"/>
        <v/>
      </c>
      <c r="T244" s="13" t="str">
        <f t="shared" si="5"/>
        <v/>
      </c>
      <c r="U244" s="28"/>
    </row>
    <row r="245" ht="15.75" customHeight="1">
      <c r="P245" s="25" t="str">
        <f t="shared" si="79"/>
        <v> - </v>
      </c>
      <c r="Q245" s="25" t="str">
        <f t="shared" si="3"/>
        <v/>
      </c>
      <c r="R245" s="25" t="str">
        <f t="shared" ref="R245:S245" si="249">C245</f>
        <v/>
      </c>
      <c r="S245" s="25" t="str">
        <f t="shared" si="249"/>
        <v/>
      </c>
      <c r="T245" s="13" t="str">
        <f t="shared" si="5"/>
        <v/>
      </c>
      <c r="U245" s="28"/>
    </row>
    <row r="246" ht="15.75" customHeight="1">
      <c r="P246" s="25" t="str">
        <f t="shared" si="79"/>
        <v> - </v>
      </c>
      <c r="Q246" s="25" t="str">
        <f t="shared" si="3"/>
        <v/>
      </c>
      <c r="R246" s="25" t="str">
        <f t="shared" ref="R246:S246" si="250">C246</f>
        <v/>
      </c>
      <c r="S246" s="25" t="str">
        <f t="shared" si="250"/>
        <v/>
      </c>
      <c r="T246" s="13" t="str">
        <f t="shared" si="5"/>
        <v/>
      </c>
      <c r="U246" s="28"/>
    </row>
    <row r="247" ht="15.75" customHeight="1">
      <c r="P247" s="25" t="str">
        <f t="shared" si="79"/>
        <v> - </v>
      </c>
      <c r="Q247" s="25" t="str">
        <f t="shared" si="3"/>
        <v/>
      </c>
      <c r="R247" s="25" t="str">
        <f t="shared" ref="R247:S247" si="251">C247</f>
        <v/>
      </c>
      <c r="S247" s="25" t="str">
        <f t="shared" si="251"/>
        <v/>
      </c>
      <c r="T247" s="13" t="str">
        <f t="shared" si="5"/>
        <v/>
      </c>
      <c r="U247" s="28"/>
    </row>
    <row r="248" ht="15.75" customHeight="1">
      <c r="P248" s="25" t="str">
        <f t="shared" si="79"/>
        <v> - </v>
      </c>
      <c r="Q248" s="25" t="str">
        <f t="shared" si="3"/>
        <v/>
      </c>
      <c r="R248" s="25" t="str">
        <f t="shared" ref="R248:S248" si="252">C248</f>
        <v/>
      </c>
      <c r="S248" s="25" t="str">
        <f t="shared" si="252"/>
        <v/>
      </c>
      <c r="T248" s="13" t="str">
        <f t="shared" si="5"/>
        <v/>
      </c>
      <c r="U248" s="28"/>
    </row>
    <row r="249" ht="15.75" customHeight="1">
      <c r="P249" s="25" t="str">
        <f t="shared" si="79"/>
        <v> - </v>
      </c>
      <c r="Q249" s="25" t="str">
        <f t="shared" si="3"/>
        <v/>
      </c>
      <c r="R249" s="25" t="str">
        <f t="shared" ref="R249:S249" si="253">C249</f>
        <v/>
      </c>
      <c r="S249" s="25" t="str">
        <f t="shared" si="253"/>
        <v/>
      </c>
      <c r="T249" s="13" t="str">
        <f t="shared" si="5"/>
        <v/>
      </c>
      <c r="U249" s="28"/>
    </row>
    <row r="250" ht="15.75" customHeight="1">
      <c r="P250" s="25" t="str">
        <f t="shared" si="79"/>
        <v> - </v>
      </c>
      <c r="Q250" s="25" t="str">
        <f t="shared" si="3"/>
        <v/>
      </c>
      <c r="R250" s="25" t="str">
        <f t="shared" ref="R250:S250" si="254">C250</f>
        <v/>
      </c>
      <c r="S250" s="25" t="str">
        <f t="shared" si="254"/>
        <v/>
      </c>
      <c r="T250" s="13" t="str">
        <f t="shared" si="5"/>
        <v/>
      </c>
      <c r="U250" s="28"/>
    </row>
    <row r="251" ht="15.75" customHeight="1">
      <c r="P251" s="25" t="str">
        <f t="shared" si="79"/>
        <v> - </v>
      </c>
      <c r="Q251" s="25" t="str">
        <f t="shared" si="3"/>
        <v/>
      </c>
      <c r="R251" s="25" t="str">
        <f t="shared" ref="R251:S251" si="255">C251</f>
        <v/>
      </c>
      <c r="S251" s="25" t="str">
        <f t="shared" si="255"/>
        <v/>
      </c>
      <c r="T251" s="13" t="str">
        <f t="shared" si="5"/>
        <v/>
      </c>
      <c r="U251" s="28"/>
    </row>
    <row r="252" ht="15.75" customHeight="1">
      <c r="P252" s="25" t="str">
        <f t="shared" si="79"/>
        <v> - </v>
      </c>
      <c r="Q252" s="25" t="str">
        <f t="shared" si="3"/>
        <v/>
      </c>
      <c r="R252" s="25" t="str">
        <f t="shared" ref="R252:S252" si="256">C252</f>
        <v/>
      </c>
      <c r="S252" s="25" t="str">
        <f t="shared" si="256"/>
        <v/>
      </c>
      <c r="T252" s="13" t="str">
        <f t="shared" si="5"/>
        <v/>
      </c>
      <c r="U252" s="28"/>
    </row>
    <row r="253" ht="15.75" customHeight="1">
      <c r="P253" s="25" t="str">
        <f t="shared" si="79"/>
        <v> - </v>
      </c>
      <c r="Q253" s="25" t="str">
        <f t="shared" si="3"/>
        <v/>
      </c>
      <c r="R253" s="25" t="str">
        <f t="shared" ref="R253:S253" si="257">C253</f>
        <v/>
      </c>
      <c r="S253" s="25" t="str">
        <f t="shared" si="257"/>
        <v/>
      </c>
      <c r="T253" s="13" t="str">
        <f t="shared" si="5"/>
        <v/>
      </c>
      <c r="U253" s="28"/>
    </row>
    <row r="254" ht="15.75" customHeight="1">
      <c r="P254" s="25" t="str">
        <f t="shared" si="79"/>
        <v> - </v>
      </c>
      <c r="Q254" s="25" t="str">
        <f t="shared" si="3"/>
        <v/>
      </c>
      <c r="R254" s="25" t="str">
        <f t="shared" ref="R254:S254" si="258">C254</f>
        <v/>
      </c>
      <c r="S254" s="25" t="str">
        <f t="shared" si="258"/>
        <v/>
      </c>
      <c r="T254" s="13" t="str">
        <f t="shared" si="5"/>
        <v/>
      </c>
      <c r="U254" s="28"/>
    </row>
    <row r="255" ht="15.75" customHeight="1">
      <c r="P255" s="25" t="str">
        <f t="shared" si="79"/>
        <v> - </v>
      </c>
      <c r="Q255" s="25" t="str">
        <f t="shared" si="3"/>
        <v/>
      </c>
      <c r="R255" s="25" t="str">
        <f t="shared" ref="R255:S255" si="259">C255</f>
        <v/>
      </c>
      <c r="S255" s="25" t="str">
        <f t="shared" si="259"/>
        <v/>
      </c>
      <c r="T255" s="13" t="str">
        <f t="shared" si="5"/>
        <v/>
      </c>
      <c r="U255" s="28"/>
    </row>
    <row r="256" ht="15.75" customHeight="1">
      <c r="P256" s="25" t="str">
        <f t="shared" si="79"/>
        <v> - </v>
      </c>
      <c r="Q256" s="25" t="str">
        <f t="shared" si="3"/>
        <v/>
      </c>
      <c r="R256" s="25" t="str">
        <f t="shared" ref="R256:S256" si="260">C256</f>
        <v/>
      </c>
      <c r="S256" s="25" t="str">
        <f t="shared" si="260"/>
        <v/>
      </c>
      <c r="T256" s="13" t="str">
        <f t="shared" si="5"/>
        <v/>
      </c>
      <c r="U256" s="28"/>
    </row>
    <row r="257" ht="15.75" customHeight="1">
      <c r="P257" s="25" t="str">
        <f t="shared" si="79"/>
        <v> - </v>
      </c>
      <c r="Q257" s="25" t="str">
        <f t="shared" si="3"/>
        <v/>
      </c>
      <c r="R257" s="25" t="str">
        <f t="shared" ref="R257:S257" si="261">C257</f>
        <v/>
      </c>
      <c r="S257" s="25" t="str">
        <f t="shared" si="261"/>
        <v/>
      </c>
      <c r="T257" s="13" t="str">
        <f t="shared" si="5"/>
        <v/>
      </c>
      <c r="U257" s="28"/>
    </row>
    <row r="258" ht="15.75" customHeight="1">
      <c r="P258" s="25" t="str">
        <f t="shared" si="79"/>
        <v> - </v>
      </c>
      <c r="Q258" s="25" t="str">
        <f t="shared" si="3"/>
        <v/>
      </c>
      <c r="R258" s="25" t="str">
        <f t="shared" ref="R258:S258" si="262">C258</f>
        <v/>
      </c>
      <c r="S258" s="25" t="str">
        <f t="shared" si="262"/>
        <v/>
      </c>
      <c r="T258" s="13" t="str">
        <f t="shared" si="5"/>
        <v/>
      </c>
      <c r="U258" s="28"/>
    </row>
    <row r="259" ht="15.75" customHeight="1">
      <c r="P259" s="25" t="str">
        <f t="shared" si="79"/>
        <v> - </v>
      </c>
      <c r="Q259" s="25" t="str">
        <f t="shared" si="3"/>
        <v/>
      </c>
      <c r="R259" s="25" t="str">
        <f t="shared" ref="R259:S259" si="263">C259</f>
        <v/>
      </c>
      <c r="S259" s="25" t="str">
        <f t="shared" si="263"/>
        <v/>
      </c>
      <c r="T259" s="13" t="str">
        <f t="shared" si="5"/>
        <v/>
      </c>
      <c r="U259" s="28"/>
    </row>
    <row r="260" ht="15.75" customHeight="1">
      <c r="P260" s="25" t="str">
        <f t="shared" si="79"/>
        <v> - </v>
      </c>
      <c r="Q260" s="25" t="str">
        <f t="shared" si="3"/>
        <v/>
      </c>
      <c r="R260" s="25" t="str">
        <f t="shared" ref="R260:S260" si="264">C260</f>
        <v/>
      </c>
      <c r="S260" s="25" t="str">
        <f t="shared" si="264"/>
        <v/>
      </c>
      <c r="T260" s="13" t="str">
        <f t="shared" si="5"/>
        <v/>
      </c>
      <c r="U260" s="28"/>
    </row>
    <row r="261" ht="15.75" customHeight="1">
      <c r="P261" s="25" t="str">
        <f t="shared" si="79"/>
        <v> - </v>
      </c>
      <c r="Q261" s="25" t="str">
        <f t="shared" si="3"/>
        <v/>
      </c>
      <c r="R261" s="25" t="str">
        <f t="shared" ref="R261:S261" si="265">C261</f>
        <v/>
      </c>
      <c r="S261" s="25" t="str">
        <f t="shared" si="265"/>
        <v/>
      </c>
      <c r="T261" s="13" t="str">
        <f t="shared" si="5"/>
        <v/>
      </c>
      <c r="U261" s="28"/>
    </row>
    <row r="262" ht="15.75" customHeight="1">
      <c r="P262" s="25" t="str">
        <f t="shared" si="79"/>
        <v> - </v>
      </c>
      <c r="Q262" s="25" t="str">
        <f t="shared" si="3"/>
        <v/>
      </c>
      <c r="R262" s="25" t="str">
        <f t="shared" ref="R262:S262" si="266">C262</f>
        <v/>
      </c>
      <c r="S262" s="25" t="str">
        <f t="shared" si="266"/>
        <v/>
      </c>
      <c r="T262" s="13" t="str">
        <f t="shared" si="5"/>
        <v/>
      </c>
      <c r="U262" s="28"/>
    </row>
    <row r="263" ht="15.75" customHeight="1">
      <c r="P263" s="25" t="str">
        <f t="shared" si="79"/>
        <v> - </v>
      </c>
      <c r="Q263" s="25" t="str">
        <f t="shared" si="3"/>
        <v/>
      </c>
      <c r="R263" s="25" t="str">
        <f t="shared" ref="R263:S263" si="267">C263</f>
        <v/>
      </c>
      <c r="S263" s="25" t="str">
        <f t="shared" si="267"/>
        <v/>
      </c>
      <c r="T263" s="13" t="str">
        <f t="shared" si="5"/>
        <v/>
      </c>
      <c r="U263" s="28"/>
    </row>
    <row r="264" ht="15.75" customHeight="1">
      <c r="P264" s="25" t="str">
        <f t="shared" si="79"/>
        <v> - </v>
      </c>
      <c r="Q264" s="25" t="str">
        <f t="shared" si="3"/>
        <v/>
      </c>
      <c r="R264" s="25" t="str">
        <f t="shared" ref="R264:S264" si="268">C264</f>
        <v/>
      </c>
      <c r="S264" s="25" t="str">
        <f t="shared" si="268"/>
        <v/>
      </c>
      <c r="T264" s="13" t="str">
        <f t="shared" si="5"/>
        <v/>
      </c>
      <c r="U264" s="28"/>
    </row>
    <row r="265" ht="15.75" customHeight="1">
      <c r="P265" s="25" t="str">
        <f t="shared" si="79"/>
        <v> - </v>
      </c>
      <c r="Q265" s="25" t="str">
        <f t="shared" si="3"/>
        <v/>
      </c>
      <c r="R265" s="25" t="str">
        <f t="shared" ref="R265:S265" si="269">C265</f>
        <v/>
      </c>
      <c r="S265" s="25" t="str">
        <f t="shared" si="269"/>
        <v/>
      </c>
      <c r="T265" s="13" t="str">
        <f t="shared" si="5"/>
        <v/>
      </c>
      <c r="U265" s="28"/>
    </row>
    <row r="266" ht="15.75" customHeight="1">
      <c r="P266" s="25" t="str">
        <f t="shared" si="79"/>
        <v> - </v>
      </c>
      <c r="Q266" s="25" t="str">
        <f t="shared" si="3"/>
        <v/>
      </c>
      <c r="R266" s="25" t="str">
        <f t="shared" ref="R266:S266" si="270">C266</f>
        <v/>
      </c>
      <c r="S266" s="25" t="str">
        <f t="shared" si="270"/>
        <v/>
      </c>
      <c r="T266" s="13" t="str">
        <f t="shared" si="5"/>
        <v/>
      </c>
      <c r="U266" s="28"/>
    </row>
    <row r="267" ht="15.75" customHeight="1">
      <c r="P267" s="25" t="str">
        <f t="shared" si="79"/>
        <v> - </v>
      </c>
      <c r="Q267" s="25" t="str">
        <f t="shared" si="3"/>
        <v/>
      </c>
      <c r="R267" s="25" t="str">
        <f t="shared" ref="R267:S267" si="271">C267</f>
        <v/>
      </c>
      <c r="S267" s="25" t="str">
        <f t="shared" si="271"/>
        <v/>
      </c>
      <c r="T267" s="13" t="str">
        <f t="shared" si="5"/>
        <v/>
      </c>
      <c r="U267" s="28"/>
    </row>
    <row r="268" ht="15.75" customHeight="1">
      <c r="P268" s="25" t="str">
        <f t="shared" si="79"/>
        <v> - </v>
      </c>
      <c r="Q268" s="25" t="str">
        <f t="shared" si="3"/>
        <v/>
      </c>
      <c r="R268" s="25" t="str">
        <f t="shared" ref="R268:S268" si="272">C268</f>
        <v/>
      </c>
      <c r="S268" s="25" t="str">
        <f t="shared" si="272"/>
        <v/>
      </c>
      <c r="T268" s="13" t="str">
        <f t="shared" si="5"/>
        <v/>
      </c>
      <c r="U268" s="28"/>
    </row>
    <row r="269" ht="15.75" customHeight="1">
      <c r="P269" s="25" t="str">
        <f t="shared" si="79"/>
        <v> - </v>
      </c>
      <c r="Q269" s="25" t="str">
        <f t="shared" si="3"/>
        <v/>
      </c>
      <c r="R269" s="25" t="str">
        <f t="shared" ref="R269:S269" si="273">C269</f>
        <v/>
      </c>
      <c r="S269" s="25" t="str">
        <f t="shared" si="273"/>
        <v/>
      </c>
      <c r="T269" s="13" t="str">
        <f t="shared" si="5"/>
        <v/>
      </c>
      <c r="U269" s="28"/>
    </row>
    <row r="270" ht="15.75" customHeight="1">
      <c r="P270" s="25" t="str">
        <f t="shared" si="79"/>
        <v> - </v>
      </c>
      <c r="Q270" s="25" t="str">
        <f t="shared" si="3"/>
        <v/>
      </c>
      <c r="R270" s="25" t="str">
        <f t="shared" ref="R270:S270" si="274">C270</f>
        <v/>
      </c>
      <c r="S270" s="25" t="str">
        <f t="shared" si="274"/>
        <v/>
      </c>
      <c r="T270" s="13" t="str">
        <f t="shared" si="5"/>
        <v/>
      </c>
      <c r="U270" s="28"/>
    </row>
    <row r="271" ht="15.75" customHeight="1">
      <c r="P271" s="25" t="str">
        <f t="shared" si="79"/>
        <v> - </v>
      </c>
      <c r="Q271" s="25" t="str">
        <f t="shared" si="3"/>
        <v/>
      </c>
      <c r="R271" s="25" t="str">
        <f t="shared" ref="R271:S271" si="275">C271</f>
        <v/>
      </c>
      <c r="S271" s="25" t="str">
        <f t="shared" si="275"/>
        <v/>
      </c>
      <c r="T271" s="13" t="str">
        <f t="shared" si="5"/>
        <v/>
      </c>
      <c r="U271" s="28"/>
    </row>
    <row r="272" ht="15.75" customHeight="1">
      <c r="P272" s="25" t="str">
        <f t="shared" si="79"/>
        <v> - </v>
      </c>
      <c r="Q272" s="25" t="str">
        <f t="shared" si="3"/>
        <v/>
      </c>
      <c r="R272" s="25" t="str">
        <f t="shared" ref="R272:S272" si="276">C272</f>
        <v/>
      </c>
      <c r="S272" s="25" t="str">
        <f t="shared" si="276"/>
        <v/>
      </c>
      <c r="T272" s="13" t="str">
        <f t="shared" si="5"/>
        <v/>
      </c>
      <c r="U272" s="28"/>
    </row>
    <row r="273" ht="15.75" customHeight="1">
      <c r="P273" s="25" t="str">
        <f t="shared" si="79"/>
        <v> - </v>
      </c>
      <c r="Q273" s="25" t="str">
        <f t="shared" si="3"/>
        <v/>
      </c>
      <c r="R273" s="25" t="str">
        <f t="shared" ref="R273:S273" si="277">C273</f>
        <v/>
      </c>
      <c r="S273" s="25" t="str">
        <f t="shared" si="277"/>
        <v/>
      </c>
      <c r="T273" s="13" t="str">
        <f t="shared" si="5"/>
        <v/>
      </c>
      <c r="U273" s="28"/>
    </row>
    <row r="274" ht="15.75" customHeight="1">
      <c r="P274" s="25" t="str">
        <f t="shared" si="79"/>
        <v> - </v>
      </c>
      <c r="Q274" s="25" t="str">
        <f t="shared" si="3"/>
        <v/>
      </c>
      <c r="R274" s="25" t="str">
        <f t="shared" ref="R274:S274" si="278">C274</f>
        <v/>
      </c>
      <c r="S274" s="25" t="str">
        <f t="shared" si="278"/>
        <v/>
      </c>
      <c r="T274" s="13" t="str">
        <f t="shared" si="5"/>
        <v/>
      </c>
      <c r="U274" s="28"/>
    </row>
    <row r="275" ht="15.75" customHeight="1">
      <c r="P275" s="25" t="str">
        <f t="shared" si="79"/>
        <v> - </v>
      </c>
      <c r="Q275" s="25" t="str">
        <f t="shared" si="3"/>
        <v/>
      </c>
      <c r="R275" s="25" t="str">
        <f t="shared" ref="R275:S275" si="279">C275</f>
        <v/>
      </c>
      <c r="S275" s="25" t="str">
        <f t="shared" si="279"/>
        <v/>
      </c>
      <c r="T275" s="13" t="str">
        <f t="shared" si="5"/>
        <v/>
      </c>
      <c r="U275" s="28"/>
    </row>
    <row r="276" ht="15.75" customHeight="1">
      <c r="P276" s="25" t="str">
        <f t="shared" si="79"/>
        <v> - </v>
      </c>
      <c r="Q276" s="25" t="str">
        <f t="shared" si="3"/>
        <v/>
      </c>
      <c r="R276" s="25" t="str">
        <f t="shared" ref="R276:S276" si="280">C276</f>
        <v/>
      </c>
      <c r="S276" s="25" t="str">
        <f t="shared" si="280"/>
        <v/>
      </c>
      <c r="T276" s="13" t="str">
        <f t="shared" si="5"/>
        <v/>
      </c>
      <c r="U276" s="28"/>
    </row>
    <row r="277" ht="15.75" customHeight="1">
      <c r="P277" s="25" t="str">
        <f t="shared" si="79"/>
        <v> - </v>
      </c>
      <c r="Q277" s="25" t="str">
        <f t="shared" si="3"/>
        <v/>
      </c>
      <c r="R277" s="25" t="str">
        <f t="shared" ref="R277:S277" si="281">C277</f>
        <v/>
      </c>
      <c r="S277" s="25" t="str">
        <f t="shared" si="281"/>
        <v/>
      </c>
      <c r="T277" s="13" t="str">
        <f t="shared" si="5"/>
        <v/>
      </c>
      <c r="U277" s="28"/>
    </row>
    <row r="278" ht="15.75" customHeight="1">
      <c r="P278" s="25" t="str">
        <f t="shared" si="79"/>
        <v> - </v>
      </c>
      <c r="Q278" s="25" t="str">
        <f t="shared" si="3"/>
        <v/>
      </c>
      <c r="R278" s="25" t="str">
        <f t="shared" ref="R278:S278" si="282">C278</f>
        <v/>
      </c>
      <c r="S278" s="25" t="str">
        <f t="shared" si="282"/>
        <v/>
      </c>
      <c r="T278" s="13" t="str">
        <f t="shared" si="5"/>
        <v/>
      </c>
      <c r="U278" s="28"/>
    </row>
    <row r="279" ht="15.75" customHeight="1">
      <c r="P279" s="25" t="str">
        <f t="shared" si="79"/>
        <v> - </v>
      </c>
      <c r="Q279" s="25" t="str">
        <f t="shared" si="3"/>
        <v/>
      </c>
      <c r="R279" s="25" t="str">
        <f t="shared" ref="R279:S279" si="283">C279</f>
        <v/>
      </c>
      <c r="S279" s="25" t="str">
        <f t="shared" si="283"/>
        <v/>
      </c>
      <c r="T279" s="13" t="str">
        <f t="shared" si="5"/>
        <v/>
      </c>
      <c r="U279" s="28"/>
    </row>
    <row r="280" ht="15.75" customHeight="1">
      <c r="P280" s="25" t="str">
        <f t="shared" si="79"/>
        <v> - </v>
      </c>
      <c r="Q280" s="25" t="str">
        <f t="shared" si="3"/>
        <v/>
      </c>
      <c r="R280" s="25" t="str">
        <f t="shared" ref="R280:S280" si="284">C280</f>
        <v/>
      </c>
      <c r="S280" s="25" t="str">
        <f t="shared" si="284"/>
        <v/>
      </c>
      <c r="T280" s="13" t="str">
        <f t="shared" si="5"/>
        <v/>
      </c>
      <c r="U280" s="28"/>
    </row>
    <row r="281" ht="15.75" customHeight="1">
      <c r="P281" s="25" t="str">
        <f t="shared" si="79"/>
        <v> - </v>
      </c>
      <c r="Q281" s="25" t="str">
        <f t="shared" si="3"/>
        <v/>
      </c>
      <c r="R281" s="25" t="str">
        <f t="shared" ref="R281:S281" si="285">C281</f>
        <v/>
      </c>
      <c r="S281" s="25" t="str">
        <f t="shared" si="285"/>
        <v/>
      </c>
      <c r="T281" s="13" t="str">
        <f t="shared" si="5"/>
        <v/>
      </c>
      <c r="U281" s="28"/>
    </row>
    <row r="282" ht="15.75" customHeight="1">
      <c r="P282" s="25" t="str">
        <f t="shared" si="79"/>
        <v> - </v>
      </c>
      <c r="Q282" s="25" t="str">
        <f t="shared" si="3"/>
        <v/>
      </c>
      <c r="R282" s="25" t="str">
        <f t="shared" ref="R282:S282" si="286">C282</f>
        <v/>
      </c>
      <c r="S282" s="25" t="str">
        <f t="shared" si="286"/>
        <v/>
      </c>
      <c r="T282" s="13" t="str">
        <f t="shared" si="5"/>
        <v/>
      </c>
      <c r="U282" s="28"/>
    </row>
    <row r="283" ht="15.75" customHeight="1">
      <c r="P283" s="25" t="str">
        <f t="shared" si="79"/>
        <v> - </v>
      </c>
      <c r="Q283" s="25" t="str">
        <f t="shared" si="3"/>
        <v/>
      </c>
      <c r="R283" s="25" t="str">
        <f t="shared" ref="R283:S283" si="287">C283</f>
        <v/>
      </c>
      <c r="S283" s="25" t="str">
        <f t="shared" si="287"/>
        <v/>
      </c>
      <c r="T283" s="13" t="str">
        <f t="shared" si="5"/>
        <v/>
      </c>
      <c r="U283" s="28"/>
    </row>
    <row r="284" ht="15.75" customHeight="1">
      <c r="P284" s="25" t="str">
        <f t="shared" si="79"/>
        <v> - </v>
      </c>
      <c r="Q284" s="25" t="str">
        <f t="shared" si="3"/>
        <v/>
      </c>
      <c r="R284" s="25" t="str">
        <f t="shared" ref="R284:S284" si="288">C284</f>
        <v/>
      </c>
      <c r="S284" s="25" t="str">
        <f t="shared" si="288"/>
        <v/>
      </c>
      <c r="T284" s="13" t="str">
        <f t="shared" si="5"/>
        <v/>
      </c>
      <c r="U284" s="28"/>
    </row>
    <row r="285" ht="15.75" customHeight="1">
      <c r="P285" s="25" t="str">
        <f t="shared" si="79"/>
        <v> - </v>
      </c>
      <c r="Q285" s="25" t="str">
        <f t="shared" si="3"/>
        <v/>
      </c>
      <c r="R285" s="25" t="str">
        <f t="shared" ref="R285:S285" si="289">C285</f>
        <v/>
      </c>
      <c r="S285" s="25" t="str">
        <f t="shared" si="289"/>
        <v/>
      </c>
      <c r="T285" s="13" t="str">
        <f t="shared" si="5"/>
        <v/>
      </c>
      <c r="U285" s="28"/>
    </row>
    <row r="286" ht="15.75" customHeight="1">
      <c r="P286" s="25" t="str">
        <f t="shared" si="79"/>
        <v> - </v>
      </c>
      <c r="Q286" s="25" t="str">
        <f t="shared" si="3"/>
        <v/>
      </c>
      <c r="R286" s="25" t="str">
        <f t="shared" ref="R286:S286" si="290">C286</f>
        <v/>
      </c>
      <c r="S286" s="25" t="str">
        <f t="shared" si="290"/>
        <v/>
      </c>
      <c r="T286" s="13" t="str">
        <f t="shared" si="5"/>
        <v/>
      </c>
      <c r="U286" s="28"/>
    </row>
    <row r="287" ht="15.75" customHeight="1">
      <c r="P287" s="25" t="str">
        <f t="shared" si="79"/>
        <v> - </v>
      </c>
      <c r="Q287" s="25" t="str">
        <f t="shared" si="3"/>
        <v/>
      </c>
      <c r="R287" s="25" t="str">
        <f t="shared" ref="R287:S287" si="291">C287</f>
        <v/>
      </c>
      <c r="S287" s="25" t="str">
        <f t="shared" si="291"/>
        <v/>
      </c>
      <c r="T287" s="13" t="str">
        <f t="shared" si="5"/>
        <v/>
      </c>
      <c r="U287" s="28"/>
    </row>
    <row r="288" ht="15.75" customHeight="1">
      <c r="P288" s="25" t="str">
        <f t="shared" si="79"/>
        <v> - </v>
      </c>
      <c r="Q288" s="25" t="str">
        <f t="shared" si="3"/>
        <v/>
      </c>
      <c r="R288" s="25" t="str">
        <f t="shared" ref="R288:S288" si="292">C288</f>
        <v/>
      </c>
      <c r="S288" s="25" t="str">
        <f t="shared" si="292"/>
        <v/>
      </c>
      <c r="T288" s="13" t="str">
        <f t="shared" si="5"/>
        <v/>
      </c>
      <c r="U288" s="28"/>
    </row>
    <row r="289" ht="15.75" customHeight="1">
      <c r="P289" s="25" t="str">
        <f t="shared" si="79"/>
        <v> - </v>
      </c>
      <c r="Q289" s="25" t="str">
        <f t="shared" si="3"/>
        <v/>
      </c>
      <c r="R289" s="25" t="str">
        <f t="shared" ref="R289:S289" si="293">C289</f>
        <v/>
      </c>
      <c r="S289" s="25" t="str">
        <f t="shared" si="293"/>
        <v/>
      </c>
      <c r="T289" s="13" t="str">
        <f t="shared" si="5"/>
        <v/>
      </c>
      <c r="U289" s="28"/>
    </row>
    <row r="290" ht="15.75" customHeight="1">
      <c r="P290" s="25" t="str">
        <f t="shared" si="79"/>
        <v> - </v>
      </c>
      <c r="Q290" s="25" t="str">
        <f t="shared" si="3"/>
        <v/>
      </c>
      <c r="R290" s="25" t="str">
        <f t="shared" ref="R290:S290" si="294">C290</f>
        <v/>
      </c>
      <c r="S290" s="25" t="str">
        <f t="shared" si="294"/>
        <v/>
      </c>
      <c r="T290" s="13" t="str">
        <f t="shared" si="5"/>
        <v/>
      </c>
      <c r="U290" s="28"/>
    </row>
    <row r="291" ht="15.75" customHeight="1">
      <c r="P291" s="25" t="str">
        <f t="shared" si="79"/>
        <v> - </v>
      </c>
      <c r="Q291" s="25" t="str">
        <f t="shared" si="3"/>
        <v/>
      </c>
      <c r="R291" s="25" t="str">
        <f t="shared" ref="R291:S291" si="295">C291</f>
        <v/>
      </c>
      <c r="S291" s="25" t="str">
        <f t="shared" si="295"/>
        <v/>
      </c>
      <c r="T291" s="13" t="str">
        <f t="shared" si="5"/>
        <v/>
      </c>
      <c r="U291" s="28"/>
    </row>
    <row r="292" ht="15.75" customHeight="1">
      <c r="P292" s="25" t="str">
        <f t="shared" si="79"/>
        <v> - </v>
      </c>
      <c r="Q292" s="25" t="str">
        <f t="shared" si="3"/>
        <v/>
      </c>
      <c r="R292" s="25" t="str">
        <f t="shared" ref="R292:S292" si="296">C292</f>
        <v/>
      </c>
      <c r="S292" s="25" t="str">
        <f t="shared" si="296"/>
        <v/>
      </c>
      <c r="T292" s="13" t="str">
        <f t="shared" si="5"/>
        <v/>
      </c>
      <c r="U292" s="28"/>
    </row>
    <row r="293" ht="15.75" customHeight="1">
      <c r="P293" s="25" t="str">
        <f t="shared" si="79"/>
        <v> - </v>
      </c>
      <c r="Q293" s="25" t="str">
        <f t="shared" si="3"/>
        <v/>
      </c>
      <c r="R293" s="25" t="str">
        <f t="shared" ref="R293:S293" si="297">C293</f>
        <v/>
      </c>
      <c r="S293" s="25" t="str">
        <f t="shared" si="297"/>
        <v/>
      </c>
      <c r="T293" s="13" t="str">
        <f t="shared" si="5"/>
        <v/>
      </c>
      <c r="U293" s="28"/>
    </row>
    <row r="294" ht="15.75" customHeight="1">
      <c r="P294" s="25" t="str">
        <f t="shared" si="79"/>
        <v> - </v>
      </c>
      <c r="Q294" s="25" t="str">
        <f t="shared" si="3"/>
        <v/>
      </c>
      <c r="R294" s="25" t="str">
        <f t="shared" ref="R294:S294" si="298">C294</f>
        <v/>
      </c>
      <c r="S294" s="25" t="str">
        <f t="shared" si="298"/>
        <v/>
      </c>
      <c r="T294" s="13" t="str">
        <f t="shared" si="5"/>
        <v/>
      </c>
      <c r="U294" s="28"/>
    </row>
    <row r="295" ht="15.75" customHeight="1">
      <c r="P295" s="25" t="str">
        <f t="shared" si="79"/>
        <v> - </v>
      </c>
      <c r="Q295" s="25" t="str">
        <f t="shared" si="3"/>
        <v/>
      </c>
      <c r="R295" s="25" t="str">
        <f t="shared" ref="R295:S295" si="299">C295</f>
        <v/>
      </c>
      <c r="S295" s="25" t="str">
        <f t="shared" si="299"/>
        <v/>
      </c>
      <c r="T295" s="13" t="str">
        <f t="shared" si="5"/>
        <v/>
      </c>
      <c r="U295" s="28"/>
    </row>
    <row r="296" ht="15.75" customHeight="1">
      <c r="P296" s="25" t="str">
        <f t="shared" si="79"/>
        <v> - </v>
      </c>
      <c r="Q296" s="25" t="str">
        <f t="shared" si="3"/>
        <v/>
      </c>
      <c r="R296" s="25" t="str">
        <f t="shared" ref="R296:S296" si="300">C296</f>
        <v/>
      </c>
      <c r="S296" s="25" t="str">
        <f t="shared" si="300"/>
        <v/>
      </c>
      <c r="T296" s="13" t="str">
        <f t="shared" si="5"/>
        <v/>
      </c>
      <c r="U296" s="28"/>
    </row>
    <row r="297" ht="15.75" customHeight="1">
      <c r="P297" s="25" t="str">
        <f t="shared" si="79"/>
        <v> - </v>
      </c>
      <c r="Q297" s="25" t="str">
        <f t="shared" si="3"/>
        <v/>
      </c>
      <c r="R297" s="25" t="str">
        <f t="shared" ref="R297:S297" si="301">C297</f>
        <v/>
      </c>
      <c r="S297" s="25" t="str">
        <f t="shared" si="301"/>
        <v/>
      </c>
      <c r="T297" s="13" t="str">
        <f t="shared" si="5"/>
        <v/>
      </c>
      <c r="U297" s="28"/>
    </row>
    <row r="298" ht="15.75" customHeight="1">
      <c r="P298" s="25" t="str">
        <f t="shared" si="79"/>
        <v> - </v>
      </c>
      <c r="Q298" s="25" t="str">
        <f t="shared" si="3"/>
        <v/>
      </c>
      <c r="R298" s="25" t="str">
        <f t="shared" ref="R298:S298" si="302">C298</f>
        <v/>
      </c>
      <c r="S298" s="25" t="str">
        <f t="shared" si="302"/>
        <v/>
      </c>
      <c r="T298" s="13" t="str">
        <f t="shared" si="5"/>
        <v/>
      </c>
      <c r="U298" s="28"/>
    </row>
    <row r="299" ht="15.75" customHeight="1">
      <c r="P299" s="25" t="str">
        <f t="shared" si="79"/>
        <v> - </v>
      </c>
      <c r="Q299" s="25" t="str">
        <f t="shared" si="3"/>
        <v/>
      </c>
      <c r="R299" s="25" t="str">
        <f t="shared" ref="R299:S299" si="303">C299</f>
        <v/>
      </c>
      <c r="S299" s="25" t="str">
        <f t="shared" si="303"/>
        <v/>
      </c>
      <c r="T299" s="13" t="str">
        <f t="shared" si="5"/>
        <v/>
      </c>
      <c r="U299" s="28"/>
    </row>
    <row r="300" ht="15.75" customHeight="1">
      <c r="P300" s="25" t="str">
        <f t="shared" si="79"/>
        <v> - </v>
      </c>
      <c r="Q300" s="25" t="str">
        <f t="shared" si="3"/>
        <v/>
      </c>
      <c r="R300" s="25" t="str">
        <f t="shared" ref="R300:S300" si="304">C300</f>
        <v/>
      </c>
      <c r="S300" s="25" t="str">
        <f t="shared" si="304"/>
        <v/>
      </c>
      <c r="T300" s="13" t="str">
        <f t="shared" si="5"/>
        <v/>
      </c>
      <c r="U300" s="28"/>
    </row>
    <row r="301" ht="15.75" customHeight="1">
      <c r="P301" s="25" t="str">
        <f t="shared" si="79"/>
        <v> - </v>
      </c>
      <c r="Q301" s="25" t="str">
        <f t="shared" si="3"/>
        <v/>
      </c>
      <c r="R301" s="25" t="str">
        <f t="shared" ref="R301:S301" si="305">C301</f>
        <v/>
      </c>
      <c r="S301" s="25" t="str">
        <f t="shared" si="305"/>
        <v/>
      </c>
      <c r="T301" s="13" t="str">
        <f t="shared" si="5"/>
        <v/>
      </c>
      <c r="U301" s="28"/>
    </row>
    <row r="302" ht="15.75" customHeight="1">
      <c r="P302" s="25" t="str">
        <f t="shared" si="79"/>
        <v> - </v>
      </c>
      <c r="Q302" s="25" t="str">
        <f t="shared" si="3"/>
        <v/>
      </c>
      <c r="R302" s="25" t="str">
        <f t="shared" ref="R302:S302" si="306">C302</f>
        <v/>
      </c>
      <c r="S302" s="25" t="str">
        <f t="shared" si="306"/>
        <v/>
      </c>
      <c r="T302" s="13" t="str">
        <f t="shared" si="5"/>
        <v/>
      </c>
      <c r="U302" s="28"/>
    </row>
    <row r="303" ht="15.75" customHeight="1">
      <c r="P303" s="25" t="str">
        <f t="shared" si="79"/>
        <v> - </v>
      </c>
      <c r="Q303" s="25" t="str">
        <f t="shared" si="3"/>
        <v/>
      </c>
      <c r="R303" s="25" t="str">
        <f t="shared" ref="R303:S303" si="307">C303</f>
        <v/>
      </c>
      <c r="S303" s="25" t="str">
        <f t="shared" si="307"/>
        <v/>
      </c>
      <c r="T303" s="13" t="str">
        <f t="shared" si="5"/>
        <v/>
      </c>
      <c r="U303" s="28"/>
    </row>
    <row r="304" ht="15.75" customHeight="1">
      <c r="P304" s="25" t="str">
        <f t="shared" si="79"/>
        <v> - </v>
      </c>
      <c r="Q304" s="25" t="str">
        <f t="shared" si="3"/>
        <v/>
      </c>
      <c r="R304" s="25" t="str">
        <f t="shared" ref="R304:S304" si="308">C304</f>
        <v/>
      </c>
      <c r="S304" s="25" t="str">
        <f t="shared" si="308"/>
        <v/>
      </c>
      <c r="T304" s="13" t="str">
        <f t="shared" si="5"/>
        <v/>
      </c>
      <c r="U304" s="28"/>
    </row>
    <row r="305" ht="15.75" customHeight="1">
      <c r="P305" s="25" t="str">
        <f t="shared" si="79"/>
        <v> - </v>
      </c>
      <c r="Q305" s="25" t="str">
        <f t="shared" si="3"/>
        <v/>
      </c>
      <c r="R305" s="25" t="str">
        <f t="shared" ref="R305:S305" si="309">C305</f>
        <v/>
      </c>
      <c r="S305" s="25" t="str">
        <f t="shared" si="309"/>
        <v/>
      </c>
      <c r="T305" s="13" t="str">
        <f t="shared" si="5"/>
        <v/>
      </c>
      <c r="U305" s="28"/>
    </row>
    <row r="306" ht="15.75" customHeight="1">
      <c r="P306" s="25" t="str">
        <f t="shared" si="79"/>
        <v> - </v>
      </c>
      <c r="Q306" s="25" t="str">
        <f t="shared" si="3"/>
        <v/>
      </c>
      <c r="R306" s="25" t="str">
        <f t="shared" ref="R306:S306" si="310">C306</f>
        <v/>
      </c>
      <c r="S306" s="25" t="str">
        <f t="shared" si="310"/>
        <v/>
      </c>
      <c r="T306" s="13" t="str">
        <f t="shared" si="5"/>
        <v/>
      </c>
      <c r="U306" s="28"/>
    </row>
    <row r="307" ht="15.75" customHeight="1">
      <c r="P307" s="25" t="str">
        <f t="shared" si="79"/>
        <v> - </v>
      </c>
      <c r="Q307" s="25" t="str">
        <f t="shared" si="3"/>
        <v/>
      </c>
      <c r="R307" s="25" t="str">
        <f t="shared" ref="R307:S307" si="311">C307</f>
        <v/>
      </c>
      <c r="S307" s="25" t="str">
        <f t="shared" si="311"/>
        <v/>
      </c>
      <c r="T307" s="13" t="str">
        <f t="shared" si="5"/>
        <v/>
      </c>
      <c r="U307" s="28"/>
    </row>
    <row r="308" ht="15.75" customHeight="1">
      <c r="P308" s="25" t="str">
        <f t="shared" si="79"/>
        <v> - </v>
      </c>
      <c r="Q308" s="25" t="str">
        <f t="shared" si="3"/>
        <v/>
      </c>
      <c r="R308" s="25" t="str">
        <f t="shared" ref="R308:S308" si="312">C308</f>
        <v/>
      </c>
      <c r="S308" s="25" t="str">
        <f t="shared" si="312"/>
        <v/>
      </c>
      <c r="T308" s="13" t="str">
        <f t="shared" si="5"/>
        <v/>
      </c>
      <c r="U308" s="28"/>
    </row>
    <row r="309" ht="15.75" customHeight="1">
      <c r="P309" s="25" t="str">
        <f t="shared" si="79"/>
        <v> - </v>
      </c>
      <c r="Q309" s="25" t="str">
        <f t="shared" si="3"/>
        <v/>
      </c>
      <c r="R309" s="25" t="str">
        <f t="shared" ref="R309:S309" si="313">C309</f>
        <v/>
      </c>
      <c r="S309" s="25" t="str">
        <f t="shared" si="313"/>
        <v/>
      </c>
      <c r="T309" s="13" t="str">
        <f t="shared" si="5"/>
        <v/>
      </c>
      <c r="U309" s="28"/>
    </row>
    <row r="310" ht="15.75" customHeight="1">
      <c r="P310" s="25" t="str">
        <f t="shared" si="79"/>
        <v> - </v>
      </c>
      <c r="Q310" s="25" t="str">
        <f t="shared" si="3"/>
        <v/>
      </c>
      <c r="R310" s="25" t="str">
        <f t="shared" ref="R310:S310" si="314">C310</f>
        <v/>
      </c>
      <c r="S310" s="25" t="str">
        <f t="shared" si="314"/>
        <v/>
      </c>
      <c r="T310" s="13" t="str">
        <f t="shared" si="5"/>
        <v/>
      </c>
      <c r="U310" s="28"/>
    </row>
    <row r="311" ht="15.75" customHeight="1">
      <c r="P311" s="25" t="str">
        <f t="shared" si="79"/>
        <v> - </v>
      </c>
      <c r="Q311" s="25" t="str">
        <f t="shared" si="3"/>
        <v/>
      </c>
      <c r="R311" s="25" t="str">
        <f t="shared" ref="R311:S311" si="315">C311</f>
        <v/>
      </c>
      <c r="S311" s="25" t="str">
        <f t="shared" si="315"/>
        <v/>
      </c>
      <c r="T311" s="13" t="str">
        <f t="shared" si="5"/>
        <v/>
      </c>
      <c r="U311" s="28"/>
    </row>
    <row r="312" ht="15.75" customHeight="1">
      <c r="P312" s="25" t="str">
        <f t="shared" si="79"/>
        <v> - </v>
      </c>
      <c r="Q312" s="25" t="str">
        <f t="shared" si="3"/>
        <v/>
      </c>
      <c r="R312" s="25" t="str">
        <f t="shared" ref="R312:S312" si="316">C312</f>
        <v/>
      </c>
      <c r="S312" s="25" t="str">
        <f t="shared" si="316"/>
        <v/>
      </c>
      <c r="T312" s="13" t="str">
        <f t="shared" si="5"/>
        <v/>
      </c>
      <c r="U312" s="28"/>
    </row>
    <row r="313" ht="15.75" customHeight="1">
      <c r="P313" s="25" t="str">
        <f t="shared" si="79"/>
        <v> - </v>
      </c>
      <c r="Q313" s="25" t="str">
        <f t="shared" si="3"/>
        <v/>
      </c>
      <c r="R313" s="25" t="str">
        <f t="shared" ref="R313:S313" si="317">C313</f>
        <v/>
      </c>
      <c r="S313" s="25" t="str">
        <f t="shared" si="317"/>
        <v/>
      </c>
      <c r="T313" s="13" t="str">
        <f t="shared" si="5"/>
        <v/>
      </c>
      <c r="U313" s="28"/>
    </row>
    <row r="314" ht="15.75" customHeight="1">
      <c r="P314" s="25" t="str">
        <f t="shared" si="79"/>
        <v> - </v>
      </c>
      <c r="Q314" s="25" t="str">
        <f t="shared" si="3"/>
        <v/>
      </c>
      <c r="R314" s="25" t="str">
        <f t="shared" ref="R314:S314" si="318">C314</f>
        <v/>
      </c>
      <c r="S314" s="25" t="str">
        <f t="shared" si="318"/>
        <v/>
      </c>
      <c r="T314" s="13" t="str">
        <f t="shared" si="5"/>
        <v/>
      </c>
      <c r="U314" s="28"/>
    </row>
    <row r="315" ht="15.75" customHeight="1">
      <c r="P315" s="25" t="str">
        <f t="shared" si="79"/>
        <v> - </v>
      </c>
      <c r="Q315" s="25" t="str">
        <f t="shared" si="3"/>
        <v/>
      </c>
      <c r="R315" s="25" t="str">
        <f t="shared" ref="R315:S315" si="319">C315</f>
        <v/>
      </c>
      <c r="S315" s="25" t="str">
        <f t="shared" si="319"/>
        <v/>
      </c>
      <c r="T315" s="13" t="str">
        <f t="shared" si="5"/>
        <v/>
      </c>
      <c r="U315" s="28"/>
    </row>
    <row r="316" ht="15.75" customHeight="1">
      <c r="P316" s="25" t="str">
        <f t="shared" si="79"/>
        <v> - </v>
      </c>
      <c r="Q316" s="25" t="str">
        <f t="shared" si="3"/>
        <v/>
      </c>
      <c r="R316" s="25" t="str">
        <f t="shared" ref="R316:S316" si="320">C316</f>
        <v/>
      </c>
      <c r="S316" s="25" t="str">
        <f t="shared" si="320"/>
        <v/>
      </c>
      <c r="T316" s="13" t="str">
        <f t="shared" si="5"/>
        <v/>
      </c>
      <c r="U316" s="28"/>
    </row>
    <row r="317" ht="15.75" customHeight="1">
      <c r="P317" s="25" t="str">
        <f t="shared" si="79"/>
        <v> - </v>
      </c>
      <c r="Q317" s="25" t="str">
        <f t="shared" si="3"/>
        <v/>
      </c>
      <c r="R317" s="25" t="str">
        <f t="shared" ref="R317:S317" si="321">C317</f>
        <v/>
      </c>
      <c r="S317" s="25" t="str">
        <f t="shared" si="321"/>
        <v/>
      </c>
      <c r="T317" s="13" t="str">
        <f t="shared" si="5"/>
        <v/>
      </c>
      <c r="U317" s="28"/>
    </row>
    <row r="318" ht="15.75" customHeight="1">
      <c r="P318" s="25" t="str">
        <f t="shared" si="79"/>
        <v> - </v>
      </c>
      <c r="Q318" s="25" t="str">
        <f t="shared" si="3"/>
        <v/>
      </c>
      <c r="R318" s="25" t="str">
        <f t="shared" ref="R318:S318" si="322">C318</f>
        <v/>
      </c>
      <c r="S318" s="25" t="str">
        <f t="shared" si="322"/>
        <v/>
      </c>
      <c r="T318" s="13" t="str">
        <f t="shared" si="5"/>
        <v/>
      </c>
      <c r="U318" s="28"/>
    </row>
    <row r="319" ht="15.75" customHeight="1">
      <c r="P319" s="25" t="str">
        <f t="shared" si="79"/>
        <v> - </v>
      </c>
      <c r="Q319" s="25" t="str">
        <f t="shared" si="3"/>
        <v/>
      </c>
      <c r="R319" s="25" t="str">
        <f t="shared" ref="R319:S319" si="323">C319</f>
        <v/>
      </c>
      <c r="S319" s="25" t="str">
        <f t="shared" si="323"/>
        <v/>
      </c>
      <c r="T319" s="13" t="str">
        <f t="shared" si="5"/>
        <v/>
      </c>
      <c r="U319" s="28"/>
    </row>
    <row r="320" ht="15.75" customHeight="1">
      <c r="P320" s="25" t="str">
        <f t="shared" si="79"/>
        <v> - </v>
      </c>
      <c r="Q320" s="25" t="str">
        <f t="shared" si="3"/>
        <v/>
      </c>
      <c r="R320" s="25" t="str">
        <f t="shared" ref="R320:S320" si="324">C320</f>
        <v/>
      </c>
      <c r="S320" s="25" t="str">
        <f t="shared" si="324"/>
        <v/>
      </c>
      <c r="T320" s="13" t="str">
        <f t="shared" si="5"/>
        <v/>
      </c>
      <c r="U320" s="28"/>
    </row>
    <row r="321" ht="15.75" customHeight="1">
      <c r="P321" s="25" t="str">
        <f t="shared" si="79"/>
        <v> - </v>
      </c>
      <c r="Q321" s="25" t="str">
        <f t="shared" si="3"/>
        <v/>
      </c>
      <c r="R321" s="25" t="str">
        <f t="shared" ref="R321:S321" si="325">C321</f>
        <v/>
      </c>
      <c r="S321" s="25" t="str">
        <f t="shared" si="325"/>
        <v/>
      </c>
      <c r="T321" s="13" t="str">
        <f t="shared" si="5"/>
        <v/>
      </c>
      <c r="U321" s="28"/>
    </row>
    <row r="322" ht="15.75" customHeight="1">
      <c r="P322" s="25" t="str">
        <f t="shared" si="79"/>
        <v> - </v>
      </c>
      <c r="Q322" s="25" t="str">
        <f t="shared" si="3"/>
        <v/>
      </c>
      <c r="R322" s="25" t="str">
        <f t="shared" ref="R322:S322" si="326">C322</f>
        <v/>
      </c>
      <c r="S322" s="25" t="str">
        <f t="shared" si="326"/>
        <v/>
      </c>
      <c r="T322" s="13" t="str">
        <f t="shared" si="5"/>
        <v/>
      </c>
      <c r="U322" s="28"/>
    </row>
    <row r="323" ht="15.75" customHeight="1">
      <c r="P323" s="25" t="str">
        <f t="shared" si="79"/>
        <v> - </v>
      </c>
      <c r="Q323" s="25" t="str">
        <f t="shared" si="3"/>
        <v/>
      </c>
      <c r="R323" s="25" t="str">
        <f t="shared" ref="R323:S323" si="327">C323</f>
        <v/>
      </c>
      <c r="S323" s="25" t="str">
        <f t="shared" si="327"/>
        <v/>
      </c>
      <c r="T323" s="13" t="str">
        <f t="shared" si="5"/>
        <v/>
      </c>
      <c r="U323" s="28"/>
    </row>
    <row r="324" ht="15.75" customHeight="1">
      <c r="P324" s="25" t="str">
        <f t="shared" si="79"/>
        <v> - </v>
      </c>
      <c r="Q324" s="25" t="str">
        <f t="shared" si="3"/>
        <v/>
      </c>
      <c r="R324" s="25" t="str">
        <f t="shared" ref="R324:S324" si="328">C324</f>
        <v/>
      </c>
      <c r="S324" s="25" t="str">
        <f t="shared" si="328"/>
        <v/>
      </c>
      <c r="T324" s="13" t="str">
        <f t="shared" si="5"/>
        <v/>
      </c>
      <c r="U324" s="28"/>
    </row>
    <row r="325" ht="15.75" customHeight="1">
      <c r="P325" s="25" t="str">
        <f t="shared" si="79"/>
        <v> - </v>
      </c>
      <c r="Q325" s="25" t="str">
        <f t="shared" si="3"/>
        <v/>
      </c>
      <c r="R325" s="25" t="str">
        <f t="shared" ref="R325:S325" si="329">C325</f>
        <v/>
      </c>
      <c r="S325" s="25" t="str">
        <f t="shared" si="329"/>
        <v/>
      </c>
      <c r="T325" s="13" t="str">
        <f t="shared" si="5"/>
        <v/>
      </c>
      <c r="U325" s="28"/>
    </row>
    <row r="326" ht="15.75" customHeight="1">
      <c r="P326" s="25" t="str">
        <f t="shared" si="79"/>
        <v> - </v>
      </c>
      <c r="Q326" s="25" t="str">
        <f t="shared" si="3"/>
        <v/>
      </c>
      <c r="R326" s="25" t="str">
        <f t="shared" ref="R326:S326" si="330">C326</f>
        <v/>
      </c>
      <c r="S326" s="25" t="str">
        <f t="shared" si="330"/>
        <v/>
      </c>
      <c r="T326" s="13" t="str">
        <f t="shared" si="5"/>
        <v/>
      </c>
      <c r="U326" s="28"/>
    </row>
    <row r="327" ht="15.75" customHeight="1">
      <c r="P327" s="25" t="str">
        <f t="shared" si="79"/>
        <v> - </v>
      </c>
      <c r="Q327" s="25" t="str">
        <f t="shared" si="3"/>
        <v/>
      </c>
      <c r="R327" s="25" t="str">
        <f t="shared" ref="R327:S327" si="331">C327</f>
        <v/>
      </c>
      <c r="S327" s="25" t="str">
        <f t="shared" si="331"/>
        <v/>
      </c>
      <c r="T327" s="13" t="str">
        <f t="shared" si="5"/>
        <v/>
      </c>
      <c r="U327" s="28"/>
    </row>
    <row r="328" ht="15.75" customHeight="1">
      <c r="P328" s="25" t="str">
        <f t="shared" si="79"/>
        <v> - </v>
      </c>
      <c r="Q328" s="25" t="str">
        <f t="shared" si="3"/>
        <v/>
      </c>
      <c r="R328" s="25" t="str">
        <f t="shared" ref="R328:S328" si="332">C328</f>
        <v/>
      </c>
      <c r="S328" s="25" t="str">
        <f t="shared" si="332"/>
        <v/>
      </c>
      <c r="T328" s="13" t="str">
        <f t="shared" si="5"/>
        <v/>
      </c>
      <c r="U328" s="28"/>
    </row>
    <row r="329" ht="15.75" customHeight="1">
      <c r="P329" s="25" t="str">
        <f t="shared" si="79"/>
        <v> - </v>
      </c>
      <c r="Q329" s="25" t="str">
        <f t="shared" si="3"/>
        <v/>
      </c>
      <c r="R329" s="25" t="str">
        <f t="shared" ref="R329:S329" si="333">C329</f>
        <v/>
      </c>
      <c r="S329" s="25" t="str">
        <f t="shared" si="333"/>
        <v/>
      </c>
      <c r="T329" s="13" t="str">
        <f t="shared" si="5"/>
        <v/>
      </c>
      <c r="U329" s="28"/>
    </row>
    <row r="330" ht="15.75" customHeight="1">
      <c r="P330" s="25" t="str">
        <f t="shared" si="79"/>
        <v> - </v>
      </c>
      <c r="Q330" s="25" t="str">
        <f t="shared" si="3"/>
        <v/>
      </c>
      <c r="R330" s="25" t="str">
        <f t="shared" ref="R330:S330" si="334">C330</f>
        <v/>
      </c>
      <c r="S330" s="25" t="str">
        <f t="shared" si="334"/>
        <v/>
      </c>
      <c r="T330" s="13" t="str">
        <f t="shared" si="5"/>
        <v/>
      </c>
      <c r="U330" s="28"/>
    </row>
    <row r="331" ht="15.75" customHeight="1">
      <c r="P331" s="25" t="str">
        <f t="shared" si="79"/>
        <v> - </v>
      </c>
      <c r="Q331" s="25" t="str">
        <f t="shared" si="3"/>
        <v/>
      </c>
      <c r="R331" s="25" t="str">
        <f t="shared" ref="R331:S331" si="335">C331</f>
        <v/>
      </c>
      <c r="S331" s="25" t="str">
        <f t="shared" si="335"/>
        <v/>
      </c>
      <c r="T331" s="13" t="str">
        <f t="shared" si="5"/>
        <v/>
      </c>
      <c r="U331" s="28"/>
    </row>
    <row r="332" ht="15.75" customHeight="1">
      <c r="P332" s="25" t="str">
        <f t="shared" si="79"/>
        <v> - </v>
      </c>
      <c r="Q332" s="25" t="str">
        <f t="shared" si="3"/>
        <v/>
      </c>
      <c r="R332" s="25" t="str">
        <f t="shared" ref="R332:S332" si="336">C332</f>
        <v/>
      </c>
      <c r="S332" s="25" t="str">
        <f t="shared" si="336"/>
        <v/>
      </c>
      <c r="T332" s="13" t="str">
        <f t="shared" si="5"/>
        <v/>
      </c>
      <c r="U332" s="28"/>
    </row>
    <row r="333" ht="15.75" customHeight="1">
      <c r="P333" s="25" t="str">
        <f t="shared" si="79"/>
        <v> - </v>
      </c>
      <c r="Q333" s="25" t="str">
        <f t="shared" si="3"/>
        <v/>
      </c>
      <c r="R333" s="25" t="str">
        <f t="shared" ref="R333:S333" si="337">C333</f>
        <v/>
      </c>
      <c r="S333" s="25" t="str">
        <f t="shared" si="337"/>
        <v/>
      </c>
      <c r="T333" s="13" t="str">
        <f t="shared" si="5"/>
        <v/>
      </c>
      <c r="U333" s="28"/>
    </row>
    <row r="334" ht="15.75" customHeight="1">
      <c r="P334" s="25" t="str">
        <f t="shared" si="79"/>
        <v> - </v>
      </c>
      <c r="Q334" s="25" t="str">
        <f t="shared" si="3"/>
        <v/>
      </c>
      <c r="R334" s="25" t="str">
        <f t="shared" ref="R334:S334" si="338">C334</f>
        <v/>
      </c>
      <c r="S334" s="25" t="str">
        <f t="shared" si="338"/>
        <v/>
      </c>
      <c r="T334" s="13" t="str">
        <f t="shared" si="5"/>
        <v/>
      </c>
      <c r="U334" s="28"/>
    </row>
    <row r="335" ht="15.75" customHeight="1">
      <c r="P335" s="25" t="str">
        <f t="shared" si="79"/>
        <v> - </v>
      </c>
      <c r="Q335" s="25" t="str">
        <f t="shared" si="3"/>
        <v/>
      </c>
      <c r="R335" s="25" t="str">
        <f t="shared" ref="R335:S335" si="339">C335</f>
        <v/>
      </c>
      <c r="S335" s="25" t="str">
        <f t="shared" si="339"/>
        <v/>
      </c>
      <c r="T335" s="13" t="str">
        <f t="shared" si="5"/>
        <v/>
      </c>
      <c r="U335" s="28"/>
    </row>
    <row r="336" ht="15.75" customHeight="1">
      <c r="P336" s="25" t="str">
        <f t="shared" si="79"/>
        <v> - </v>
      </c>
      <c r="Q336" s="25" t="str">
        <f t="shared" si="3"/>
        <v/>
      </c>
      <c r="R336" s="25" t="str">
        <f t="shared" ref="R336:S336" si="340">C336</f>
        <v/>
      </c>
      <c r="S336" s="25" t="str">
        <f t="shared" si="340"/>
        <v/>
      </c>
      <c r="T336" s="13" t="str">
        <f t="shared" si="5"/>
        <v/>
      </c>
      <c r="U336" s="28"/>
    </row>
    <row r="337" ht="15.75" customHeight="1">
      <c r="P337" s="25" t="str">
        <f t="shared" si="79"/>
        <v> - </v>
      </c>
      <c r="Q337" s="25" t="str">
        <f t="shared" si="3"/>
        <v/>
      </c>
      <c r="R337" s="25" t="str">
        <f t="shared" ref="R337:S337" si="341">C337</f>
        <v/>
      </c>
      <c r="S337" s="25" t="str">
        <f t="shared" si="341"/>
        <v/>
      </c>
      <c r="T337" s="13" t="str">
        <f t="shared" si="5"/>
        <v/>
      </c>
      <c r="U337" s="28"/>
    </row>
    <row r="338" ht="15.75" customHeight="1">
      <c r="P338" s="25" t="str">
        <f t="shared" si="79"/>
        <v> - </v>
      </c>
      <c r="Q338" s="25" t="str">
        <f t="shared" si="3"/>
        <v/>
      </c>
      <c r="R338" s="25" t="str">
        <f t="shared" ref="R338:S338" si="342">C338</f>
        <v/>
      </c>
      <c r="S338" s="25" t="str">
        <f t="shared" si="342"/>
        <v/>
      </c>
      <c r="T338" s="13" t="str">
        <f t="shared" si="5"/>
        <v/>
      </c>
      <c r="U338" s="28"/>
    </row>
    <row r="339" ht="15.75" customHeight="1">
      <c r="P339" s="25" t="str">
        <f t="shared" si="79"/>
        <v> - </v>
      </c>
      <c r="Q339" s="25" t="str">
        <f t="shared" si="3"/>
        <v/>
      </c>
      <c r="R339" s="25" t="str">
        <f t="shared" ref="R339:S339" si="343">C339</f>
        <v/>
      </c>
      <c r="S339" s="25" t="str">
        <f t="shared" si="343"/>
        <v/>
      </c>
      <c r="T339" s="13" t="str">
        <f t="shared" si="5"/>
        <v/>
      </c>
      <c r="U339" s="28"/>
    </row>
    <row r="340" ht="15.75" customHeight="1">
      <c r="P340" s="25" t="str">
        <f t="shared" si="79"/>
        <v> - </v>
      </c>
      <c r="Q340" s="25" t="str">
        <f t="shared" si="3"/>
        <v/>
      </c>
      <c r="R340" s="25" t="str">
        <f t="shared" ref="R340:S340" si="344">C340</f>
        <v/>
      </c>
      <c r="S340" s="25" t="str">
        <f t="shared" si="344"/>
        <v/>
      </c>
      <c r="T340" s="13" t="str">
        <f t="shared" si="5"/>
        <v/>
      </c>
      <c r="U340" s="28"/>
    </row>
    <row r="341" ht="15.75" customHeight="1">
      <c r="P341" s="25" t="str">
        <f t="shared" si="79"/>
        <v> - </v>
      </c>
      <c r="Q341" s="25" t="str">
        <f t="shared" si="3"/>
        <v/>
      </c>
      <c r="R341" s="25" t="str">
        <f t="shared" ref="R341:S341" si="345">C341</f>
        <v/>
      </c>
      <c r="S341" s="25" t="str">
        <f t="shared" si="345"/>
        <v/>
      </c>
      <c r="T341" s="13" t="str">
        <f t="shared" si="5"/>
        <v/>
      </c>
      <c r="U341" s="28"/>
    </row>
    <row r="342" ht="15.75" customHeight="1">
      <c r="P342" s="25" t="str">
        <f t="shared" si="79"/>
        <v> - </v>
      </c>
      <c r="Q342" s="25" t="str">
        <f t="shared" si="3"/>
        <v/>
      </c>
      <c r="R342" s="25" t="str">
        <f t="shared" ref="R342:S342" si="346">C342</f>
        <v/>
      </c>
      <c r="S342" s="25" t="str">
        <f t="shared" si="346"/>
        <v/>
      </c>
      <c r="T342" s="13" t="str">
        <f t="shared" si="5"/>
        <v/>
      </c>
      <c r="U342" s="28"/>
    </row>
    <row r="343" ht="15.75" customHeight="1">
      <c r="P343" s="25" t="str">
        <f t="shared" si="79"/>
        <v> - </v>
      </c>
      <c r="Q343" s="25" t="str">
        <f t="shared" si="3"/>
        <v/>
      </c>
      <c r="R343" s="25" t="str">
        <f t="shared" ref="R343:S343" si="347">C343</f>
        <v/>
      </c>
      <c r="S343" s="25" t="str">
        <f t="shared" si="347"/>
        <v/>
      </c>
      <c r="T343" s="13" t="str">
        <f t="shared" si="5"/>
        <v/>
      </c>
      <c r="U343" s="28"/>
    </row>
    <row r="344" ht="15.75" customHeight="1">
      <c r="P344" s="25" t="str">
        <f t="shared" si="79"/>
        <v> - </v>
      </c>
      <c r="Q344" s="25" t="str">
        <f t="shared" si="3"/>
        <v/>
      </c>
      <c r="R344" s="25" t="str">
        <f t="shared" ref="R344:S344" si="348">C344</f>
        <v/>
      </c>
      <c r="S344" s="25" t="str">
        <f t="shared" si="348"/>
        <v/>
      </c>
      <c r="T344" s="13" t="str">
        <f t="shared" si="5"/>
        <v/>
      </c>
      <c r="U344" s="28"/>
    </row>
    <row r="345" ht="15.75" customHeight="1">
      <c r="P345" s="25" t="str">
        <f t="shared" si="79"/>
        <v> - </v>
      </c>
      <c r="Q345" s="25" t="str">
        <f t="shared" si="3"/>
        <v/>
      </c>
      <c r="R345" s="25" t="str">
        <f t="shared" ref="R345:S345" si="349">C345</f>
        <v/>
      </c>
      <c r="S345" s="25" t="str">
        <f t="shared" si="349"/>
        <v/>
      </c>
      <c r="T345" s="13" t="str">
        <f t="shared" si="5"/>
        <v/>
      </c>
      <c r="U345" s="28"/>
    </row>
    <row r="346" ht="15.75" customHeight="1">
      <c r="P346" s="25" t="str">
        <f t="shared" si="79"/>
        <v> - </v>
      </c>
      <c r="Q346" s="25" t="str">
        <f t="shared" si="3"/>
        <v/>
      </c>
      <c r="R346" s="25" t="str">
        <f t="shared" ref="R346:S346" si="350">C346</f>
        <v/>
      </c>
      <c r="S346" s="25" t="str">
        <f t="shared" si="350"/>
        <v/>
      </c>
      <c r="T346" s="13" t="str">
        <f t="shared" si="5"/>
        <v/>
      </c>
      <c r="U346" s="28"/>
    </row>
    <row r="347" ht="15.75" customHeight="1">
      <c r="P347" s="25" t="str">
        <f t="shared" si="79"/>
        <v> - </v>
      </c>
      <c r="Q347" s="25" t="str">
        <f t="shared" si="3"/>
        <v/>
      </c>
      <c r="R347" s="25" t="str">
        <f t="shared" ref="R347:S347" si="351">C347</f>
        <v/>
      </c>
      <c r="S347" s="25" t="str">
        <f t="shared" si="351"/>
        <v/>
      </c>
      <c r="T347" s="13" t="str">
        <f t="shared" si="5"/>
        <v/>
      </c>
      <c r="U347" s="28"/>
    </row>
    <row r="348" ht="15.75" customHeight="1">
      <c r="P348" s="25" t="str">
        <f t="shared" si="79"/>
        <v> - </v>
      </c>
      <c r="Q348" s="25" t="str">
        <f t="shared" si="3"/>
        <v/>
      </c>
      <c r="R348" s="25" t="str">
        <f t="shared" ref="R348:S348" si="352">C348</f>
        <v/>
      </c>
      <c r="S348" s="25" t="str">
        <f t="shared" si="352"/>
        <v/>
      </c>
      <c r="T348" s="13" t="str">
        <f t="shared" si="5"/>
        <v/>
      </c>
      <c r="U348" s="28"/>
    </row>
    <row r="349" ht="15.75" customHeight="1">
      <c r="P349" s="25" t="str">
        <f t="shared" si="79"/>
        <v> - </v>
      </c>
      <c r="Q349" s="25" t="str">
        <f t="shared" si="3"/>
        <v/>
      </c>
      <c r="R349" s="25" t="str">
        <f t="shared" ref="R349:S349" si="353">C349</f>
        <v/>
      </c>
      <c r="S349" s="25" t="str">
        <f t="shared" si="353"/>
        <v/>
      </c>
      <c r="T349" s="13" t="str">
        <f t="shared" si="5"/>
        <v/>
      </c>
      <c r="U349" s="28"/>
    </row>
    <row r="350" ht="15.75" customHeight="1">
      <c r="P350" s="25" t="str">
        <f t="shared" si="79"/>
        <v> - </v>
      </c>
      <c r="Q350" s="25" t="str">
        <f t="shared" si="3"/>
        <v/>
      </c>
      <c r="R350" s="25" t="str">
        <f t="shared" ref="R350:S350" si="354">C350</f>
        <v/>
      </c>
      <c r="S350" s="25" t="str">
        <f t="shared" si="354"/>
        <v/>
      </c>
      <c r="T350" s="13" t="str">
        <f t="shared" si="5"/>
        <v/>
      </c>
      <c r="U350" s="28"/>
    </row>
    <row r="351" ht="15.75" customHeight="1">
      <c r="P351" s="25" t="str">
        <f t="shared" si="79"/>
        <v> - </v>
      </c>
      <c r="Q351" s="25" t="str">
        <f t="shared" si="3"/>
        <v/>
      </c>
      <c r="R351" s="25" t="str">
        <f t="shared" ref="R351:S351" si="355">C351</f>
        <v/>
      </c>
      <c r="S351" s="25" t="str">
        <f t="shared" si="355"/>
        <v/>
      </c>
      <c r="T351" s="13" t="str">
        <f t="shared" si="5"/>
        <v/>
      </c>
      <c r="U351" s="28"/>
    </row>
    <row r="352" ht="15.75" customHeight="1">
      <c r="P352" s="25" t="str">
        <f t="shared" si="79"/>
        <v> - </v>
      </c>
      <c r="Q352" s="25" t="str">
        <f t="shared" si="3"/>
        <v/>
      </c>
      <c r="R352" s="25" t="str">
        <f t="shared" ref="R352:S352" si="356">C352</f>
        <v/>
      </c>
      <c r="S352" s="25" t="str">
        <f t="shared" si="356"/>
        <v/>
      </c>
      <c r="T352" s="13" t="str">
        <f t="shared" si="5"/>
        <v/>
      </c>
      <c r="U352" s="28"/>
    </row>
    <row r="353" ht="15.75" customHeight="1">
      <c r="P353" s="25" t="str">
        <f t="shared" si="79"/>
        <v> - </v>
      </c>
      <c r="Q353" s="25" t="str">
        <f t="shared" si="3"/>
        <v/>
      </c>
      <c r="R353" s="25" t="str">
        <f t="shared" ref="R353:S353" si="357">C353</f>
        <v/>
      </c>
      <c r="S353" s="25" t="str">
        <f t="shared" si="357"/>
        <v/>
      </c>
      <c r="T353" s="13" t="str">
        <f t="shared" si="5"/>
        <v/>
      </c>
      <c r="U353" s="28"/>
    </row>
    <row r="354" ht="15.75" customHeight="1">
      <c r="P354" s="25" t="str">
        <f t="shared" si="79"/>
        <v> - </v>
      </c>
      <c r="Q354" s="25" t="str">
        <f t="shared" si="3"/>
        <v/>
      </c>
      <c r="R354" s="25" t="str">
        <f t="shared" ref="R354:S354" si="358">C354</f>
        <v/>
      </c>
      <c r="S354" s="25" t="str">
        <f t="shared" si="358"/>
        <v/>
      </c>
      <c r="T354" s="13" t="str">
        <f t="shared" si="5"/>
        <v/>
      </c>
      <c r="U354" s="28"/>
    </row>
    <row r="355" ht="15.75" customHeight="1">
      <c r="P355" s="25" t="str">
        <f t="shared" si="79"/>
        <v> - </v>
      </c>
      <c r="Q355" s="25" t="str">
        <f t="shared" si="3"/>
        <v/>
      </c>
      <c r="R355" s="25" t="str">
        <f t="shared" ref="R355:S355" si="359">C355</f>
        <v/>
      </c>
      <c r="S355" s="25" t="str">
        <f t="shared" si="359"/>
        <v/>
      </c>
      <c r="T355" s="13" t="str">
        <f t="shared" si="5"/>
        <v/>
      </c>
      <c r="U355" s="28"/>
    </row>
    <row r="356" ht="15.75" customHeight="1">
      <c r="P356" s="25" t="str">
        <f t="shared" si="79"/>
        <v> - </v>
      </c>
      <c r="Q356" s="25" t="str">
        <f t="shared" si="3"/>
        <v/>
      </c>
      <c r="R356" s="25" t="str">
        <f t="shared" ref="R356:S356" si="360">C356</f>
        <v/>
      </c>
      <c r="S356" s="25" t="str">
        <f t="shared" si="360"/>
        <v/>
      </c>
      <c r="T356" s="13" t="str">
        <f t="shared" si="5"/>
        <v/>
      </c>
      <c r="U356" s="28"/>
    </row>
    <row r="357" ht="15.75" customHeight="1">
      <c r="P357" s="25" t="str">
        <f t="shared" si="79"/>
        <v> - </v>
      </c>
      <c r="Q357" s="25" t="str">
        <f t="shared" si="3"/>
        <v/>
      </c>
      <c r="R357" s="25" t="str">
        <f t="shared" ref="R357:S357" si="361">C357</f>
        <v/>
      </c>
      <c r="S357" s="25" t="str">
        <f t="shared" si="361"/>
        <v/>
      </c>
      <c r="T357" s="13" t="str">
        <f t="shared" si="5"/>
        <v/>
      </c>
      <c r="U357" s="28"/>
    </row>
    <row r="358" ht="15.75" customHeight="1">
      <c r="P358" s="25" t="str">
        <f t="shared" si="79"/>
        <v> - </v>
      </c>
      <c r="Q358" s="25" t="str">
        <f t="shared" si="3"/>
        <v/>
      </c>
      <c r="R358" s="25" t="str">
        <f t="shared" ref="R358:S358" si="362">C358</f>
        <v/>
      </c>
      <c r="S358" s="25" t="str">
        <f t="shared" si="362"/>
        <v/>
      </c>
      <c r="T358" s="13" t="str">
        <f t="shared" si="5"/>
        <v/>
      </c>
      <c r="U358" s="28"/>
    </row>
    <row r="359" ht="15.75" customHeight="1">
      <c r="P359" s="25" t="str">
        <f t="shared" si="79"/>
        <v> - </v>
      </c>
      <c r="Q359" s="25" t="str">
        <f t="shared" si="3"/>
        <v/>
      </c>
      <c r="R359" s="25" t="str">
        <f t="shared" ref="R359:S359" si="363">C359</f>
        <v/>
      </c>
      <c r="S359" s="25" t="str">
        <f t="shared" si="363"/>
        <v/>
      </c>
      <c r="T359" s="13" t="str">
        <f t="shared" si="5"/>
        <v/>
      </c>
      <c r="U359" s="28"/>
    </row>
    <row r="360" ht="15.75" customHeight="1">
      <c r="P360" s="25" t="str">
        <f t="shared" si="79"/>
        <v> - </v>
      </c>
      <c r="Q360" s="25" t="str">
        <f t="shared" si="3"/>
        <v/>
      </c>
      <c r="R360" s="25" t="str">
        <f t="shared" ref="R360:S360" si="364">C360</f>
        <v/>
      </c>
      <c r="S360" s="25" t="str">
        <f t="shared" si="364"/>
        <v/>
      </c>
      <c r="T360" s="13" t="str">
        <f t="shared" si="5"/>
        <v/>
      </c>
      <c r="U360" s="28"/>
    </row>
    <row r="361" ht="15.75" customHeight="1">
      <c r="P361" s="25" t="str">
        <f t="shared" si="79"/>
        <v> - </v>
      </c>
      <c r="Q361" s="25" t="str">
        <f t="shared" si="3"/>
        <v/>
      </c>
      <c r="R361" s="25" t="str">
        <f t="shared" ref="R361:S361" si="365">C361</f>
        <v/>
      </c>
      <c r="S361" s="25" t="str">
        <f t="shared" si="365"/>
        <v/>
      </c>
      <c r="T361" s="13" t="str">
        <f t="shared" si="5"/>
        <v/>
      </c>
      <c r="U361" s="28"/>
    </row>
    <row r="362" ht="15.75" customHeight="1">
      <c r="P362" s="25" t="str">
        <f t="shared" si="79"/>
        <v> - </v>
      </c>
      <c r="Q362" s="25" t="str">
        <f t="shared" si="3"/>
        <v/>
      </c>
      <c r="R362" s="25" t="str">
        <f t="shared" ref="R362:S362" si="366">C362</f>
        <v/>
      </c>
      <c r="S362" s="25" t="str">
        <f t="shared" si="366"/>
        <v/>
      </c>
      <c r="T362" s="13" t="str">
        <f t="shared" si="5"/>
        <v/>
      </c>
      <c r="U362" s="28"/>
    </row>
    <row r="363" ht="15.75" customHeight="1">
      <c r="P363" s="25" t="str">
        <f t="shared" si="79"/>
        <v> - </v>
      </c>
      <c r="Q363" s="25" t="str">
        <f t="shared" si="3"/>
        <v/>
      </c>
      <c r="R363" s="25" t="str">
        <f t="shared" ref="R363:S363" si="367">C363</f>
        <v/>
      </c>
      <c r="S363" s="25" t="str">
        <f t="shared" si="367"/>
        <v/>
      </c>
      <c r="T363" s="13" t="str">
        <f t="shared" si="5"/>
        <v/>
      </c>
      <c r="U363" s="28"/>
    </row>
    <row r="364" ht="15.75" customHeight="1">
      <c r="P364" s="25" t="str">
        <f t="shared" si="79"/>
        <v> - </v>
      </c>
      <c r="Q364" s="25" t="str">
        <f t="shared" si="3"/>
        <v/>
      </c>
      <c r="R364" s="25" t="str">
        <f t="shared" ref="R364:S364" si="368">C364</f>
        <v/>
      </c>
      <c r="S364" s="25" t="str">
        <f t="shared" si="368"/>
        <v/>
      </c>
      <c r="T364" s="13" t="str">
        <f t="shared" si="5"/>
        <v/>
      </c>
      <c r="U364" s="28"/>
    </row>
    <row r="365" ht="15.75" customHeight="1">
      <c r="P365" s="25" t="str">
        <f t="shared" si="79"/>
        <v> - </v>
      </c>
      <c r="Q365" s="25" t="str">
        <f t="shared" si="3"/>
        <v/>
      </c>
      <c r="R365" s="25" t="str">
        <f t="shared" ref="R365:S365" si="369">C365</f>
        <v/>
      </c>
      <c r="S365" s="25" t="str">
        <f t="shared" si="369"/>
        <v/>
      </c>
      <c r="T365" s="13" t="str">
        <f t="shared" si="5"/>
        <v/>
      </c>
      <c r="U365" s="28"/>
    </row>
    <row r="366" ht="15.75" customHeight="1">
      <c r="P366" s="25" t="str">
        <f t="shared" si="79"/>
        <v> - </v>
      </c>
      <c r="Q366" s="25" t="str">
        <f t="shared" si="3"/>
        <v/>
      </c>
      <c r="R366" s="25" t="str">
        <f t="shared" ref="R366:S366" si="370">C366</f>
        <v/>
      </c>
      <c r="S366" s="25" t="str">
        <f t="shared" si="370"/>
        <v/>
      </c>
      <c r="T366" s="13" t="str">
        <f t="shared" si="5"/>
        <v/>
      </c>
      <c r="U366" s="28"/>
    </row>
    <row r="367" ht="15.75" customHeight="1">
      <c r="P367" s="25" t="str">
        <f t="shared" si="79"/>
        <v> - </v>
      </c>
      <c r="Q367" s="25" t="str">
        <f t="shared" si="3"/>
        <v/>
      </c>
      <c r="R367" s="25" t="str">
        <f t="shared" ref="R367:S367" si="371">C367</f>
        <v/>
      </c>
      <c r="S367" s="25" t="str">
        <f t="shared" si="371"/>
        <v/>
      </c>
      <c r="T367" s="13" t="str">
        <f t="shared" si="5"/>
        <v/>
      </c>
      <c r="U367" s="28"/>
    </row>
    <row r="368" ht="15.75" customHeight="1">
      <c r="P368" s="25" t="str">
        <f t="shared" si="79"/>
        <v> - </v>
      </c>
      <c r="Q368" s="25" t="str">
        <f t="shared" si="3"/>
        <v/>
      </c>
      <c r="R368" s="25" t="str">
        <f t="shared" ref="R368:S368" si="372">C368</f>
        <v/>
      </c>
      <c r="S368" s="25" t="str">
        <f t="shared" si="372"/>
        <v/>
      </c>
      <c r="T368" s="13" t="str">
        <f t="shared" si="5"/>
        <v/>
      </c>
      <c r="U368" s="28"/>
    </row>
    <row r="369" ht="15.75" customHeight="1">
      <c r="P369" s="25" t="str">
        <f t="shared" si="79"/>
        <v> - </v>
      </c>
      <c r="Q369" s="25" t="str">
        <f t="shared" si="3"/>
        <v/>
      </c>
      <c r="R369" s="25" t="str">
        <f t="shared" ref="R369:S369" si="373">C369</f>
        <v/>
      </c>
      <c r="S369" s="25" t="str">
        <f t="shared" si="373"/>
        <v/>
      </c>
      <c r="T369" s="13" t="str">
        <f t="shared" si="5"/>
        <v/>
      </c>
      <c r="U369" s="28"/>
    </row>
    <row r="370" ht="15.75" customHeight="1">
      <c r="P370" s="25" t="str">
        <f t="shared" si="79"/>
        <v> - </v>
      </c>
      <c r="Q370" s="25" t="str">
        <f t="shared" si="3"/>
        <v/>
      </c>
      <c r="R370" s="25" t="str">
        <f t="shared" ref="R370:S370" si="374">C370</f>
        <v/>
      </c>
      <c r="S370" s="25" t="str">
        <f t="shared" si="374"/>
        <v/>
      </c>
      <c r="T370" s="13" t="str">
        <f t="shared" si="5"/>
        <v/>
      </c>
      <c r="U370" s="28"/>
    </row>
    <row r="371" ht="15.75" customHeight="1">
      <c r="P371" s="25" t="str">
        <f t="shared" si="79"/>
        <v> - </v>
      </c>
      <c r="Q371" s="25" t="str">
        <f t="shared" si="3"/>
        <v/>
      </c>
      <c r="R371" s="25" t="str">
        <f t="shared" ref="R371:S371" si="375">C371</f>
        <v/>
      </c>
      <c r="S371" s="25" t="str">
        <f t="shared" si="375"/>
        <v/>
      </c>
      <c r="T371" s="13" t="str">
        <f t="shared" si="5"/>
        <v/>
      </c>
      <c r="U371" s="28"/>
    </row>
    <row r="372" ht="15.75" customHeight="1">
      <c r="P372" s="25" t="str">
        <f t="shared" si="79"/>
        <v> - </v>
      </c>
      <c r="Q372" s="25" t="str">
        <f t="shared" si="3"/>
        <v/>
      </c>
      <c r="R372" s="25" t="str">
        <f t="shared" ref="R372:S372" si="376">C372</f>
        <v/>
      </c>
      <c r="S372" s="25" t="str">
        <f t="shared" si="376"/>
        <v/>
      </c>
      <c r="T372" s="13" t="str">
        <f t="shared" si="5"/>
        <v/>
      </c>
      <c r="U372" s="28"/>
    </row>
    <row r="373" ht="15.75" customHeight="1">
      <c r="P373" s="25" t="str">
        <f t="shared" si="79"/>
        <v> - </v>
      </c>
      <c r="Q373" s="25" t="str">
        <f t="shared" si="3"/>
        <v/>
      </c>
      <c r="R373" s="25" t="str">
        <f t="shared" ref="R373:S373" si="377">C373</f>
        <v/>
      </c>
      <c r="S373" s="25" t="str">
        <f t="shared" si="377"/>
        <v/>
      </c>
      <c r="T373" s="13" t="str">
        <f t="shared" si="5"/>
        <v/>
      </c>
      <c r="U373" s="28"/>
    </row>
    <row r="374" ht="15.75" customHeight="1">
      <c r="P374" s="25" t="str">
        <f t="shared" si="79"/>
        <v> - </v>
      </c>
      <c r="Q374" s="25" t="str">
        <f t="shared" si="3"/>
        <v/>
      </c>
      <c r="R374" s="25" t="str">
        <f t="shared" ref="R374:S374" si="378">C374</f>
        <v/>
      </c>
      <c r="S374" s="25" t="str">
        <f t="shared" si="378"/>
        <v/>
      </c>
      <c r="T374" s="13" t="str">
        <f t="shared" si="5"/>
        <v/>
      </c>
      <c r="U374" s="28"/>
    </row>
    <row r="375" ht="15.75" customHeight="1">
      <c r="P375" s="25" t="str">
        <f t="shared" si="79"/>
        <v> - </v>
      </c>
      <c r="Q375" s="25" t="str">
        <f t="shared" si="3"/>
        <v/>
      </c>
      <c r="R375" s="25" t="str">
        <f t="shared" ref="R375:S375" si="379">C375</f>
        <v/>
      </c>
      <c r="S375" s="25" t="str">
        <f t="shared" si="379"/>
        <v/>
      </c>
      <c r="T375" s="13" t="str">
        <f t="shared" si="5"/>
        <v/>
      </c>
      <c r="U375" s="28"/>
    </row>
    <row r="376" ht="15.75" customHeight="1">
      <c r="P376" s="25" t="str">
        <f t="shared" si="79"/>
        <v> - </v>
      </c>
      <c r="Q376" s="25" t="str">
        <f t="shared" si="3"/>
        <v/>
      </c>
      <c r="R376" s="25" t="str">
        <f t="shared" ref="R376:S376" si="380">C376</f>
        <v/>
      </c>
      <c r="S376" s="25" t="str">
        <f t="shared" si="380"/>
        <v/>
      </c>
      <c r="T376" s="13" t="str">
        <f t="shared" si="5"/>
        <v/>
      </c>
      <c r="U376" s="28"/>
    </row>
    <row r="377" ht="15.75" customHeight="1">
      <c r="P377" s="25" t="str">
        <f t="shared" si="79"/>
        <v> - </v>
      </c>
      <c r="Q377" s="25" t="str">
        <f t="shared" si="3"/>
        <v/>
      </c>
      <c r="R377" s="25" t="str">
        <f t="shared" ref="R377:S377" si="381">C377</f>
        <v/>
      </c>
      <c r="S377" s="25" t="str">
        <f t="shared" si="381"/>
        <v/>
      </c>
      <c r="T377" s="13" t="str">
        <f t="shared" si="5"/>
        <v/>
      </c>
      <c r="U377" s="28"/>
    </row>
    <row r="378" ht="15.75" customHeight="1">
      <c r="P378" s="25" t="str">
        <f t="shared" si="79"/>
        <v> - </v>
      </c>
      <c r="Q378" s="25" t="str">
        <f t="shared" si="3"/>
        <v/>
      </c>
      <c r="R378" s="25" t="str">
        <f t="shared" ref="R378:S378" si="382">C378</f>
        <v/>
      </c>
      <c r="S378" s="25" t="str">
        <f t="shared" si="382"/>
        <v/>
      </c>
      <c r="T378" s="13" t="str">
        <f t="shared" si="5"/>
        <v/>
      </c>
      <c r="U378" s="28"/>
    </row>
    <row r="379" ht="15.75" customHeight="1">
      <c r="P379" s="25" t="str">
        <f t="shared" si="79"/>
        <v> - </v>
      </c>
      <c r="Q379" s="25" t="str">
        <f t="shared" si="3"/>
        <v/>
      </c>
      <c r="R379" s="25" t="str">
        <f t="shared" ref="R379:S379" si="383">C379</f>
        <v/>
      </c>
      <c r="S379" s="25" t="str">
        <f t="shared" si="383"/>
        <v/>
      </c>
      <c r="T379" s="13" t="str">
        <f t="shared" si="5"/>
        <v/>
      </c>
      <c r="U379" s="28"/>
    </row>
    <row r="380" ht="15.75" customHeight="1">
      <c r="P380" s="25" t="str">
        <f t="shared" si="79"/>
        <v> - </v>
      </c>
      <c r="Q380" s="25" t="str">
        <f t="shared" si="3"/>
        <v/>
      </c>
      <c r="R380" s="25" t="str">
        <f t="shared" ref="R380:S380" si="384">C380</f>
        <v/>
      </c>
      <c r="S380" s="25" t="str">
        <f t="shared" si="384"/>
        <v/>
      </c>
      <c r="T380" s="13" t="str">
        <f t="shared" si="5"/>
        <v/>
      </c>
      <c r="U380" s="28"/>
    </row>
    <row r="381" ht="15.75" customHeight="1">
      <c r="P381" s="25" t="str">
        <f t="shared" si="79"/>
        <v> - </v>
      </c>
      <c r="Q381" s="25" t="str">
        <f t="shared" si="3"/>
        <v/>
      </c>
      <c r="R381" s="25" t="str">
        <f t="shared" ref="R381:S381" si="385">C381</f>
        <v/>
      </c>
      <c r="S381" s="25" t="str">
        <f t="shared" si="385"/>
        <v/>
      </c>
      <c r="T381" s="13" t="str">
        <f t="shared" si="5"/>
        <v/>
      </c>
      <c r="U381" s="28"/>
    </row>
    <row r="382" ht="15.75" customHeight="1">
      <c r="P382" s="25" t="str">
        <f t="shared" si="79"/>
        <v> - </v>
      </c>
      <c r="Q382" s="25" t="str">
        <f t="shared" si="3"/>
        <v/>
      </c>
      <c r="R382" s="25" t="str">
        <f t="shared" ref="R382:S382" si="386">C382</f>
        <v/>
      </c>
      <c r="S382" s="25" t="str">
        <f t="shared" si="386"/>
        <v/>
      </c>
      <c r="T382" s="13" t="str">
        <f t="shared" si="5"/>
        <v/>
      </c>
      <c r="U382" s="28"/>
    </row>
    <row r="383" ht="15.75" customHeight="1">
      <c r="P383" s="25" t="str">
        <f t="shared" si="79"/>
        <v> - </v>
      </c>
      <c r="Q383" s="25" t="str">
        <f t="shared" si="3"/>
        <v/>
      </c>
      <c r="R383" s="25" t="str">
        <f t="shared" ref="R383:S383" si="387">C383</f>
        <v/>
      </c>
      <c r="S383" s="25" t="str">
        <f t="shared" si="387"/>
        <v/>
      </c>
      <c r="T383" s="13" t="str">
        <f t="shared" si="5"/>
        <v/>
      </c>
      <c r="U383" s="28"/>
    </row>
    <row r="384" ht="15.75" customHeight="1">
      <c r="P384" s="25" t="str">
        <f t="shared" si="79"/>
        <v> - </v>
      </c>
      <c r="Q384" s="25" t="str">
        <f t="shared" si="3"/>
        <v/>
      </c>
      <c r="R384" s="25" t="str">
        <f t="shared" ref="R384:S384" si="388">C384</f>
        <v/>
      </c>
      <c r="S384" s="25" t="str">
        <f t="shared" si="388"/>
        <v/>
      </c>
      <c r="T384" s="13" t="str">
        <f t="shared" si="5"/>
        <v/>
      </c>
      <c r="U384" s="28"/>
    </row>
    <row r="385" ht="15.75" customHeight="1">
      <c r="P385" s="25" t="str">
        <f t="shared" si="79"/>
        <v> - </v>
      </c>
      <c r="Q385" s="25" t="str">
        <f t="shared" si="3"/>
        <v/>
      </c>
      <c r="R385" s="25" t="str">
        <f t="shared" ref="R385:S385" si="389">C385</f>
        <v/>
      </c>
      <c r="S385" s="25" t="str">
        <f t="shared" si="389"/>
        <v/>
      </c>
      <c r="T385" s="13" t="str">
        <f t="shared" si="5"/>
        <v/>
      </c>
      <c r="U385" s="28"/>
    </row>
    <row r="386" ht="15.75" customHeight="1">
      <c r="P386" s="25" t="str">
        <f t="shared" si="79"/>
        <v> - </v>
      </c>
      <c r="Q386" s="25" t="str">
        <f t="shared" si="3"/>
        <v/>
      </c>
      <c r="R386" s="25" t="str">
        <f t="shared" ref="R386:S386" si="390">C386</f>
        <v/>
      </c>
      <c r="S386" s="25" t="str">
        <f t="shared" si="390"/>
        <v/>
      </c>
      <c r="T386" s="13" t="str">
        <f t="shared" si="5"/>
        <v/>
      </c>
      <c r="U386" s="28"/>
    </row>
    <row r="387" ht="15.75" customHeight="1">
      <c r="P387" s="25" t="str">
        <f t="shared" si="79"/>
        <v> - </v>
      </c>
      <c r="Q387" s="25" t="str">
        <f t="shared" si="3"/>
        <v/>
      </c>
      <c r="R387" s="25" t="str">
        <f t="shared" ref="R387:S387" si="391">C387</f>
        <v/>
      </c>
      <c r="S387" s="25" t="str">
        <f t="shared" si="391"/>
        <v/>
      </c>
      <c r="T387" s="13" t="str">
        <f t="shared" si="5"/>
        <v/>
      </c>
      <c r="U387" s="28"/>
    </row>
    <row r="388" ht="15.75" customHeight="1">
      <c r="P388" s="25" t="str">
        <f t="shared" si="79"/>
        <v> - </v>
      </c>
      <c r="Q388" s="25" t="str">
        <f t="shared" si="3"/>
        <v/>
      </c>
      <c r="R388" s="25" t="str">
        <f t="shared" ref="R388:S388" si="392">C388</f>
        <v/>
      </c>
      <c r="S388" s="25" t="str">
        <f t="shared" si="392"/>
        <v/>
      </c>
      <c r="T388" s="13" t="str">
        <f t="shared" si="5"/>
        <v/>
      </c>
      <c r="U388" s="28"/>
    </row>
    <row r="389" ht="15.75" customHeight="1">
      <c r="P389" s="25" t="str">
        <f t="shared" si="79"/>
        <v> - </v>
      </c>
      <c r="Q389" s="25" t="str">
        <f t="shared" si="3"/>
        <v/>
      </c>
      <c r="R389" s="25" t="str">
        <f t="shared" ref="R389:S389" si="393">C389</f>
        <v/>
      </c>
      <c r="S389" s="25" t="str">
        <f t="shared" si="393"/>
        <v/>
      </c>
      <c r="T389" s="13" t="str">
        <f t="shared" si="5"/>
        <v/>
      </c>
      <c r="U389" s="28"/>
    </row>
    <row r="390" ht="15.75" customHeight="1">
      <c r="P390" s="25" t="str">
        <f t="shared" si="79"/>
        <v> - </v>
      </c>
      <c r="Q390" s="25" t="str">
        <f t="shared" si="3"/>
        <v/>
      </c>
      <c r="R390" s="25" t="str">
        <f t="shared" ref="R390:S390" si="394">C390</f>
        <v/>
      </c>
      <c r="S390" s="25" t="str">
        <f t="shared" si="394"/>
        <v/>
      </c>
      <c r="T390" s="13" t="str">
        <f t="shared" si="5"/>
        <v/>
      </c>
      <c r="U390" s="28"/>
    </row>
    <row r="391" ht="15.75" customHeight="1">
      <c r="P391" s="25" t="str">
        <f t="shared" si="79"/>
        <v> - </v>
      </c>
      <c r="Q391" s="25" t="str">
        <f t="shared" si="3"/>
        <v/>
      </c>
      <c r="R391" s="25" t="str">
        <f t="shared" ref="R391:S391" si="395">C391</f>
        <v/>
      </c>
      <c r="S391" s="25" t="str">
        <f t="shared" si="395"/>
        <v/>
      </c>
      <c r="T391" s="13" t="str">
        <f t="shared" si="5"/>
        <v/>
      </c>
      <c r="U391" s="28"/>
    </row>
    <row r="392" ht="15.75" customHeight="1">
      <c r="P392" s="25" t="str">
        <f t="shared" si="79"/>
        <v> - </v>
      </c>
      <c r="Q392" s="25" t="str">
        <f t="shared" si="3"/>
        <v/>
      </c>
      <c r="R392" s="25" t="str">
        <f t="shared" ref="R392:S392" si="396">C392</f>
        <v/>
      </c>
      <c r="S392" s="25" t="str">
        <f t="shared" si="396"/>
        <v/>
      </c>
      <c r="T392" s="13" t="str">
        <f t="shared" si="5"/>
        <v/>
      </c>
      <c r="U392" s="28"/>
    </row>
    <row r="393" ht="15.75" customHeight="1">
      <c r="P393" s="25" t="str">
        <f t="shared" si="79"/>
        <v> - </v>
      </c>
      <c r="Q393" s="25" t="str">
        <f t="shared" si="3"/>
        <v/>
      </c>
      <c r="R393" s="25" t="str">
        <f t="shared" ref="R393:S393" si="397">C393</f>
        <v/>
      </c>
      <c r="S393" s="25" t="str">
        <f t="shared" si="397"/>
        <v/>
      </c>
      <c r="T393" s="13" t="str">
        <f t="shared" si="5"/>
        <v/>
      </c>
      <c r="U393" s="28"/>
    </row>
    <row r="394" ht="15.75" customHeight="1">
      <c r="P394" s="25" t="str">
        <f t="shared" si="79"/>
        <v> - </v>
      </c>
      <c r="Q394" s="25" t="str">
        <f t="shared" si="3"/>
        <v/>
      </c>
      <c r="R394" s="25" t="str">
        <f t="shared" ref="R394:S394" si="398">C394</f>
        <v/>
      </c>
      <c r="S394" s="25" t="str">
        <f t="shared" si="398"/>
        <v/>
      </c>
      <c r="T394" s="13" t="str">
        <f t="shared" si="5"/>
        <v/>
      </c>
      <c r="U394" s="28"/>
    </row>
    <row r="395" ht="15.75" customHeight="1">
      <c r="P395" s="25" t="str">
        <f t="shared" si="79"/>
        <v> - </v>
      </c>
      <c r="Q395" s="25" t="str">
        <f t="shared" si="3"/>
        <v/>
      </c>
      <c r="R395" s="25" t="str">
        <f t="shared" ref="R395:S395" si="399">C395</f>
        <v/>
      </c>
      <c r="S395" s="25" t="str">
        <f t="shared" si="399"/>
        <v/>
      </c>
      <c r="T395" s="13" t="str">
        <f t="shared" si="5"/>
        <v/>
      </c>
      <c r="U395" s="28"/>
    </row>
    <row r="396" ht="15.75" customHeight="1">
      <c r="P396" s="25" t="str">
        <f t="shared" si="79"/>
        <v> - </v>
      </c>
      <c r="Q396" s="25" t="str">
        <f t="shared" si="3"/>
        <v/>
      </c>
      <c r="R396" s="25" t="str">
        <f t="shared" ref="R396:S396" si="400">C396</f>
        <v/>
      </c>
      <c r="S396" s="25" t="str">
        <f t="shared" si="400"/>
        <v/>
      </c>
      <c r="T396" s="13" t="str">
        <f t="shared" si="5"/>
        <v/>
      </c>
      <c r="U396" s="28"/>
    </row>
    <row r="397" ht="15.75" customHeight="1">
      <c r="P397" s="25" t="str">
        <f t="shared" si="79"/>
        <v> - </v>
      </c>
      <c r="Q397" s="25" t="str">
        <f t="shared" si="3"/>
        <v/>
      </c>
      <c r="R397" s="25" t="str">
        <f t="shared" ref="R397:S397" si="401">C397</f>
        <v/>
      </c>
      <c r="S397" s="25" t="str">
        <f t="shared" si="401"/>
        <v/>
      </c>
      <c r="T397" s="13" t="str">
        <f t="shared" si="5"/>
        <v/>
      </c>
      <c r="U397" s="28"/>
    </row>
    <row r="398" ht="15.75" customHeight="1">
      <c r="P398" s="25" t="str">
        <f t="shared" si="79"/>
        <v> - </v>
      </c>
      <c r="Q398" s="25" t="str">
        <f t="shared" si="3"/>
        <v/>
      </c>
      <c r="R398" s="25" t="str">
        <f t="shared" ref="R398:S398" si="402">C398</f>
        <v/>
      </c>
      <c r="S398" s="25" t="str">
        <f t="shared" si="402"/>
        <v/>
      </c>
      <c r="T398" s="13" t="str">
        <f t="shared" si="5"/>
        <v/>
      </c>
      <c r="U398" s="28"/>
    </row>
    <row r="399" ht="15.75" customHeight="1">
      <c r="P399" s="25" t="str">
        <f t="shared" si="79"/>
        <v> - </v>
      </c>
      <c r="Q399" s="25" t="str">
        <f t="shared" si="3"/>
        <v/>
      </c>
      <c r="R399" s="25" t="str">
        <f t="shared" ref="R399:S399" si="403">C399</f>
        <v/>
      </c>
      <c r="S399" s="25" t="str">
        <f t="shared" si="403"/>
        <v/>
      </c>
      <c r="T399" s="13" t="str">
        <f t="shared" si="5"/>
        <v/>
      </c>
      <c r="U399" s="28"/>
    </row>
    <row r="400" ht="15.75" customHeight="1">
      <c r="P400" s="25" t="str">
        <f t="shared" si="79"/>
        <v> - </v>
      </c>
      <c r="Q400" s="25" t="str">
        <f t="shared" si="3"/>
        <v/>
      </c>
      <c r="R400" s="25" t="str">
        <f t="shared" ref="R400:S400" si="404">C400</f>
        <v/>
      </c>
      <c r="S400" s="25" t="str">
        <f t="shared" si="404"/>
        <v/>
      </c>
      <c r="T400" s="13" t="str">
        <f t="shared" si="5"/>
        <v/>
      </c>
      <c r="U400" s="28"/>
    </row>
    <row r="401" ht="15.75" customHeight="1">
      <c r="P401" s="25" t="str">
        <f t="shared" si="79"/>
        <v> - </v>
      </c>
      <c r="Q401" s="25" t="str">
        <f t="shared" si="3"/>
        <v/>
      </c>
      <c r="R401" s="25" t="str">
        <f t="shared" ref="R401:S401" si="405">C401</f>
        <v/>
      </c>
      <c r="S401" s="25" t="str">
        <f t="shared" si="405"/>
        <v/>
      </c>
      <c r="T401" s="13" t="str">
        <f t="shared" si="5"/>
        <v/>
      </c>
      <c r="U401" s="28"/>
    </row>
    <row r="402" ht="15.75" customHeight="1">
      <c r="P402" s="25" t="str">
        <f t="shared" si="79"/>
        <v> - </v>
      </c>
      <c r="Q402" s="25" t="str">
        <f t="shared" si="3"/>
        <v/>
      </c>
      <c r="R402" s="25" t="str">
        <f t="shared" ref="R402:S402" si="406">C402</f>
        <v/>
      </c>
      <c r="S402" s="25" t="str">
        <f t="shared" si="406"/>
        <v/>
      </c>
      <c r="T402" s="13" t="str">
        <f t="shared" si="5"/>
        <v/>
      </c>
      <c r="U402" s="28"/>
    </row>
    <row r="403" ht="15.75" customHeight="1">
      <c r="P403" s="25" t="str">
        <f t="shared" si="79"/>
        <v> - </v>
      </c>
      <c r="Q403" s="25" t="str">
        <f t="shared" si="3"/>
        <v/>
      </c>
      <c r="R403" s="25" t="str">
        <f t="shared" ref="R403:S403" si="407">C403</f>
        <v/>
      </c>
      <c r="S403" s="25" t="str">
        <f t="shared" si="407"/>
        <v/>
      </c>
      <c r="T403" s="13" t="str">
        <f t="shared" si="5"/>
        <v/>
      </c>
      <c r="U403" s="28"/>
    </row>
    <row r="404" ht="15.75" customHeight="1">
      <c r="P404" s="25" t="str">
        <f t="shared" si="79"/>
        <v> - </v>
      </c>
      <c r="Q404" s="25" t="str">
        <f t="shared" si="3"/>
        <v/>
      </c>
      <c r="R404" s="25" t="str">
        <f t="shared" ref="R404:S404" si="408">C404</f>
        <v/>
      </c>
      <c r="S404" s="25" t="str">
        <f t="shared" si="408"/>
        <v/>
      </c>
      <c r="T404" s="13" t="str">
        <f t="shared" si="5"/>
        <v/>
      </c>
      <c r="U404" s="28"/>
    </row>
    <row r="405" ht="15.75" customHeight="1">
      <c r="P405" s="25" t="str">
        <f t="shared" si="79"/>
        <v> - </v>
      </c>
      <c r="Q405" s="25" t="str">
        <f t="shared" si="3"/>
        <v/>
      </c>
      <c r="R405" s="25" t="str">
        <f t="shared" ref="R405:S405" si="409">C405</f>
        <v/>
      </c>
      <c r="S405" s="25" t="str">
        <f t="shared" si="409"/>
        <v/>
      </c>
      <c r="T405" s="13" t="str">
        <f t="shared" si="5"/>
        <v/>
      </c>
      <c r="U405" s="28"/>
    </row>
    <row r="406" ht="15.75" customHeight="1">
      <c r="P406" s="25" t="str">
        <f t="shared" si="79"/>
        <v> - </v>
      </c>
      <c r="Q406" s="25" t="str">
        <f t="shared" si="3"/>
        <v/>
      </c>
      <c r="R406" s="25" t="str">
        <f t="shared" ref="R406:S406" si="410">C406</f>
        <v/>
      </c>
      <c r="S406" s="25" t="str">
        <f t="shared" si="410"/>
        <v/>
      </c>
      <c r="T406" s="13" t="str">
        <f t="shared" si="5"/>
        <v/>
      </c>
      <c r="U406" s="28"/>
    </row>
    <row r="407" ht="15.75" customHeight="1">
      <c r="P407" s="25" t="str">
        <f t="shared" si="79"/>
        <v> - </v>
      </c>
      <c r="Q407" s="25" t="str">
        <f t="shared" si="3"/>
        <v/>
      </c>
      <c r="R407" s="25" t="str">
        <f t="shared" ref="R407:S407" si="411">C407</f>
        <v/>
      </c>
      <c r="S407" s="25" t="str">
        <f t="shared" si="411"/>
        <v/>
      </c>
      <c r="T407" s="13" t="str">
        <f t="shared" si="5"/>
        <v/>
      </c>
      <c r="U407" s="28"/>
    </row>
    <row r="408" ht="15.75" customHeight="1">
      <c r="P408" s="25" t="str">
        <f t="shared" si="79"/>
        <v> - </v>
      </c>
      <c r="Q408" s="25" t="str">
        <f t="shared" si="3"/>
        <v/>
      </c>
      <c r="R408" s="25" t="str">
        <f t="shared" ref="R408:S408" si="412">C408</f>
        <v/>
      </c>
      <c r="S408" s="25" t="str">
        <f t="shared" si="412"/>
        <v/>
      </c>
      <c r="T408" s="13" t="str">
        <f t="shared" si="5"/>
        <v/>
      </c>
      <c r="U408" s="28"/>
    </row>
    <row r="409" ht="15.75" customHeight="1">
      <c r="P409" s="25" t="str">
        <f t="shared" si="79"/>
        <v> - </v>
      </c>
      <c r="Q409" s="25" t="str">
        <f t="shared" si="3"/>
        <v/>
      </c>
      <c r="R409" s="25" t="str">
        <f t="shared" ref="R409:S409" si="413">C409</f>
        <v/>
      </c>
      <c r="S409" s="25" t="str">
        <f t="shared" si="413"/>
        <v/>
      </c>
      <c r="T409" s="13" t="str">
        <f t="shared" si="5"/>
        <v/>
      </c>
      <c r="U409" s="28"/>
    </row>
    <row r="410" ht="15.75" customHeight="1">
      <c r="P410" s="25" t="str">
        <f t="shared" si="79"/>
        <v> - </v>
      </c>
      <c r="Q410" s="25" t="str">
        <f t="shared" si="3"/>
        <v/>
      </c>
      <c r="R410" s="25" t="str">
        <f t="shared" ref="R410:S410" si="414">C410</f>
        <v/>
      </c>
      <c r="S410" s="25" t="str">
        <f t="shared" si="414"/>
        <v/>
      </c>
      <c r="T410" s="13" t="str">
        <f t="shared" si="5"/>
        <v/>
      </c>
      <c r="U410" s="28"/>
    </row>
    <row r="411" ht="15.75" customHeight="1">
      <c r="P411" s="25" t="str">
        <f t="shared" si="79"/>
        <v> - </v>
      </c>
      <c r="Q411" s="25" t="str">
        <f t="shared" si="3"/>
        <v/>
      </c>
      <c r="R411" s="25" t="str">
        <f t="shared" ref="R411:S411" si="415">C411</f>
        <v/>
      </c>
      <c r="S411" s="25" t="str">
        <f t="shared" si="415"/>
        <v/>
      </c>
      <c r="T411" s="13" t="str">
        <f t="shared" si="5"/>
        <v/>
      </c>
      <c r="U411" s="28"/>
    </row>
    <row r="412" ht="15.75" customHeight="1">
      <c r="P412" s="25" t="str">
        <f t="shared" si="79"/>
        <v> - </v>
      </c>
      <c r="Q412" s="25" t="str">
        <f t="shared" si="3"/>
        <v/>
      </c>
      <c r="R412" s="25" t="str">
        <f t="shared" ref="R412:S412" si="416">C412</f>
        <v/>
      </c>
      <c r="S412" s="25" t="str">
        <f t="shared" si="416"/>
        <v/>
      </c>
      <c r="T412" s="13" t="str">
        <f t="shared" si="5"/>
        <v/>
      </c>
      <c r="U412" s="28"/>
    </row>
    <row r="413" ht="15.75" customHeight="1">
      <c r="P413" s="25" t="str">
        <f t="shared" si="79"/>
        <v> - </v>
      </c>
      <c r="Q413" s="25" t="str">
        <f t="shared" si="3"/>
        <v/>
      </c>
      <c r="R413" s="25" t="str">
        <f t="shared" ref="R413:S413" si="417">C413</f>
        <v/>
      </c>
      <c r="S413" s="25" t="str">
        <f t="shared" si="417"/>
        <v/>
      </c>
      <c r="T413" s="13" t="str">
        <f t="shared" si="5"/>
        <v/>
      </c>
      <c r="U413" s="28"/>
    </row>
    <row r="414" ht="15.75" customHeight="1">
      <c r="P414" s="25" t="str">
        <f t="shared" si="79"/>
        <v> - </v>
      </c>
      <c r="Q414" s="25" t="str">
        <f t="shared" si="3"/>
        <v/>
      </c>
      <c r="R414" s="25" t="str">
        <f t="shared" ref="R414:S414" si="418">C414</f>
        <v/>
      </c>
      <c r="S414" s="25" t="str">
        <f t="shared" si="418"/>
        <v/>
      </c>
      <c r="T414" s="13" t="str">
        <f t="shared" si="5"/>
        <v/>
      </c>
      <c r="U414" s="28"/>
    </row>
    <row r="415" ht="15.75" customHeight="1">
      <c r="P415" s="25" t="str">
        <f t="shared" si="79"/>
        <v> - </v>
      </c>
      <c r="Q415" s="25" t="str">
        <f t="shared" si="3"/>
        <v/>
      </c>
      <c r="R415" s="25" t="str">
        <f t="shared" ref="R415:S415" si="419">C415</f>
        <v/>
      </c>
      <c r="S415" s="25" t="str">
        <f t="shared" si="419"/>
        <v/>
      </c>
      <c r="T415" s="13" t="str">
        <f t="shared" si="5"/>
        <v/>
      </c>
      <c r="U415" s="28"/>
    </row>
    <row r="416" ht="15.75" customHeight="1">
      <c r="P416" s="25" t="str">
        <f t="shared" si="79"/>
        <v> - </v>
      </c>
      <c r="Q416" s="25" t="str">
        <f t="shared" si="3"/>
        <v/>
      </c>
      <c r="R416" s="25" t="str">
        <f t="shared" ref="R416:S416" si="420">C416</f>
        <v/>
      </c>
      <c r="S416" s="25" t="str">
        <f t="shared" si="420"/>
        <v/>
      </c>
      <c r="T416" s="13" t="str">
        <f t="shared" si="5"/>
        <v/>
      </c>
      <c r="U416" s="28"/>
    </row>
    <row r="417" ht="15.75" customHeight="1">
      <c r="P417" s="25" t="str">
        <f t="shared" si="79"/>
        <v> - </v>
      </c>
      <c r="Q417" s="25" t="str">
        <f t="shared" si="3"/>
        <v/>
      </c>
      <c r="R417" s="25" t="str">
        <f t="shared" ref="R417:S417" si="421">C417</f>
        <v/>
      </c>
      <c r="S417" s="25" t="str">
        <f t="shared" si="421"/>
        <v/>
      </c>
      <c r="T417" s="13" t="str">
        <f t="shared" si="5"/>
        <v/>
      </c>
      <c r="U417" s="28"/>
    </row>
    <row r="418" ht="15.75" customHeight="1">
      <c r="P418" s="25" t="str">
        <f t="shared" si="79"/>
        <v> - </v>
      </c>
      <c r="Q418" s="25" t="str">
        <f t="shared" si="3"/>
        <v/>
      </c>
      <c r="R418" s="25" t="str">
        <f t="shared" ref="R418:S418" si="422">C418</f>
        <v/>
      </c>
      <c r="S418" s="25" t="str">
        <f t="shared" si="422"/>
        <v/>
      </c>
      <c r="T418" s="13" t="str">
        <f t="shared" si="5"/>
        <v/>
      </c>
      <c r="U418" s="28"/>
    </row>
    <row r="419" ht="15.75" customHeight="1">
      <c r="P419" s="25" t="str">
        <f t="shared" si="79"/>
        <v> - </v>
      </c>
      <c r="Q419" s="25" t="str">
        <f t="shared" si="3"/>
        <v/>
      </c>
      <c r="R419" s="25" t="str">
        <f t="shared" ref="R419:S419" si="423">C419</f>
        <v/>
      </c>
      <c r="S419" s="25" t="str">
        <f t="shared" si="423"/>
        <v/>
      </c>
      <c r="T419" s="13" t="str">
        <f t="shared" si="5"/>
        <v/>
      </c>
      <c r="U419" s="28"/>
    </row>
    <row r="420" ht="15.75" customHeight="1">
      <c r="P420" s="25" t="str">
        <f t="shared" si="79"/>
        <v> - </v>
      </c>
      <c r="Q420" s="25" t="str">
        <f t="shared" si="3"/>
        <v/>
      </c>
      <c r="R420" s="25" t="str">
        <f t="shared" ref="R420:S420" si="424">C420</f>
        <v/>
      </c>
      <c r="S420" s="25" t="str">
        <f t="shared" si="424"/>
        <v/>
      </c>
      <c r="T420" s="13" t="str">
        <f t="shared" si="5"/>
        <v/>
      </c>
      <c r="U420" s="28"/>
    </row>
    <row r="421" ht="15.75" customHeight="1">
      <c r="P421" s="25" t="str">
        <f t="shared" si="79"/>
        <v> - </v>
      </c>
      <c r="Q421" s="25" t="str">
        <f t="shared" si="3"/>
        <v/>
      </c>
      <c r="R421" s="25" t="str">
        <f t="shared" ref="R421:S421" si="425">C421</f>
        <v/>
      </c>
      <c r="S421" s="25" t="str">
        <f t="shared" si="425"/>
        <v/>
      </c>
      <c r="T421" s="13" t="str">
        <f t="shared" si="5"/>
        <v/>
      </c>
      <c r="U421" s="28"/>
    </row>
    <row r="422" ht="15.75" customHeight="1">
      <c r="P422" s="25" t="str">
        <f t="shared" si="79"/>
        <v> - </v>
      </c>
      <c r="Q422" s="25" t="str">
        <f t="shared" si="3"/>
        <v/>
      </c>
      <c r="R422" s="25" t="str">
        <f t="shared" ref="R422:S422" si="426">C422</f>
        <v/>
      </c>
      <c r="S422" s="25" t="str">
        <f t="shared" si="426"/>
        <v/>
      </c>
      <c r="T422" s="13" t="str">
        <f t="shared" si="5"/>
        <v/>
      </c>
      <c r="U422" s="28"/>
    </row>
    <row r="423" ht="15.75" customHeight="1">
      <c r="P423" s="25" t="str">
        <f t="shared" si="79"/>
        <v> - </v>
      </c>
      <c r="Q423" s="25" t="str">
        <f t="shared" si="3"/>
        <v/>
      </c>
      <c r="R423" s="25" t="str">
        <f t="shared" ref="R423:S423" si="427">C423</f>
        <v/>
      </c>
      <c r="S423" s="25" t="str">
        <f t="shared" si="427"/>
        <v/>
      </c>
      <c r="T423" s="13" t="str">
        <f t="shared" si="5"/>
        <v/>
      </c>
      <c r="U423" s="28"/>
    </row>
    <row r="424" ht="15.75" customHeight="1">
      <c r="P424" s="25" t="str">
        <f t="shared" si="79"/>
        <v> - </v>
      </c>
      <c r="Q424" s="25" t="str">
        <f t="shared" si="3"/>
        <v/>
      </c>
      <c r="R424" s="25" t="str">
        <f t="shared" ref="R424:S424" si="428">C424</f>
        <v/>
      </c>
      <c r="S424" s="25" t="str">
        <f t="shared" si="428"/>
        <v/>
      </c>
      <c r="T424" s="13" t="str">
        <f t="shared" si="5"/>
        <v/>
      </c>
      <c r="U424" s="28"/>
    </row>
    <row r="425" ht="15.75" customHeight="1">
      <c r="P425" s="25" t="str">
        <f t="shared" si="79"/>
        <v> - </v>
      </c>
      <c r="Q425" s="25" t="str">
        <f t="shared" si="3"/>
        <v/>
      </c>
      <c r="R425" s="25" t="str">
        <f t="shared" ref="R425:S425" si="429">C425</f>
        <v/>
      </c>
      <c r="S425" s="25" t="str">
        <f t="shared" si="429"/>
        <v/>
      </c>
      <c r="T425" s="13" t="str">
        <f t="shared" si="5"/>
        <v/>
      </c>
      <c r="U425" s="28"/>
    </row>
    <row r="426" ht="15.75" customHeight="1">
      <c r="P426" s="25" t="str">
        <f t="shared" si="79"/>
        <v> - </v>
      </c>
      <c r="Q426" s="25" t="str">
        <f t="shared" si="3"/>
        <v/>
      </c>
      <c r="R426" s="25" t="str">
        <f t="shared" ref="R426:S426" si="430">C426</f>
        <v/>
      </c>
      <c r="S426" s="25" t="str">
        <f t="shared" si="430"/>
        <v/>
      </c>
      <c r="T426" s="13" t="str">
        <f t="shared" si="5"/>
        <v/>
      </c>
      <c r="U426" s="28"/>
    </row>
    <row r="427" ht="15.75" customHeight="1">
      <c r="P427" s="25" t="str">
        <f t="shared" si="79"/>
        <v> - </v>
      </c>
      <c r="Q427" s="25" t="str">
        <f t="shared" si="3"/>
        <v/>
      </c>
      <c r="R427" s="25" t="str">
        <f t="shared" ref="R427:S427" si="431">C427</f>
        <v/>
      </c>
      <c r="S427" s="25" t="str">
        <f t="shared" si="431"/>
        <v/>
      </c>
      <c r="T427" s="13" t="str">
        <f t="shared" si="5"/>
        <v/>
      </c>
      <c r="U427" s="28"/>
    </row>
    <row r="428" ht="15.75" customHeight="1">
      <c r="P428" s="25" t="str">
        <f t="shared" si="79"/>
        <v> - </v>
      </c>
      <c r="Q428" s="25" t="str">
        <f t="shared" si="3"/>
        <v/>
      </c>
      <c r="R428" s="25" t="str">
        <f t="shared" ref="R428:S428" si="432">C428</f>
        <v/>
      </c>
      <c r="S428" s="25" t="str">
        <f t="shared" si="432"/>
        <v/>
      </c>
      <c r="T428" s="13" t="str">
        <f t="shared" si="5"/>
        <v/>
      </c>
      <c r="U428" s="28"/>
    </row>
    <row r="429" ht="15.75" customHeight="1">
      <c r="P429" s="25" t="str">
        <f t="shared" si="79"/>
        <v> - </v>
      </c>
      <c r="Q429" s="25" t="str">
        <f t="shared" si="3"/>
        <v/>
      </c>
      <c r="R429" s="25" t="str">
        <f t="shared" ref="R429:S429" si="433">C429</f>
        <v/>
      </c>
      <c r="S429" s="25" t="str">
        <f t="shared" si="433"/>
        <v/>
      </c>
      <c r="T429" s="13" t="str">
        <f t="shared" si="5"/>
        <v/>
      </c>
      <c r="U429" s="28"/>
    </row>
    <row r="430" ht="15.75" customHeight="1">
      <c r="P430" s="25" t="str">
        <f t="shared" si="79"/>
        <v> - </v>
      </c>
      <c r="Q430" s="25" t="str">
        <f t="shared" si="3"/>
        <v/>
      </c>
      <c r="R430" s="25" t="str">
        <f t="shared" ref="R430:S430" si="434">C430</f>
        <v/>
      </c>
      <c r="S430" s="25" t="str">
        <f t="shared" si="434"/>
        <v/>
      </c>
      <c r="T430" s="13" t="str">
        <f t="shared" si="5"/>
        <v/>
      </c>
      <c r="U430" s="28"/>
    </row>
    <row r="431" ht="15.75" customHeight="1">
      <c r="P431" s="25" t="str">
        <f t="shared" si="79"/>
        <v> - </v>
      </c>
      <c r="Q431" s="25" t="str">
        <f t="shared" si="3"/>
        <v/>
      </c>
      <c r="R431" s="25" t="str">
        <f t="shared" ref="R431:S431" si="435">C431</f>
        <v/>
      </c>
      <c r="S431" s="25" t="str">
        <f t="shared" si="435"/>
        <v/>
      </c>
      <c r="T431" s="13" t="str">
        <f t="shared" si="5"/>
        <v/>
      </c>
      <c r="U431" s="28"/>
    </row>
    <row r="432" ht="15.75" customHeight="1">
      <c r="P432" s="25" t="str">
        <f t="shared" si="79"/>
        <v> - </v>
      </c>
      <c r="Q432" s="25" t="str">
        <f t="shared" si="3"/>
        <v/>
      </c>
      <c r="R432" s="25" t="str">
        <f t="shared" ref="R432:S432" si="436">C432</f>
        <v/>
      </c>
      <c r="S432" s="25" t="str">
        <f t="shared" si="436"/>
        <v/>
      </c>
      <c r="T432" s="13" t="str">
        <f t="shared" si="5"/>
        <v/>
      </c>
      <c r="U432" s="28"/>
    </row>
    <row r="433" ht="15.75" customHeight="1">
      <c r="P433" s="25" t="str">
        <f t="shared" si="79"/>
        <v> - </v>
      </c>
      <c r="Q433" s="25" t="str">
        <f t="shared" si="3"/>
        <v/>
      </c>
      <c r="R433" s="25" t="str">
        <f t="shared" ref="R433:S433" si="437">C433</f>
        <v/>
      </c>
      <c r="S433" s="25" t="str">
        <f t="shared" si="437"/>
        <v/>
      </c>
      <c r="T433" s="13" t="str">
        <f t="shared" si="5"/>
        <v/>
      </c>
      <c r="U433" s="28"/>
    </row>
    <row r="434" ht="15.75" customHeight="1">
      <c r="P434" s="25" t="str">
        <f t="shared" si="79"/>
        <v> - </v>
      </c>
      <c r="Q434" s="25" t="str">
        <f t="shared" si="3"/>
        <v/>
      </c>
      <c r="R434" s="25" t="str">
        <f t="shared" ref="R434:S434" si="438">C434</f>
        <v/>
      </c>
      <c r="S434" s="25" t="str">
        <f t="shared" si="438"/>
        <v/>
      </c>
      <c r="T434" s="13" t="str">
        <f t="shared" si="5"/>
        <v/>
      </c>
      <c r="U434" s="28"/>
    </row>
    <row r="435" ht="15.75" customHeight="1">
      <c r="P435" s="25" t="str">
        <f t="shared" si="79"/>
        <v> - </v>
      </c>
      <c r="Q435" s="25" t="str">
        <f t="shared" si="3"/>
        <v/>
      </c>
      <c r="R435" s="25" t="str">
        <f t="shared" ref="R435:S435" si="439">C435</f>
        <v/>
      </c>
      <c r="S435" s="25" t="str">
        <f t="shared" si="439"/>
        <v/>
      </c>
      <c r="T435" s="13" t="str">
        <f t="shared" si="5"/>
        <v/>
      </c>
      <c r="U435" s="28"/>
    </row>
    <row r="436" ht="15.75" customHeight="1">
      <c r="P436" s="25" t="str">
        <f t="shared" si="79"/>
        <v> - </v>
      </c>
      <c r="Q436" s="25" t="str">
        <f t="shared" si="3"/>
        <v/>
      </c>
      <c r="R436" s="25" t="str">
        <f t="shared" ref="R436:S436" si="440">C436</f>
        <v/>
      </c>
      <c r="S436" s="25" t="str">
        <f t="shared" si="440"/>
        <v/>
      </c>
      <c r="T436" s="13" t="str">
        <f t="shared" si="5"/>
        <v/>
      </c>
      <c r="U436" s="28"/>
    </row>
    <row r="437" ht="15.75" customHeight="1">
      <c r="P437" s="25" t="str">
        <f t="shared" si="79"/>
        <v> - </v>
      </c>
      <c r="Q437" s="25" t="str">
        <f t="shared" si="3"/>
        <v/>
      </c>
      <c r="R437" s="25" t="str">
        <f t="shared" ref="R437:S437" si="441">C437</f>
        <v/>
      </c>
      <c r="S437" s="25" t="str">
        <f t="shared" si="441"/>
        <v/>
      </c>
      <c r="T437" s="13" t="str">
        <f t="shared" si="5"/>
        <v/>
      </c>
      <c r="U437" s="28"/>
    </row>
    <row r="438" ht="15.75" customHeight="1">
      <c r="P438" s="25" t="str">
        <f t="shared" si="79"/>
        <v> - </v>
      </c>
      <c r="Q438" s="25" t="str">
        <f t="shared" si="3"/>
        <v/>
      </c>
      <c r="R438" s="25" t="str">
        <f t="shared" ref="R438:S438" si="442">C438</f>
        <v/>
      </c>
      <c r="S438" s="25" t="str">
        <f t="shared" si="442"/>
        <v/>
      </c>
      <c r="T438" s="13" t="str">
        <f t="shared" si="5"/>
        <v/>
      </c>
      <c r="U438" s="28"/>
    </row>
    <row r="439" ht="15.75" customHeight="1">
      <c r="P439" s="25" t="str">
        <f t="shared" si="79"/>
        <v> - </v>
      </c>
      <c r="Q439" s="25" t="str">
        <f t="shared" si="3"/>
        <v/>
      </c>
      <c r="R439" s="25" t="str">
        <f t="shared" ref="R439:S439" si="443">C439</f>
        <v/>
      </c>
      <c r="S439" s="25" t="str">
        <f t="shared" si="443"/>
        <v/>
      </c>
      <c r="T439" s="13" t="str">
        <f t="shared" si="5"/>
        <v/>
      </c>
      <c r="U439" s="28"/>
    </row>
    <row r="440" ht="15.75" customHeight="1">
      <c r="P440" s="25" t="str">
        <f t="shared" si="79"/>
        <v> - </v>
      </c>
      <c r="Q440" s="25" t="str">
        <f t="shared" si="3"/>
        <v/>
      </c>
      <c r="R440" s="25" t="str">
        <f t="shared" ref="R440:S440" si="444">C440</f>
        <v/>
      </c>
      <c r="S440" s="25" t="str">
        <f t="shared" si="444"/>
        <v/>
      </c>
      <c r="T440" s="13" t="str">
        <f t="shared" si="5"/>
        <v/>
      </c>
      <c r="U440" s="28"/>
    </row>
    <row r="441" ht="15.75" customHeight="1">
      <c r="P441" s="25" t="str">
        <f t="shared" si="79"/>
        <v> - </v>
      </c>
      <c r="Q441" s="25" t="str">
        <f t="shared" si="3"/>
        <v/>
      </c>
      <c r="R441" s="25" t="str">
        <f t="shared" ref="R441:S441" si="445">C441</f>
        <v/>
      </c>
      <c r="S441" s="25" t="str">
        <f t="shared" si="445"/>
        <v/>
      </c>
      <c r="T441" s="13" t="str">
        <f t="shared" si="5"/>
        <v/>
      </c>
      <c r="U441" s="28"/>
    </row>
    <row r="442" ht="15.75" customHeight="1">
      <c r="P442" s="25" t="str">
        <f t="shared" si="79"/>
        <v> - </v>
      </c>
      <c r="Q442" s="25" t="str">
        <f t="shared" si="3"/>
        <v/>
      </c>
      <c r="R442" s="25" t="str">
        <f t="shared" ref="R442:S442" si="446">C442</f>
        <v/>
      </c>
      <c r="S442" s="25" t="str">
        <f t="shared" si="446"/>
        <v/>
      </c>
      <c r="T442" s="13" t="str">
        <f t="shared" si="5"/>
        <v/>
      </c>
      <c r="U442" s="28"/>
    </row>
    <row r="443" ht="15.75" customHeight="1">
      <c r="P443" s="25" t="str">
        <f t="shared" si="79"/>
        <v> - </v>
      </c>
      <c r="Q443" s="25" t="str">
        <f t="shared" si="3"/>
        <v/>
      </c>
      <c r="R443" s="25" t="str">
        <f t="shared" ref="R443:S443" si="447">C443</f>
        <v/>
      </c>
      <c r="S443" s="25" t="str">
        <f t="shared" si="447"/>
        <v/>
      </c>
      <c r="T443" s="13" t="str">
        <f t="shared" si="5"/>
        <v/>
      </c>
      <c r="U443" s="28"/>
    </row>
    <row r="444" ht="15.75" customHeight="1">
      <c r="P444" s="25" t="str">
        <f t="shared" si="79"/>
        <v> - </v>
      </c>
      <c r="Q444" s="25" t="str">
        <f t="shared" si="3"/>
        <v/>
      </c>
      <c r="R444" s="25" t="str">
        <f t="shared" ref="R444:S444" si="448">C444</f>
        <v/>
      </c>
      <c r="S444" s="25" t="str">
        <f t="shared" si="448"/>
        <v/>
      </c>
      <c r="T444" s="13" t="str">
        <f t="shared" si="5"/>
        <v/>
      </c>
      <c r="U444" s="28"/>
    </row>
    <row r="445" ht="15.75" customHeight="1">
      <c r="P445" s="25" t="str">
        <f t="shared" si="79"/>
        <v> - </v>
      </c>
      <c r="Q445" s="25" t="str">
        <f t="shared" si="3"/>
        <v/>
      </c>
      <c r="R445" s="25" t="str">
        <f t="shared" ref="R445:S445" si="449">C445</f>
        <v/>
      </c>
      <c r="S445" s="25" t="str">
        <f t="shared" si="449"/>
        <v/>
      </c>
      <c r="T445" s="13" t="str">
        <f t="shared" si="5"/>
        <v/>
      </c>
      <c r="U445" s="28"/>
    </row>
    <row r="446" ht="15.75" customHeight="1">
      <c r="P446" s="25" t="str">
        <f t="shared" si="79"/>
        <v> - </v>
      </c>
      <c r="Q446" s="25" t="str">
        <f t="shared" si="3"/>
        <v/>
      </c>
      <c r="R446" s="25" t="str">
        <f t="shared" ref="R446:S446" si="450">C446</f>
        <v/>
      </c>
      <c r="S446" s="25" t="str">
        <f t="shared" si="450"/>
        <v/>
      </c>
      <c r="T446" s="13" t="str">
        <f t="shared" si="5"/>
        <v/>
      </c>
      <c r="U446" s="28"/>
    </row>
    <row r="447" ht="15.75" customHeight="1">
      <c r="P447" s="25" t="str">
        <f t="shared" si="79"/>
        <v> - </v>
      </c>
      <c r="Q447" s="25" t="str">
        <f t="shared" si="3"/>
        <v/>
      </c>
      <c r="R447" s="25" t="str">
        <f t="shared" ref="R447:S447" si="451">C447</f>
        <v/>
      </c>
      <c r="S447" s="25" t="str">
        <f t="shared" si="451"/>
        <v/>
      </c>
      <c r="T447" s="13" t="str">
        <f t="shared" si="5"/>
        <v/>
      </c>
      <c r="U447" s="28"/>
    </row>
    <row r="448" ht="15.75" customHeight="1">
      <c r="P448" s="25" t="str">
        <f t="shared" si="79"/>
        <v> - </v>
      </c>
      <c r="Q448" s="25" t="str">
        <f t="shared" si="3"/>
        <v/>
      </c>
      <c r="R448" s="25" t="str">
        <f t="shared" ref="R448:S448" si="452">C448</f>
        <v/>
      </c>
      <c r="S448" s="25" t="str">
        <f t="shared" si="452"/>
        <v/>
      </c>
      <c r="T448" s="13" t="str">
        <f t="shared" si="5"/>
        <v/>
      </c>
      <c r="U448" s="28"/>
    </row>
    <row r="449" ht="15.75" customHeight="1">
      <c r="P449" s="25" t="str">
        <f t="shared" si="79"/>
        <v> - </v>
      </c>
      <c r="Q449" s="25" t="str">
        <f t="shared" si="3"/>
        <v/>
      </c>
      <c r="R449" s="25" t="str">
        <f t="shared" ref="R449:S449" si="453">C449</f>
        <v/>
      </c>
      <c r="S449" s="25" t="str">
        <f t="shared" si="453"/>
        <v/>
      </c>
      <c r="T449" s="13" t="str">
        <f t="shared" si="5"/>
        <v/>
      </c>
      <c r="U449" s="28"/>
    </row>
    <row r="450" ht="15.75" customHeight="1">
      <c r="P450" s="25" t="str">
        <f t="shared" si="79"/>
        <v> - </v>
      </c>
      <c r="Q450" s="25" t="str">
        <f t="shared" si="3"/>
        <v/>
      </c>
      <c r="R450" s="25" t="str">
        <f t="shared" ref="R450:S450" si="454">C450</f>
        <v/>
      </c>
      <c r="S450" s="25" t="str">
        <f t="shared" si="454"/>
        <v/>
      </c>
      <c r="T450" s="13" t="str">
        <f t="shared" si="5"/>
        <v/>
      </c>
      <c r="U450" s="28"/>
    </row>
    <row r="451" ht="15.75" customHeight="1">
      <c r="P451" s="25" t="str">
        <f t="shared" si="79"/>
        <v> - </v>
      </c>
      <c r="Q451" s="25" t="str">
        <f t="shared" si="3"/>
        <v/>
      </c>
      <c r="R451" s="25" t="str">
        <f t="shared" ref="R451:S451" si="455">C451</f>
        <v/>
      </c>
      <c r="S451" s="25" t="str">
        <f t="shared" si="455"/>
        <v/>
      </c>
      <c r="T451" s="13" t="str">
        <f t="shared" si="5"/>
        <v/>
      </c>
      <c r="U451" s="28"/>
    </row>
    <row r="452" ht="15.75" customHeight="1">
      <c r="P452" s="25" t="str">
        <f t="shared" si="79"/>
        <v> - </v>
      </c>
      <c r="Q452" s="25" t="str">
        <f t="shared" si="3"/>
        <v/>
      </c>
      <c r="R452" s="25" t="str">
        <f t="shared" ref="R452:S452" si="456">C452</f>
        <v/>
      </c>
      <c r="S452" s="25" t="str">
        <f t="shared" si="456"/>
        <v/>
      </c>
      <c r="T452" s="13" t="str">
        <f t="shared" si="5"/>
        <v/>
      </c>
      <c r="U452" s="28"/>
    </row>
    <row r="453" ht="15.75" customHeight="1">
      <c r="P453" s="25" t="str">
        <f t="shared" si="79"/>
        <v> - </v>
      </c>
      <c r="Q453" s="25" t="str">
        <f t="shared" si="3"/>
        <v/>
      </c>
      <c r="R453" s="25" t="str">
        <f t="shared" ref="R453:S453" si="457">C453</f>
        <v/>
      </c>
      <c r="S453" s="25" t="str">
        <f t="shared" si="457"/>
        <v/>
      </c>
      <c r="T453" s="13" t="str">
        <f t="shared" si="5"/>
        <v/>
      </c>
      <c r="U453" s="28"/>
    </row>
    <row r="454" ht="15.75" customHeight="1">
      <c r="P454" s="25" t="str">
        <f t="shared" si="79"/>
        <v> - </v>
      </c>
      <c r="Q454" s="25" t="str">
        <f t="shared" si="3"/>
        <v/>
      </c>
      <c r="R454" s="25" t="str">
        <f t="shared" ref="R454:S454" si="458">C454</f>
        <v/>
      </c>
      <c r="S454" s="25" t="str">
        <f t="shared" si="458"/>
        <v/>
      </c>
      <c r="T454" s="13" t="str">
        <f t="shared" si="5"/>
        <v/>
      </c>
      <c r="U454" s="28"/>
    </row>
    <row r="455" ht="15.75" customHeight="1">
      <c r="P455" s="25" t="str">
        <f t="shared" si="79"/>
        <v> - </v>
      </c>
      <c r="Q455" s="25" t="str">
        <f t="shared" si="3"/>
        <v/>
      </c>
      <c r="R455" s="25" t="str">
        <f t="shared" ref="R455:S455" si="459">C455</f>
        <v/>
      </c>
      <c r="S455" s="25" t="str">
        <f t="shared" si="459"/>
        <v/>
      </c>
      <c r="T455" s="13" t="str">
        <f t="shared" si="5"/>
        <v/>
      </c>
      <c r="U455" s="28"/>
    </row>
    <row r="456" ht="15.75" customHeight="1">
      <c r="P456" s="25" t="str">
        <f t="shared" si="79"/>
        <v> - </v>
      </c>
      <c r="Q456" s="25" t="str">
        <f t="shared" si="3"/>
        <v/>
      </c>
      <c r="R456" s="25" t="str">
        <f t="shared" ref="R456:S456" si="460">C456</f>
        <v/>
      </c>
      <c r="S456" s="25" t="str">
        <f t="shared" si="460"/>
        <v/>
      </c>
      <c r="T456" s="13" t="str">
        <f t="shared" si="5"/>
        <v/>
      </c>
      <c r="U456" s="28"/>
    </row>
    <row r="457" ht="15.75" customHeight="1">
      <c r="P457" s="25" t="str">
        <f t="shared" si="79"/>
        <v> - </v>
      </c>
      <c r="Q457" s="25" t="str">
        <f t="shared" si="3"/>
        <v/>
      </c>
      <c r="R457" s="25" t="str">
        <f t="shared" ref="R457:S457" si="461">C457</f>
        <v/>
      </c>
      <c r="S457" s="25" t="str">
        <f t="shared" si="461"/>
        <v/>
      </c>
      <c r="T457" s="13" t="str">
        <f t="shared" si="5"/>
        <v/>
      </c>
      <c r="U457" s="28"/>
    </row>
    <row r="458" ht="15.75" customHeight="1">
      <c r="P458" s="25" t="str">
        <f t="shared" si="79"/>
        <v> - </v>
      </c>
      <c r="Q458" s="25" t="str">
        <f t="shared" si="3"/>
        <v/>
      </c>
      <c r="R458" s="25" t="str">
        <f t="shared" ref="R458:S458" si="462">C458</f>
        <v/>
      </c>
      <c r="S458" s="25" t="str">
        <f t="shared" si="462"/>
        <v/>
      </c>
      <c r="T458" s="13" t="str">
        <f t="shared" si="5"/>
        <v/>
      </c>
      <c r="U458" s="28"/>
    </row>
    <row r="459" ht="15.75" customHeight="1">
      <c r="P459" s="25" t="str">
        <f t="shared" si="79"/>
        <v> - </v>
      </c>
      <c r="Q459" s="25"/>
      <c r="R459" s="25" t="str">
        <f t="shared" ref="R459:S459" si="463">C459</f>
        <v/>
      </c>
      <c r="S459" s="25" t="str">
        <f t="shared" si="463"/>
        <v/>
      </c>
      <c r="T459" s="13" t="str">
        <f t="shared" si="5"/>
        <v/>
      </c>
      <c r="U459" s="28"/>
    </row>
    <row r="460" ht="15.75" customHeight="1">
      <c r="P460" s="25" t="str">
        <f t="shared" si="79"/>
        <v> - </v>
      </c>
      <c r="Q460" s="25"/>
      <c r="R460" s="25" t="str">
        <f t="shared" ref="R460:S460" si="464">C460</f>
        <v/>
      </c>
      <c r="S460" s="25" t="str">
        <f t="shared" si="464"/>
        <v/>
      </c>
      <c r="T460" s="13" t="str">
        <f t="shared" si="5"/>
        <v/>
      </c>
      <c r="U460" s="28"/>
    </row>
    <row r="461" ht="15.75" customHeight="1">
      <c r="P461" s="25" t="str">
        <f t="shared" si="79"/>
        <v> - </v>
      </c>
      <c r="Q461" s="25"/>
      <c r="R461" s="25" t="str">
        <f t="shared" ref="R461:S461" si="465">C461</f>
        <v/>
      </c>
      <c r="S461" s="25" t="str">
        <f t="shared" si="465"/>
        <v/>
      </c>
      <c r="T461" s="13" t="str">
        <f t="shared" si="5"/>
        <v/>
      </c>
      <c r="U461" s="28"/>
    </row>
    <row r="462" ht="15.75" customHeight="1">
      <c r="P462" s="25" t="str">
        <f t="shared" si="79"/>
        <v> - </v>
      </c>
      <c r="Q462" s="25"/>
      <c r="R462" s="25" t="str">
        <f t="shared" ref="R462:S462" si="466">C462</f>
        <v/>
      </c>
      <c r="S462" s="25" t="str">
        <f t="shared" si="466"/>
        <v/>
      </c>
      <c r="T462" s="13" t="str">
        <f t="shared" si="5"/>
        <v/>
      </c>
      <c r="U462" s="28"/>
    </row>
    <row r="463" ht="15.75" customHeight="1">
      <c r="P463" s="25" t="str">
        <f t="shared" si="79"/>
        <v> - </v>
      </c>
      <c r="Q463" s="25"/>
      <c r="R463" s="25" t="str">
        <f t="shared" ref="R463:S463" si="467">C463</f>
        <v/>
      </c>
      <c r="S463" s="25" t="str">
        <f t="shared" si="467"/>
        <v/>
      </c>
      <c r="T463" s="13" t="str">
        <f t="shared" si="5"/>
        <v/>
      </c>
      <c r="U463" s="28"/>
    </row>
    <row r="464" ht="15.75" customHeight="1">
      <c r="P464" s="25" t="str">
        <f t="shared" si="79"/>
        <v> - </v>
      </c>
      <c r="Q464" s="25"/>
      <c r="R464" s="25" t="str">
        <f t="shared" ref="R464:S464" si="468">C464</f>
        <v/>
      </c>
      <c r="S464" s="25" t="str">
        <f t="shared" si="468"/>
        <v/>
      </c>
      <c r="T464" s="13" t="str">
        <f t="shared" si="5"/>
        <v/>
      </c>
      <c r="U464" s="28"/>
    </row>
    <row r="465" ht="15.75" customHeight="1">
      <c r="P465" s="25" t="str">
        <f t="shared" si="79"/>
        <v> - </v>
      </c>
      <c r="Q465" s="25"/>
      <c r="R465" s="25" t="str">
        <f t="shared" ref="R465:S465" si="469">C465</f>
        <v/>
      </c>
      <c r="S465" s="25" t="str">
        <f t="shared" si="469"/>
        <v/>
      </c>
      <c r="T465" s="13" t="str">
        <f t="shared" si="5"/>
        <v/>
      </c>
      <c r="U465" s="28"/>
    </row>
    <row r="466" ht="15.75" customHeight="1">
      <c r="P466" s="25" t="str">
        <f t="shared" si="79"/>
        <v> - </v>
      </c>
      <c r="Q466" s="25"/>
      <c r="R466" s="25" t="str">
        <f t="shared" ref="R466:S466" si="470">C466</f>
        <v/>
      </c>
      <c r="S466" s="25" t="str">
        <f t="shared" si="470"/>
        <v/>
      </c>
      <c r="T466" s="13" t="str">
        <f t="shared" si="5"/>
        <v/>
      </c>
      <c r="U466" s="28"/>
    </row>
    <row r="467" ht="15.75" customHeight="1">
      <c r="P467" s="25" t="str">
        <f t="shared" si="79"/>
        <v> - </v>
      </c>
      <c r="Q467" s="25"/>
      <c r="R467" s="25" t="str">
        <f t="shared" ref="R467:S467" si="471">C467</f>
        <v/>
      </c>
      <c r="S467" s="25" t="str">
        <f t="shared" si="471"/>
        <v/>
      </c>
      <c r="T467" s="13" t="str">
        <f t="shared" si="5"/>
        <v/>
      </c>
      <c r="U467" s="28"/>
    </row>
    <row r="468" ht="15.75" customHeight="1">
      <c r="P468" s="25" t="str">
        <f t="shared" si="79"/>
        <v> - </v>
      </c>
      <c r="Q468" s="25"/>
      <c r="R468" s="25" t="str">
        <f t="shared" ref="R468:S468" si="472">C468</f>
        <v/>
      </c>
      <c r="S468" s="25" t="str">
        <f t="shared" si="472"/>
        <v/>
      </c>
      <c r="T468" s="13" t="str">
        <f t="shared" si="5"/>
        <v/>
      </c>
      <c r="U468" s="28"/>
    </row>
    <row r="469" ht="15.75" customHeight="1">
      <c r="P469" s="25" t="str">
        <f t="shared" si="79"/>
        <v> - </v>
      </c>
      <c r="Q469" s="25"/>
      <c r="R469" s="25" t="str">
        <f t="shared" ref="R469:S469" si="473">C469</f>
        <v/>
      </c>
      <c r="S469" s="25" t="str">
        <f t="shared" si="473"/>
        <v/>
      </c>
      <c r="T469" s="13" t="str">
        <f t="shared" si="5"/>
        <v/>
      </c>
      <c r="U469" s="28"/>
    </row>
    <row r="470" ht="15.75" customHeight="1">
      <c r="P470" s="25" t="str">
        <f t="shared" si="79"/>
        <v> - </v>
      </c>
      <c r="Q470" s="25"/>
      <c r="R470" s="25" t="str">
        <f t="shared" ref="R470:S470" si="474">C470</f>
        <v/>
      </c>
      <c r="S470" s="25" t="str">
        <f t="shared" si="474"/>
        <v/>
      </c>
      <c r="T470" s="13" t="str">
        <f t="shared" si="5"/>
        <v/>
      </c>
      <c r="U470" s="28"/>
    </row>
    <row r="471" ht="15.75" customHeight="1">
      <c r="P471" s="25" t="str">
        <f t="shared" si="79"/>
        <v> - </v>
      </c>
      <c r="Q471" s="25"/>
      <c r="R471" s="25" t="str">
        <f t="shared" ref="R471:S471" si="475">C471</f>
        <v/>
      </c>
      <c r="S471" s="25" t="str">
        <f t="shared" si="475"/>
        <v/>
      </c>
      <c r="T471" s="13" t="str">
        <f t="shared" si="5"/>
        <v/>
      </c>
      <c r="U471" s="28"/>
    </row>
    <row r="472" ht="15.75" customHeight="1">
      <c r="P472" s="25" t="str">
        <f t="shared" si="79"/>
        <v> - </v>
      </c>
      <c r="Q472" s="25"/>
      <c r="R472" s="25" t="str">
        <f t="shared" ref="R472:S472" si="476">C472</f>
        <v/>
      </c>
      <c r="S472" s="25" t="str">
        <f t="shared" si="476"/>
        <v/>
      </c>
      <c r="T472" s="13" t="str">
        <f t="shared" si="5"/>
        <v/>
      </c>
      <c r="U472" s="28"/>
    </row>
    <row r="473" ht="15.75" customHeight="1">
      <c r="P473" s="25" t="str">
        <f t="shared" si="79"/>
        <v> - </v>
      </c>
      <c r="Q473" s="25"/>
      <c r="R473" s="25"/>
      <c r="S473" s="25" t="str">
        <f t="shared" ref="S473:S772" si="477">D473</f>
        <v/>
      </c>
      <c r="T473" s="13" t="str">
        <f t="shared" si="5"/>
        <v/>
      </c>
      <c r="U473" s="28"/>
    </row>
    <row r="474" ht="15.75" customHeight="1">
      <c r="P474" s="25" t="str">
        <f t="shared" si="79"/>
        <v> - </v>
      </c>
      <c r="Q474" s="25"/>
      <c r="R474" s="25"/>
      <c r="S474" s="25" t="str">
        <f t="shared" si="477"/>
        <v/>
      </c>
      <c r="T474" s="13" t="str">
        <f t="shared" si="5"/>
        <v/>
      </c>
      <c r="U474" s="28"/>
    </row>
    <row r="475" ht="15.75" customHeight="1">
      <c r="P475" s="25" t="str">
        <f t="shared" si="79"/>
        <v> - </v>
      </c>
      <c r="Q475" s="25"/>
      <c r="R475" s="25"/>
      <c r="S475" s="25" t="str">
        <f t="shared" si="477"/>
        <v/>
      </c>
      <c r="T475" s="13" t="str">
        <f t="shared" si="5"/>
        <v/>
      </c>
      <c r="U475" s="28"/>
    </row>
    <row r="476" ht="15.75" customHeight="1">
      <c r="P476" s="25" t="str">
        <f t="shared" si="79"/>
        <v> - </v>
      </c>
      <c r="Q476" s="25"/>
      <c r="R476" s="25"/>
      <c r="S476" s="25" t="str">
        <f t="shared" si="477"/>
        <v/>
      </c>
      <c r="T476" s="13" t="str">
        <f t="shared" si="5"/>
        <v/>
      </c>
      <c r="U476" s="28"/>
    </row>
    <row r="477" ht="15.75" customHeight="1">
      <c r="P477" s="25" t="str">
        <f t="shared" si="79"/>
        <v> - </v>
      </c>
      <c r="Q477" s="25"/>
      <c r="R477" s="25"/>
      <c r="S477" s="25" t="str">
        <f t="shared" si="477"/>
        <v/>
      </c>
      <c r="T477" s="13" t="str">
        <f t="shared" si="5"/>
        <v/>
      </c>
      <c r="U477" s="28"/>
    </row>
    <row r="478" ht="15.75" customHeight="1">
      <c r="P478" s="25" t="str">
        <f t="shared" si="79"/>
        <v> - </v>
      </c>
      <c r="Q478" s="25"/>
      <c r="R478" s="25"/>
      <c r="S478" s="25" t="str">
        <f t="shared" si="477"/>
        <v/>
      </c>
      <c r="T478" s="13" t="str">
        <f t="shared" si="5"/>
        <v/>
      </c>
      <c r="U478" s="28"/>
    </row>
    <row r="479" ht="15.75" customHeight="1">
      <c r="P479" s="25" t="str">
        <f t="shared" si="79"/>
        <v> - </v>
      </c>
      <c r="Q479" s="25"/>
      <c r="R479" s="25"/>
      <c r="S479" s="25" t="str">
        <f t="shared" si="477"/>
        <v/>
      </c>
      <c r="T479" s="13" t="str">
        <f t="shared" si="5"/>
        <v/>
      </c>
      <c r="U479" s="28"/>
    </row>
    <row r="480" ht="15.75" customHeight="1">
      <c r="P480" s="25" t="str">
        <f t="shared" si="79"/>
        <v> - </v>
      </c>
      <c r="Q480" s="25"/>
      <c r="R480" s="25"/>
      <c r="S480" s="25" t="str">
        <f t="shared" si="477"/>
        <v/>
      </c>
      <c r="T480" s="13" t="str">
        <f t="shared" si="5"/>
        <v/>
      </c>
      <c r="U480" s="28"/>
    </row>
    <row r="481" ht="15.75" customHeight="1">
      <c r="P481" s="25" t="str">
        <f t="shared" si="79"/>
        <v> - </v>
      </c>
      <c r="Q481" s="25"/>
      <c r="R481" s="25"/>
      <c r="S481" s="25" t="str">
        <f t="shared" si="477"/>
        <v/>
      </c>
      <c r="T481" s="13" t="str">
        <f t="shared" si="5"/>
        <v/>
      </c>
      <c r="U481" s="28"/>
    </row>
    <row r="482" ht="15.75" customHeight="1">
      <c r="P482" s="25" t="str">
        <f t="shared" si="79"/>
        <v> - </v>
      </c>
      <c r="Q482" s="25"/>
      <c r="R482" s="25"/>
      <c r="S482" s="25" t="str">
        <f t="shared" si="477"/>
        <v/>
      </c>
      <c r="T482" s="13" t="str">
        <f t="shared" si="5"/>
        <v/>
      </c>
      <c r="U482" s="28"/>
    </row>
    <row r="483" ht="15.75" customHeight="1">
      <c r="P483" s="25" t="str">
        <f t="shared" si="79"/>
        <v> - </v>
      </c>
      <c r="Q483" s="25"/>
      <c r="R483" s="25"/>
      <c r="S483" s="25" t="str">
        <f t="shared" si="477"/>
        <v/>
      </c>
      <c r="T483" s="13" t="str">
        <f t="shared" si="5"/>
        <v/>
      </c>
      <c r="U483" s="28"/>
    </row>
    <row r="484" ht="15.75" customHeight="1">
      <c r="P484" s="25" t="str">
        <f t="shared" si="79"/>
        <v> - </v>
      </c>
      <c r="Q484" s="25"/>
      <c r="R484" s="25"/>
      <c r="S484" s="25" t="str">
        <f t="shared" si="477"/>
        <v/>
      </c>
      <c r="T484" s="13" t="str">
        <f t="shared" si="5"/>
        <v/>
      </c>
      <c r="U484" s="28"/>
    </row>
    <row r="485" ht="15.75" customHeight="1">
      <c r="P485" s="25" t="str">
        <f t="shared" si="79"/>
        <v> - </v>
      </c>
      <c r="Q485" s="25"/>
      <c r="R485" s="25"/>
      <c r="S485" s="25" t="str">
        <f t="shared" si="477"/>
        <v/>
      </c>
      <c r="T485" s="13" t="str">
        <f t="shared" si="5"/>
        <v/>
      </c>
      <c r="U485" s="28"/>
    </row>
    <row r="486" ht="15.75" customHeight="1">
      <c r="P486" s="25" t="str">
        <f t="shared" si="79"/>
        <v> - </v>
      </c>
      <c r="Q486" s="25"/>
      <c r="R486" s="25"/>
      <c r="S486" s="25" t="str">
        <f t="shared" si="477"/>
        <v/>
      </c>
      <c r="T486" s="13" t="str">
        <f t="shared" si="5"/>
        <v/>
      </c>
      <c r="U486" s="28"/>
    </row>
    <row r="487" ht="15.75" customHeight="1">
      <c r="P487" s="25" t="str">
        <f t="shared" si="79"/>
        <v> - </v>
      </c>
      <c r="Q487" s="25"/>
      <c r="R487" s="25"/>
      <c r="S487" s="25" t="str">
        <f t="shared" si="477"/>
        <v/>
      </c>
      <c r="T487" s="13" t="str">
        <f t="shared" si="5"/>
        <v/>
      </c>
      <c r="U487" s="28"/>
    </row>
    <row r="488" ht="15.75" customHeight="1">
      <c r="P488" s="25" t="str">
        <f t="shared" si="79"/>
        <v> - </v>
      </c>
      <c r="Q488" s="25"/>
      <c r="R488" s="25"/>
      <c r="S488" s="25" t="str">
        <f t="shared" si="477"/>
        <v/>
      </c>
      <c r="T488" s="13" t="str">
        <f t="shared" si="5"/>
        <v/>
      </c>
      <c r="U488" s="28"/>
    </row>
    <row r="489" ht="15.75" customHeight="1">
      <c r="P489" s="25" t="str">
        <f t="shared" si="79"/>
        <v> - </v>
      </c>
      <c r="Q489" s="25"/>
      <c r="R489" s="25"/>
      <c r="S489" s="25" t="str">
        <f t="shared" si="477"/>
        <v/>
      </c>
      <c r="T489" s="13" t="str">
        <f t="shared" si="5"/>
        <v/>
      </c>
      <c r="U489" s="28"/>
    </row>
    <row r="490" ht="15.75" customHeight="1">
      <c r="P490" s="25" t="str">
        <f t="shared" si="79"/>
        <v> - </v>
      </c>
      <c r="Q490" s="25"/>
      <c r="R490" s="25"/>
      <c r="S490" s="25" t="str">
        <f t="shared" si="477"/>
        <v/>
      </c>
      <c r="T490" s="13" t="str">
        <f t="shared" si="5"/>
        <v/>
      </c>
      <c r="U490" s="28"/>
    </row>
    <row r="491" ht="15.75" customHeight="1">
      <c r="P491" s="25" t="str">
        <f t="shared" si="79"/>
        <v> - </v>
      </c>
      <c r="Q491" s="25"/>
      <c r="R491" s="25"/>
      <c r="S491" s="25" t="str">
        <f t="shared" si="477"/>
        <v/>
      </c>
      <c r="T491" s="13" t="str">
        <f t="shared" si="5"/>
        <v/>
      </c>
      <c r="U491" s="28"/>
    </row>
    <row r="492" ht="15.75" customHeight="1">
      <c r="P492" s="25" t="str">
        <f t="shared" si="79"/>
        <v> - </v>
      </c>
      <c r="Q492" s="25"/>
      <c r="R492" s="25"/>
      <c r="S492" s="25" t="str">
        <f t="shared" si="477"/>
        <v/>
      </c>
      <c r="T492" s="13" t="str">
        <f t="shared" si="5"/>
        <v/>
      </c>
      <c r="U492" s="28"/>
    </row>
    <row r="493" ht="15.75" customHeight="1">
      <c r="P493" s="25" t="str">
        <f t="shared" si="79"/>
        <v> - </v>
      </c>
      <c r="Q493" s="25"/>
      <c r="R493" s="25"/>
      <c r="S493" s="25" t="str">
        <f t="shared" si="477"/>
        <v/>
      </c>
      <c r="T493" s="13" t="str">
        <f t="shared" si="5"/>
        <v/>
      </c>
      <c r="U493" s="28"/>
    </row>
    <row r="494" ht="15.75" customHeight="1">
      <c r="P494" s="25" t="str">
        <f t="shared" si="79"/>
        <v> - </v>
      </c>
      <c r="Q494" s="25"/>
      <c r="R494" s="25"/>
      <c r="S494" s="25" t="str">
        <f t="shared" si="477"/>
        <v/>
      </c>
      <c r="T494" s="13" t="str">
        <f t="shared" si="5"/>
        <v/>
      </c>
      <c r="U494" s="28"/>
    </row>
    <row r="495" ht="15.75" customHeight="1">
      <c r="P495" s="25" t="str">
        <f t="shared" si="79"/>
        <v> - </v>
      </c>
      <c r="Q495" s="25"/>
      <c r="R495" s="25"/>
      <c r="S495" s="25" t="str">
        <f t="shared" si="477"/>
        <v/>
      </c>
      <c r="T495" s="13" t="str">
        <f t="shared" si="5"/>
        <v/>
      </c>
      <c r="U495" s="28"/>
    </row>
    <row r="496" ht="15.75" customHeight="1">
      <c r="P496" s="25" t="str">
        <f t="shared" si="79"/>
        <v> - </v>
      </c>
      <c r="Q496" s="25"/>
      <c r="R496" s="25"/>
      <c r="S496" s="25" t="str">
        <f t="shared" si="477"/>
        <v/>
      </c>
      <c r="T496" s="13" t="str">
        <f t="shared" si="5"/>
        <v/>
      </c>
      <c r="U496" s="28"/>
    </row>
    <row r="497" ht="15.75" customHeight="1">
      <c r="P497" s="25" t="str">
        <f t="shared" si="79"/>
        <v> - </v>
      </c>
      <c r="Q497" s="25"/>
      <c r="R497" s="25"/>
      <c r="S497" s="25" t="str">
        <f t="shared" si="477"/>
        <v/>
      </c>
      <c r="T497" s="13" t="str">
        <f t="shared" si="5"/>
        <v/>
      </c>
      <c r="U497" s="28"/>
    </row>
    <row r="498" ht="15.75" customHeight="1">
      <c r="P498" s="25" t="str">
        <f t="shared" si="79"/>
        <v> - </v>
      </c>
      <c r="Q498" s="25"/>
      <c r="R498" s="25"/>
      <c r="S498" s="25" t="str">
        <f t="shared" si="477"/>
        <v/>
      </c>
      <c r="T498" s="141"/>
      <c r="U498" s="28"/>
    </row>
    <row r="499" ht="15.75" customHeight="1">
      <c r="P499" s="25" t="str">
        <f t="shared" si="79"/>
        <v> - </v>
      </c>
      <c r="Q499" s="25"/>
      <c r="R499" s="25"/>
      <c r="S499" s="25" t="str">
        <f t="shared" si="477"/>
        <v/>
      </c>
      <c r="T499" s="141"/>
      <c r="U499" s="28"/>
    </row>
    <row r="500" ht="15.75" customHeight="1">
      <c r="P500" s="25" t="str">
        <f t="shared" si="79"/>
        <v> - </v>
      </c>
      <c r="Q500" s="25"/>
      <c r="R500" s="25"/>
      <c r="S500" s="25" t="str">
        <f t="shared" si="477"/>
        <v/>
      </c>
      <c r="T500" s="141"/>
      <c r="U500" s="28"/>
    </row>
    <row r="501" ht="15.75" customHeight="1">
      <c r="P501" s="25" t="str">
        <f t="shared" si="79"/>
        <v> - </v>
      </c>
      <c r="Q501" s="25"/>
      <c r="R501" s="25"/>
      <c r="S501" s="25" t="str">
        <f t="shared" si="477"/>
        <v/>
      </c>
      <c r="T501" s="141"/>
      <c r="U501" s="28"/>
    </row>
    <row r="502" ht="15.75" customHeight="1">
      <c r="P502" s="25" t="str">
        <f t="shared" si="79"/>
        <v> - </v>
      </c>
      <c r="Q502" s="25"/>
      <c r="R502" s="25"/>
      <c r="S502" s="25" t="str">
        <f t="shared" si="477"/>
        <v/>
      </c>
      <c r="T502" s="141"/>
      <c r="U502" s="28"/>
    </row>
    <row r="503" ht="15.75" customHeight="1">
      <c r="P503" s="25" t="str">
        <f t="shared" si="79"/>
        <v> - </v>
      </c>
      <c r="Q503" s="25"/>
      <c r="R503" s="25"/>
      <c r="S503" s="25" t="str">
        <f t="shared" si="477"/>
        <v/>
      </c>
      <c r="T503" s="141"/>
      <c r="U503" s="28"/>
    </row>
    <row r="504" ht="15.75" customHeight="1">
      <c r="P504" s="25" t="str">
        <f t="shared" si="79"/>
        <v> - </v>
      </c>
      <c r="Q504" s="25"/>
      <c r="R504" s="25"/>
      <c r="S504" s="25" t="str">
        <f t="shared" si="477"/>
        <v/>
      </c>
      <c r="T504" s="141"/>
      <c r="U504" s="28"/>
    </row>
    <row r="505" ht="15.75" customHeight="1">
      <c r="P505" s="25" t="str">
        <f t="shared" si="79"/>
        <v> - </v>
      </c>
      <c r="Q505" s="25"/>
      <c r="R505" s="25"/>
      <c r="S505" s="25" t="str">
        <f t="shared" si="477"/>
        <v/>
      </c>
      <c r="T505" s="141"/>
      <c r="U505" s="28"/>
    </row>
    <row r="506" ht="15.75" customHeight="1">
      <c r="P506" s="25" t="str">
        <f t="shared" si="79"/>
        <v> - </v>
      </c>
      <c r="Q506" s="25"/>
      <c r="R506" s="25"/>
      <c r="S506" s="25" t="str">
        <f t="shared" si="477"/>
        <v/>
      </c>
      <c r="T506" s="141"/>
      <c r="U506" s="28"/>
    </row>
    <row r="507" ht="15.75" customHeight="1">
      <c r="P507" s="25" t="str">
        <f t="shared" si="79"/>
        <v> - </v>
      </c>
      <c r="Q507" s="25"/>
      <c r="R507" s="25"/>
      <c r="S507" s="25" t="str">
        <f t="shared" si="477"/>
        <v/>
      </c>
      <c r="T507" s="141"/>
      <c r="U507" s="28"/>
    </row>
    <row r="508" ht="15.75" customHeight="1">
      <c r="P508" s="25" t="str">
        <f t="shared" si="79"/>
        <v> - </v>
      </c>
      <c r="Q508" s="25"/>
      <c r="R508" s="25"/>
      <c r="S508" s="25" t="str">
        <f t="shared" si="477"/>
        <v/>
      </c>
      <c r="T508" s="141"/>
      <c r="U508" s="28"/>
    </row>
    <row r="509" ht="15.75" customHeight="1">
      <c r="P509" s="25" t="str">
        <f t="shared" si="79"/>
        <v> - </v>
      </c>
      <c r="Q509" s="25"/>
      <c r="R509" s="25"/>
      <c r="S509" s="25" t="str">
        <f t="shared" si="477"/>
        <v/>
      </c>
      <c r="T509" s="141"/>
      <c r="U509" s="28"/>
    </row>
    <row r="510" ht="15.75" customHeight="1">
      <c r="P510" s="25" t="str">
        <f t="shared" si="79"/>
        <v> - </v>
      </c>
      <c r="Q510" s="25"/>
      <c r="R510" s="25"/>
      <c r="S510" s="25" t="str">
        <f t="shared" si="477"/>
        <v/>
      </c>
      <c r="T510" s="141"/>
      <c r="U510" s="28"/>
    </row>
    <row r="511" ht="15.75" customHeight="1">
      <c r="P511" s="25" t="str">
        <f t="shared" si="79"/>
        <v> - </v>
      </c>
      <c r="Q511" s="25"/>
      <c r="R511" s="25"/>
      <c r="S511" s="25" t="str">
        <f t="shared" si="477"/>
        <v/>
      </c>
      <c r="T511" s="141"/>
      <c r="U511" s="28"/>
    </row>
    <row r="512" ht="15.75" customHeight="1">
      <c r="P512" s="25" t="str">
        <f t="shared" si="79"/>
        <v> - </v>
      </c>
      <c r="Q512" s="25"/>
      <c r="R512" s="25"/>
      <c r="S512" s="25" t="str">
        <f t="shared" si="477"/>
        <v/>
      </c>
      <c r="T512" s="141"/>
      <c r="U512" s="28"/>
    </row>
    <row r="513" ht="15.75" customHeight="1">
      <c r="P513" s="25" t="str">
        <f t="shared" si="79"/>
        <v> - </v>
      </c>
      <c r="Q513" s="25"/>
      <c r="R513" s="25"/>
      <c r="S513" s="25" t="str">
        <f t="shared" si="477"/>
        <v/>
      </c>
      <c r="T513" s="141"/>
      <c r="U513" s="28"/>
    </row>
    <row r="514" ht="15.75" customHeight="1">
      <c r="P514" s="25" t="str">
        <f t="shared" si="79"/>
        <v> - </v>
      </c>
      <c r="Q514" s="25"/>
      <c r="R514" s="25"/>
      <c r="S514" s="25" t="str">
        <f t="shared" si="477"/>
        <v/>
      </c>
      <c r="T514" s="141"/>
      <c r="U514" s="28"/>
    </row>
    <row r="515" ht="15.75" customHeight="1">
      <c r="P515" s="25" t="str">
        <f t="shared" si="79"/>
        <v> - </v>
      </c>
      <c r="Q515" s="25"/>
      <c r="R515" s="25"/>
      <c r="S515" s="25" t="str">
        <f t="shared" si="477"/>
        <v/>
      </c>
      <c r="T515" s="141"/>
      <c r="U515" s="28"/>
    </row>
    <row r="516" ht="15.75" customHeight="1">
      <c r="P516" s="25" t="str">
        <f t="shared" si="79"/>
        <v> - </v>
      </c>
      <c r="Q516" s="25"/>
      <c r="R516" s="25"/>
      <c r="S516" s="25" t="str">
        <f t="shared" si="477"/>
        <v/>
      </c>
      <c r="T516" s="141"/>
      <c r="U516" s="28"/>
    </row>
    <row r="517" ht="15.75" customHeight="1">
      <c r="P517" s="25" t="str">
        <f t="shared" si="79"/>
        <v> - </v>
      </c>
      <c r="Q517" s="25"/>
      <c r="R517" s="25"/>
      <c r="S517" s="25" t="str">
        <f t="shared" si="477"/>
        <v/>
      </c>
      <c r="T517" s="141"/>
      <c r="U517" s="28"/>
    </row>
    <row r="518" ht="15.75" customHeight="1">
      <c r="P518" s="25" t="str">
        <f t="shared" si="79"/>
        <v> - </v>
      </c>
      <c r="Q518" s="25"/>
      <c r="R518" s="25"/>
      <c r="S518" s="25" t="str">
        <f t="shared" si="477"/>
        <v/>
      </c>
      <c r="T518" s="141"/>
      <c r="U518" s="28"/>
    </row>
    <row r="519" ht="15.75" customHeight="1">
      <c r="P519" s="25" t="str">
        <f t="shared" si="79"/>
        <v> - </v>
      </c>
      <c r="Q519" s="25"/>
      <c r="R519" s="25"/>
      <c r="S519" s="25" t="str">
        <f t="shared" si="477"/>
        <v/>
      </c>
      <c r="T519" s="141"/>
      <c r="U519" s="28"/>
    </row>
    <row r="520" ht="15.75" customHeight="1">
      <c r="P520" s="25" t="str">
        <f t="shared" si="79"/>
        <v> - </v>
      </c>
      <c r="Q520" s="25"/>
      <c r="R520" s="25"/>
      <c r="S520" s="25" t="str">
        <f t="shared" si="477"/>
        <v/>
      </c>
      <c r="T520" s="141"/>
      <c r="U520" s="28"/>
    </row>
    <row r="521" ht="15.75" customHeight="1">
      <c r="P521" s="25" t="str">
        <f t="shared" si="79"/>
        <v> - </v>
      </c>
      <c r="Q521" s="25"/>
      <c r="R521" s="25"/>
      <c r="S521" s="25" t="str">
        <f t="shared" si="477"/>
        <v/>
      </c>
      <c r="T521" s="141"/>
      <c r="U521" s="28"/>
    </row>
    <row r="522" ht="15.75" customHeight="1">
      <c r="P522" s="25" t="str">
        <f t="shared" si="79"/>
        <v> - </v>
      </c>
      <c r="Q522" s="25"/>
      <c r="R522" s="25"/>
      <c r="S522" s="25" t="str">
        <f t="shared" si="477"/>
        <v/>
      </c>
      <c r="T522" s="141"/>
      <c r="U522" s="28"/>
    </row>
    <row r="523" ht="15.75" customHeight="1">
      <c r="P523" s="25" t="str">
        <f t="shared" si="79"/>
        <v> - </v>
      </c>
      <c r="Q523" s="25"/>
      <c r="R523" s="25"/>
      <c r="S523" s="25" t="str">
        <f t="shared" si="477"/>
        <v/>
      </c>
      <c r="T523" s="141"/>
      <c r="U523" s="28"/>
    </row>
    <row r="524" ht="15.75" customHeight="1">
      <c r="P524" s="25" t="str">
        <f t="shared" si="79"/>
        <v> - </v>
      </c>
      <c r="Q524" s="25"/>
      <c r="R524" s="25"/>
      <c r="S524" s="25" t="str">
        <f t="shared" si="477"/>
        <v/>
      </c>
      <c r="T524" s="141"/>
      <c r="U524" s="28"/>
    </row>
    <row r="525" ht="15.75" customHeight="1">
      <c r="P525" s="25" t="str">
        <f t="shared" si="79"/>
        <v> - </v>
      </c>
      <c r="Q525" s="25"/>
      <c r="R525" s="25"/>
      <c r="S525" s="25" t="str">
        <f t="shared" si="477"/>
        <v/>
      </c>
      <c r="T525" s="141"/>
      <c r="U525" s="28"/>
    </row>
    <row r="526" ht="15.75" customHeight="1">
      <c r="P526" s="25" t="str">
        <f t="shared" si="79"/>
        <v> - </v>
      </c>
      <c r="Q526" s="25"/>
      <c r="R526" s="25"/>
      <c r="S526" s="25" t="str">
        <f t="shared" si="477"/>
        <v/>
      </c>
      <c r="T526" s="141"/>
      <c r="U526" s="28"/>
    </row>
    <row r="527" ht="15.75" customHeight="1">
      <c r="P527" s="25" t="str">
        <f t="shared" si="79"/>
        <v> - </v>
      </c>
      <c r="Q527" s="25"/>
      <c r="R527" s="25"/>
      <c r="S527" s="25" t="str">
        <f t="shared" si="477"/>
        <v/>
      </c>
      <c r="T527" s="141"/>
      <c r="U527" s="28"/>
    </row>
    <row r="528" ht="15.75" customHeight="1">
      <c r="P528" s="25" t="str">
        <f t="shared" si="79"/>
        <v> - </v>
      </c>
      <c r="Q528" s="25"/>
      <c r="R528" s="25"/>
      <c r="S528" s="25" t="str">
        <f t="shared" si="477"/>
        <v/>
      </c>
      <c r="T528" s="141"/>
      <c r="U528" s="28"/>
    </row>
    <row r="529" ht="15.75" customHeight="1">
      <c r="P529" s="25" t="str">
        <f t="shared" si="79"/>
        <v> - </v>
      </c>
      <c r="Q529" s="25"/>
      <c r="R529" s="25"/>
      <c r="S529" s="25" t="str">
        <f t="shared" si="477"/>
        <v/>
      </c>
      <c r="T529" s="141"/>
      <c r="U529" s="28"/>
    </row>
    <row r="530" ht="15.75" customHeight="1">
      <c r="P530" s="25" t="str">
        <f t="shared" si="79"/>
        <v> - </v>
      </c>
      <c r="Q530" s="25"/>
      <c r="R530" s="25"/>
      <c r="S530" s="25" t="str">
        <f t="shared" si="477"/>
        <v/>
      </c>
      <c r="T530" s="141"/>
      <c r="U530" s="28"/>
    </row>
    <row r="531" ht="15.75" customHeight="1">
      <c r="P531" s="25" t="str">
        <f t="shared" si="79"/>
        <v> - </v>
      </c>
      <c r="Q531" s="25"/>
      <c r="R531" s="25"/>
      <c r="S531" s="25" t="str">
        <f t="shared" si="477"/>
        <v/>
      </c>
      <c r="T531" s="141"/>
      <c r="U531" s="28"/>
    </row>
    <row r="532" ht="15.75" customHeight="1">
      <c r="P532" s="25" t="str">
        <f t="shared" si="79"/>
        <v> - </v>
      </c>
      <c r="Q532" s="25"/>
      <c r="R532" s="25"/>
      <c r="S532" s="25" t="str">
        <f t="shared" si="477"/>
        <v/>
      </c>
      <c r="T532" s="141"/>
      <c r="U532" s="28"/>
    </row>
    <row r="533" ht="15.75" customHeight="1">
      <c r="P533" s="25" t="str">
        <f t="shared" si="79"/>
        <v> - </v>
      </c>
      <c r="Q533" s="25"/>
      <c r="R533" s="25"/>
      <c r="S533" s="25" t="str">
        <f t="shared" si="477"/>
        <v/>
      </c>
      <c r="T533" s="141"/>
      <c r="U533" s="28"/>
    </row>
    <row r="534" ht="15.75" customHeight="1">
      <c r="P534" s="25" t="str">
        <f t="shared" si="79"/>
        <v> - </v>
      </c>
      <c r="Q534" s="25"/>
      <c r="R534" s="25"/>
      <c r="S534" s="25" t="str">
        <f t="shared" si="477"/>
        <v/>
      </c>
      <c r="T534" s="141"/>
      <c r="U534" s="28"/>
    </row>
    <row r="535" ht="15.75" customHeight="1">
      <c r="P535" s="25" t="str">
        <f t="shared" si="79"/>
        <v> - </v>
      </c>
      <c r="Q535" s="25"/>
      <c r="R535" s="25"/>
      <c r="S535" s="25" t="str">
        <f t="shared" si="477"/>
        <v/>
      </c>
      <c r="T535" s="141"/>
      <c r="U535" s="28"/>
    </row>
    <row r="536" ht="15.75" customHeight="1">
      <c r="P536" s="25" t="str">
        <f t="shared" si="79"/>
        <v> - </v>
      </c>
      <c r="Q536" s="25"/>
      <c r="R536" s="25"/>
      <c r="S536" s="25" t="str">
        <f t="shared" si="477"/>
        <v/>
      </c>
      <c r="T536" s="141"/>
      <c r="U536" s="28"/>
    </row>
    <row r="537" ht="15.75" customHeight="1">
      <c r="P537" s="25" t="str">
        <f t="shared" si="79"/>
        <v> - </v>
      </c>
      <c r="Q537" s="25"/>
      <c r="R537" s="25"/>
      <c r="S537" s="25" t="str">
        <f t="shared" si="477"/>
        <v/>
      </c>
      <c r="T537" s="141"/>
      <c r="U537" s="28"/>
    </row>
    <row r="538" ht="15.75" customHeight="1">
      <c r="P538" s="25" t="str">
        <f t="shared" si="79"/>
        <v> - </v>
      </c>
      <c r="Q538" s="25"/>
      <c r="R538" s="25"/>
      <c r="S538" s="25" t="str">
        <f t="shared" si="477"/>
        <v/>
      </c>
      <c r="T538" s="141"/>
      <c r="U538" s="28"/>
    </row>
    <row r="539" ht="15.75" customHeight="1">
      <c r="P539" s="25" t="str">
        <f t="shared" si="79"/>
        <v> - </v>
      </c>
      <c r="Q539" s="25"/>
      <c r="R539" s="25"/>
      <c r="S539" s="25" t="str">
        <f t="shared" si="477"/>
        <v/>
      </c>
      <c r="T539" s="141"/>
      <c r="U539" s="28"/>
    </row>
    <row r="540" ht="15.75" customHeight="1">
      <c r="P540" s="25" t="str">
        <f t="shared" si="79"/>
        <v> - </v>
      </c>
      <c r="Q540" s="25"/>
      <c r="R540" s="25"/>
      <c r="S540" s="25" t="str">
        <f t="shared" si="477"/>
        <v/>
      </c>
      <c r="T540" s="141"/>
      <c r="U540" s="28"/>
    </row>
    <row r="541" ht="15.75" customHeight="1">
      <c r="P541" s="25" t="str">
        <f t="shared" si="79"/>
        <v> - </v>
      </c>
      <c r="Q541" s="25"/>
      <c r="R541" s="25"/>
      <c r="S541" s="25" t="str">
        <f t="shared" si="477"/>
        <v/>
      </c>
      <c r="T541" s="141"/>
      <c r="U541" s="28"/>
    </row>
    <row r="542" ht="15.75" customHeight="1">
      <c r="P542" s="25" t="str">
        <f t="shared" si="79"/>
        <v> - </v>
      </c>
      <c r="Q542" s="25"/>
      <c r="R542" s="25"/>
      <c r="S542" s="25" t="str">
        <f t="shared" si="477"/>
        <v/>
      </c>
      <c r="T542" s="141"/>
      <c r="U542" s="28"/>
    </row>
    <row r="543" ht="15.75" customHeight="1">
      <c r="P543" s="25" t="str">
        <f t="shared" si="79"/>
        <v> - </v>
      </c>
      <c r="Q543" s="25"/>
      <c r="R543" s="25"/>
      <c r="S543" s="25" t="str">
        <f t="shared" si="477"/>
        <v/>
      </c>
      <c r="T543" s="141"/>
      <c r="U543" s="28"/>
    </row>
    <row r="544" ht="15.75" customHeight="1">
      <c r="P544" s="25" t="str">
        <f t="shared" si="79"/>
        <v> - </v>
      </c>
      <c r="Q544" s="25"/>
      <c r="R544" s="25"/>
      <c r="S544" s="25" t="str">
        <f t="shared" si="477"/>
        <v/>
      </c>
      <c r="T544" s="141"/>
      <c r="U544" s="28"/>
    </row>
    <row r="545" ht="15.75" customHeight="1">
      <c r="P545" s="25" t="str">
        <f t="shared" si="79"/>
        <v> - </v>
      </c>
      <c r="Q545" s="25"/>
      <c r="R545" s="25"/>
      <c r="S545" s="25" t="str">
        <f t="shared" si="477"/>
        <v/>
      </c>
      <c r="T545" s="141"/>
      <c r="U545" s="28"/>
    </row>
    <row r="546" ht="15.75" customHeight="1">
      <c r="P546" s="25" t="str">
        <f t="shared" si="79"/>
        <v> - </v>
      </c>
      <c r="Q546" s="25"/>
      <c r="R546" s="25"/>
      <c r="S546" s="25" t="str">
        <f t="shared" si="477"/>
        <v/>
      </c>
      <c r="T546" s="141"/>
      <c r="U546" s="28"/>
    </row>
    <row r="547" ht="15.75" customHeight="1">
      <c r="P547" s="25" t="str">
        <f t="shared" si="79"/>
        <v> - </v>
      </c>
      <c r="Q547" s="25"/>
      <c r="R547" s="25"/>
      <c r="S547" s="25" t="str">
        <f t="shared" si="477"/>
        <v/>
      </c>
      <c r="T547" s="141"/>
      <c r="U547" s="28"/>
    </row>
    <row r="548" ht="15.75" customHeight="1">
      <c r="P548" s="25" t="str">
        <f t="shared" si="79"/>
        <v> - </v>
      </c>
      <c r="Q548" s="25"/>
      <c r="R548" s="25"/>
      <c r="S548" s="25" t="str">
        <f t="shared" si="477"/>
        <v/>
      </c>
      <c r="T548" s="141"/>
      <c r="U548" s="28"/>
    </row>
    <row r="549" ht="15.75" customHeight="1">
      <c r="P549" s="25" t="str">
        <f t="shared" si="79"/>
        <v> - </v>
      </c>
      <c r="Q549" s="25"/>
      <c r="R549" s="25"/>
      <c r="S549" s="25" t="str">
        <f t="shared" si="477"/>
        <v/>
      </c>
      <c r="T549" s="141"/>
      <c r="U549" s="28"/>
    </row>
    <row r="550" ht="15.75" customHeight="1">
      <c r="P550" s="25" t="str">
        <f t="shared" si="79"/>
        <v> - </v>
      </c>
      <c r="Q550" s="25"/>
      <c r="R550" s="25"/>
      <c r="S550" s="25" t="str">
        <f t="shared" si="477"/>
        <v/>
      </c>
      <c r="T550" s="141"/>
      <c r="U550" s="28"/>
    </row>
    <row r="551" ht="15.75" customHeight="1">
      <c r="P551" s="25" t="str">
        <f t="shared" si="79"/>
        <v> - </v>
      </c>
      <c r="Q551" s="25"/>
      <c r="R551" s="25"/>
      <c r="S551" s="25" t="str">
        <f t="shared" si="477"/>
        <v/>
      </c>
      <c r="T551" s="141"/>
      <c r="U551" s="28"/>
    </row>
    <row r="552" ht="15.75" customHeight="1">
      <c r="P552" s="25" t="str">
        <f t="shared" si="79"/>
        <v> - </v>
      </c>
      <c r="Q552" s="25"/>
      <c r="R552" s="25"/>
      <c r="S552" s="25" t="str">
        <f t="shared" si="477"/>
        <v/>
      </c>
      <c r="T552" s="141"/>
      <c r="U552" s="28"/>
    </row>
    <row r="553" ht="15.75" customHeight="1">
      <c r="P553" s="25" t="str">
        <f t="shared" si="79"/>
        <v> - </v>
      </c>
      <c r="Q553" s="25"/>
      <c r="R553" s="25"/>
      <c r="S553" s="25" t="str">
        <f t="shared" si="477"/>
        <v/>
      </c>
      <c r="T553" s="141"/>
      <c r="U553" s="28"/>
    </row>
    <row r="554" ht="15.75" customHeight="1">
      <c r="P554" s="25" t="str">
        <f t="shared" si="79"/>
        <v> - </v>
      </c>
      <c r="Q554" s="25"/>
      <c r="R554" s="25"/>
      <c r="S554" s="25" t="str">
        <f t="shared" si="477"/>
        <v/>
      </c>
      <c r="T554" s="141"/>
      <c r="U554" s="28"/>
    </row>
    <row r="555" ht="15.75" customHeight="1">
      <c r="P555" s="25" t="str">
        <f t="shared" si="79"/>
        <v> - </v>
      </c>
      <c r="Q555" s="25"/>
      <c r="R555" s="25"/>
      <c r="S555" s="25" t="str">
        <f t="shared" si="477"/>
        <v/>
      </c>
      <c r="T555" s="141"/>
      <c r="U555" s="28"/>
    </row>
    <row r="556" ht="15.75" customHeight="1">
      <c r="P556" s="25" t="str">
        <f t="shared" si="79"/>
        <v> - </v>
      </c>
      <c r="Q556" s="25"/>
      <c r="R556" s="25"/>
      <c r="S556" s="25" t="str">
        <f t="shared" si="477"/>
        <v/>
      </c>
      <c r="T556" s="141"/>
      <c r="U556" s="28"/>
    </row>
    <row r="557" ht="15.75" customHeight="1">
      <c r="P557" s="25" t="str">
        <f t="shared" si="79"/>
        <v> - </v>
      </c>
      <c r="Q557" s="25"/>
      <c r="R557" s="25"/>
      <c r="S557" s="25" t="str">
        <f t="shared" si="477"/>
        <v/>
      </c>
      <c r="T557" s="141"/>
      <c r="U557" s="28"/>
    </row>
    <row r="558" ht="15.75" customHeight="1">
      <c r="P558" s="25" t="str">
        <f t="shared" si="79"/>
        <v> - </v>
      </c>
      <c r="Q558" s="25"/>
      <c r="R558" s="25"/>
      <c r="S558" s="25" t="str">
        <f t="shared" si="477"/>
        <v/>
      </c>
      <c r="T558" s="141"/>
      <c r="U558" s="28"/>
    </row>
    <row r="559" ht="15.75" customHeight="1">
      <c r="P559" s="25" t="str">
        <f t="shared" si="79"/>
        <v> - </v>
      </c>
      <c r="Q559" s="25"/>
      <c r="R559" s="25"/>
      <c r="S559" s="25" t="str">
        <f t="shared" si="477"/>
        <v/>
      </c>
      <c r="T559" s="141"/>
      <c r="U559" s="28"/>
    </row>
    <row r="560" ht="15.75" customHeight="1">
      <c r="P560" s="25" t="str">
        <f t="shared" si="79"/>
        <v> - </v>
      </c>
      <c r="Q560" s="25"/>
      <c r="R560" s="25"/>
      <c r="S560" s="25" t="str">
        <f t="shared" si="477"/>
        <v/>
      </c>
      <c r="T560" s="141"/>
      <c r="U560" s="28"/>
    </row>
    <row r="561" ht="15.75" customHeight="1">
      <c r="P561" s="25" t="str">
        <f t="shared" si="79"/>
        <v> - </v>
      </c>
      <c r="Q561" s="25"/>
      <c r="R561" s="25"/>
      <c r="S561" s="25" t="str">
        <f t="shared" si="477"/>
        <v/>
      </c>
      <c r="T561" s="141"/>
      <c r="U561" s="28"/>
    </row>
    <row r="562" ht="15.75" customHeight="1">
      <c r="P562" s="25" t="str">
        <f t="shared" si="79"/>
        <v> - </v>
      </c>
      <c r="Q562" s="25"/>
      <c r="R562" s="25"/>
      <c r="S562" s="25" t="str">
        <f t="shared" si="477"/>
        <v/>
      </c>
      <c r="T562" s="141"/>
      <c r="U562" s="28"/>
    </row>
    <row r="563" ht="15.75" customHeight="1">
      <c r="P563" s="25" t="str">
        <f t="shared" si="79"/>
        <v> - </v>
      </c>
      <c r="Q563" s="25"/>
      <c r="R563" s="25"/>
      <c r="S563" s="25" t="str">
        <f t="shared" si="477"/>
        <v/>
      </c>
      <c r="T563" s="141"/>
      <c r="U563" s="28"/>
    </row>
    <row r="564" ht="15.75" customHeight="1">
      <c r="P564" s="25" t="str">
        <f t="shared" si="79"/>
        <v> - </v>
      </c>
      <c r="Q564" s="25"/>
      <c r="R564" s="25"/>
      <c r="S564" s="25" t="str">
        <f t="shared" si="477"/>
        <v/>
      </c>
      <c r="T564" s="141"/>
      <c r="U564" s="28"/>
    </row>
    <row r="565" ht="15.75" customHeight="1">
      <c r="P565" s="25" t="str">
        <f t="shared" si="79"/>
        <v> - </v>
      </c>
      <c r="Q565" s="25"/>
      <c r="R565" s="25"/>
      <c r="S565" s="25" t="str">
        <f t="shared" si="477"/>
        <v/>
      </c>
      <c r="T565" s="141"/>
      <c r="U565" s="28"/>
    </row>
    <row r="566" ht="15.75" customHeight="1">
      <c r="P566" s="25" t="str">
        <f t="shared" si="79"/>
        <v> - </v>
      </c>
      <c r="Q566" s="25"/>
      <c r="R566" s="25"/>
      <c r="S566" s="25" t="str">
        <f t="shared" si="477"/>
        <v/>
      </c>
      <c r="T566" s="141"/>
      <c r="U566" s="28"/>
    </row>
    <row r="567" ht="15.75" customHeight="1">
      <c r="P567" s="25" t="str">
        <f t="shared" si="79"/>
        <v> - </v>
      </c>
      <c r="Q567" s="25"/>
      <c r="R567" s="25"/>
      <c r="S567" s="25" t="str">
        <f t="shared" si="477"/>
        <v/>
      </c>
      <c r="T567" s="141"/>
      <c r="U567" s="28"/>
    </row>
    <row r="568" ht="15.75" customHeight="1">
      <c r="P568" s="25" t="str">
        <f t="shared" si="79"/>
        <v> - </v>
      </c>
      <c r="Q568" s="25"/>
      <c r="R568" s="25"/>
      <c r="S568" s="25" t="str">
        <f t="shared" si="477"/>
        <v/>
      </c>
      <c r="T568" s="141"/>
      <c r="U568" s="28"/>
    </row>
    <row r="569" ht="15.75" customHeight="1">
      <c r="P569" s="25" t="str">
        <f t="shared" si="79"/>
        <v> - </v>
      </c>
      <c r="Q569" s="25"/>
      <c r="R569" s="25"/>
      <c r="S569" s="25" t="str">
        <f t="shared" si="477"/>
        <v/>
      </c>
      <c r="T569" s="141"/>
      <c r="U569" s="28"/>
    </row>
    <row r="570" ht="15.75" customHeight="1">
      <c r="P570" s="25" t="str">
        <f t="shared" si="79"/>
        <v> - </v>
      </c>
      <c r="Q570" s="25"/>
      <c r="R570" s="25"/>
      <c r="S570" s="25" t="str">
        <f t="shared" si="477"/>
        <v/>
      </c>
      <c r="T570" s="141"/>
      <c r="U570" s="28"/>
    </row>
    <row r="571" ht="15.75" customHeight="1">
      <c r="P571" s="25" t="str">
        <f t="shared" si="79"/>
        <v> - </v>
      </c>
      <c r="Q571" s="25"/>
      <c r="R571" s="25"/>
      <c r="S571" s="25" t="str">
        <f t="shared" si="477"/>
        <v/>
      </c>
      <c r="T571" s="141"/>
      <c r="U571" s="28"/>
    </row>
    <row r="572" ht="15.75" customHeight="1">
      <c r="P572" s="25" t="str">
        <f t="shared" si="79"/>
        <v> - </v>
      </c>
      <c r="Q572" s="25"/>
      <c r="R572" s="25"/>
      <c r="S572" s="25" t="str">
        <f t="shared" si="477"/>
        <v/>
      </c>
      <c r="T572" s="141"/>
      <c r="U572" s="28"/>
    </row>
    <row r="573" ht="15.75" customHeight="1">
      <c r="P573" s="25" t="str">
        <f t="shared" si="79"/>
        <v> - </v>
      </c>
      <c r="Q573" s="25"/>
      <c r="R573" s="25"/>
      <c r="S573" s="25" t="str">
        <f t="shared" si="477"/>
        <v/>
      </c>
      <c r="T573" s="141"/>
      <c r="U573" s="28"/>
    </row>
    <row r="574" ht="15.75" customHeight="1">
      <c r="P574" s="25" t="str">
        <f t="shared" si="79"/>
        <v> - </v>
      </c>
      <c r="Q574" s="25"/>
      <c r="R574" s="25"/>
      <c r="S574" s="25" t="str">
        <f t="shared" si="477"/>
        <v/>
      </c>
      <c r="T574" s="141"/>
      <c r="U574" s="28"/>
    </row>
    <row r="575" ht="15.75" customHeight="1">
      <c r="P575" s="25" t="str">
        <f t="shared" si="79"/>
        <v> - </v>
      </c>
      <c r="Q575" s="25"/>
      <c r="R575" s="25"/>
      <c r="S575" s="25" t="str">
        <f t="shared" si="477"/>
        <v/>
      </c>
      <c r="T575" s="141"/>
      <c r="U575" s="28"/>
    </row>
    <row r="576" ht="15.75" customHeight="1">
      <c r="P576" s="25" t="str">
        <f t="shared" si="79"/>
        <v> - </v>
      </c>
      <c r="Q576" s="25"/>
      <c r="R576" s="25"/>
      <c r="S576" s="25" t="str">
        <f t="shared" si="477"/>
        <v/>
      </c>
      <c r="T576" s="141"/>
      <c r="U576" s="28"/>
    </row>
    <row r="577" ht="15.75" customHeight="1">
      <c r="P577" s="25" t="str">
        <f t="shared" si="79"/>
        <v> - </v>
      </c>
      <c r="Q577" s="25"/>
      <c r="R577" s="25"/>
      <c r="S577" s="25" t="str">
        <f t="shared" si="477"/>
        <v/>
      </c>
      <c r="T577" s="141"/>
      <c r="U577" s="28"/>
    </row>
    <row r="578" ht="15.75" customHeight="1">
      <c r="P578" s="25" t="str">
        <f t="shared" si="79"/>
        <v> - </v>
      </c>
      <c r="Q578" s="25"/>
      <c r="R578" s="25"/>
      <c r="S578" s="25" t="str">
        <f t="shared" si="477"/>
        <v/>
      </c>
      <c r="T578" s="141"/>
      <c r="U578" s="28"/>
    </row>
    <row r="579" ht="15.75" customHeight="1">
      <c r="P579" s="25" t="str">
        <f t="shared" si="79"/>
        <v> - </v>
      </c>
      <c r="Q579" s="25"/>
      <c r="R579" s="25"/>
      <c r="S579" s="25" t="str">
        <f t="shared" si="477"/>
        <v/>
      </c>
      <c r="T579" s="141"/>
      <c r="U579" s="28"/>
    </row>
    <row r="580" ht="15.75" customHeight="1">
      <c r="P580" s="25" t="str">
        <f t="shared" si="79"/>
        <v> - </v>
      </c>
      <c r="Q580" s="25"/>
      <c r="R580" s="25"/>
      <c r="S580" s="25" t="str">
        <f t="shared" si="477"/>
        <v/>
      </c>
      <c r="T580" s="141"/>
      <c r="U580" s="28"/>
    </row>
    <row r="581" ht="15.75" customHeight="1">
      <c r="P581" s="25" t="str">
        <f t="shared" si="79"/>
        <v> - </v>
      </c>
      <c r="Q581" s="25"/>
      <c r="R581" s="25"/>
      <c r="S581" s="25" t="str">
        <f t="shared" si="477"/>
        <v/>
      </c>
      <c r="T581" s="141"/>
      <c r="U581" s="28"/>
    </row>
    <row r="582" ht="15.75" customHeight="1">
      <c r="P582" s="25" t="str">
        <f t="shared" si="79"/>
        <v> - </v>
      </c>
      <c r="Q582" s="25"/>
      <c r="R582" s="25"/>
      <c r="S582" s="25" t="str">
        <f t="shared" si="477"/>
        <v/>
      </c>
      <c r="T582" s="141"/>
      <c r="U582" s="28"/>
    </row>
    <row r="583" ht="15.75" customHeight="1">
      <c r="P583" s="25" t="str">
        <f t="shared" si="79"/>
        <v> - </v>
      </c>
      <c r="Q583" s="25"/>
      <c r="R583" s="25"/>
      <c r="S583" s="25" t="str">
        <f t="shared" si="477"/>
        <v/>
      </c>
      <c r="T583" s="141"/>
      <c r="U583" s="28"/>
    </row>
    <row r="584" ht="15.75" customHeight="1">
      <c r="P584" s="25" t="str">
        <f t="shared" si="79"/>
        <v> - </v>
      </c>
      <c r="Q584" s="25"/>
      <c r="R584" s="25"/>
      <c r="S584" s="25" t="str">
        <f t="shared" si="477"/>
        <v/>
      </c>
      <c r="T584" s="141"/>
      <c r="U584" s="28"/>
    </row>
    <row r="585" ht="15.75" customHeight="1">
      <c r="P585" s="25" t="str">
        <f t="shared" si="79"/>
        <v> - </v>
      </c>
      <c r="Q585" s="25"/>
      <c r="R585" s="25"/>
      <c r="S585" s="25" t="str">
        <f t="shared" si="477"/>
        <v/>
      </c>
      <c r="T585" s="141"/>
      <c r="U585" s="28"/>
    </row>
    <row r="586" ht="15.75" customHeight="1">
      <c r="P586" s="25" t="str">
        <f t="shared" si="79"/>
        <v> - </v>
      </c>
      <c r="Q586" s="25"/>
      <c r="R586" s="25"/>
      <c r="S586" s="25" t="str">
        <f t="shared" si="477"/>
        <v/>
      </c>
      <c r="T586" s="141"/>
      <c r="U586" s="28"/>
    </row>
    <row r="587" ht="15.75" customHeight="1">
      <c r="P587" s="25" t="str">
        <f t="shared" si="79"/>
        <v> - </v>
      </c>
      <c r="Q587" s="25"/>
      <c r="R587" s="25"/>
      <c r="S587" s="25" t="str">
        <f t="shared" si="477"/>
        <v/>
      </c>
      <c r="T587" s="141"/>
      <c r="U587" s="28"/>
    </row>
    <row r="588" ht="15.75" customHeight="1">
      <c r="P588" s="25" t="str">
        <f t="shared" si="79"/>
        <v> - </v>
      </c>
      <c r="Q588" s="25"/>
      <c r="R588" s="25"/>
      <c r="S588" s="25" t="str">
        <f t="shared" si="477"/>
        <v/>
      </c>
      <c r="T588" s="141"/>
      <c r="U588" s="28"/>
    </row>
    <row r="589" ht="15.75" customHeight="1">
      <c r="P589" s="25" t="str">
        <f t="shared" si="79"/>
        <v> - </v>
      </c>
      <c r="Q589" s="25"/>
      <c r="R589" s="25"/>
      <c r="S589" s="25" t="str">
        <f t="shared" si="477"/>
        <v/>
      </c>
      <c r="T589" s="141"/>
      <c r="U589" s="28"/>
    </row>
    <row r="590" ht="15.75" customHeight="1">
      <c r="P590" s="25" t="str">
        <f t="shared" si="79"/>
        <v> - </v>
      </c>
      <c r="Q590" s="25"/>
      <c r="R590" s="25"/>
      <c r="S590" s="25" t="str">
        <f t="shared" si="477"/>
        <v/>
      </c>
      <c r="T590" s="141"/>
      <c r="U590" s="28"/>
    </row>
    <row r="591" ht="15.75" customHeight="1">
      <c r="P591" s="25" t="str">
        <f t="shared" si="79"/>
        <v> - </v>
      </c>
      <c r="Q591" s="25"/>
      <c r="R591" s="25"/>
      <c r="S591" s="25" t="str">
        <f t="shared" si="477"/>
        <v/>
      </c>
      <c r="T591" s="141"/>
      <c r="U591" s="28"/>
    </row>
    <row r="592" ht="15.75" customHeight="1">
      <c r="P592" s="25" t="str">
        <f t="shared" si="79"/>
        <v> - </v>
      </c>
      <c r="Q592" s="25"/>
      <c r="R592" s="25"/>
      <c r="S592" s="25" t="str">
        <f t="shared" si="477"/>
        <v/>
      </c>
      <c r="T592" s="141"/>
      <c r="U592" s="28"/>
    </row>
    <row r="593" ht="15.75" customHeight="1">
      <c r="P593" s="25" t="str">
        <f t="shared" si="79"/>
        <v> - </v>
      </c>
      <c r="Q593" s="25"/>
      <c r="R593" s="25"/>
      <c r="S593" s="25" t="str">
        <f t="shared" si="477"/>
        <v/>
      </c>
      <c r="T593" s="141"/>
      <c r="U593" s="28"/>
    </row>
    <row r="594" ht="15.75" customHeight="1">
      <c r="P594" s="25" t="str">
        <f t="shared" si="79"/>
        <v> - </v>
      </c>
      <c r="Q594" s="25"/>
      <c r="R594" s="25"/>
      <c r="S594" s="25" t="str">
        <f t="shared" si="477"/>
        <v/>
      </c>
      <c r="T594" s="141"/>
      <c r="U594" s="28"/>
    </row>
    <row r="595" ht="15.75" customHeight="1">
      <c r="P595" s="25" t="str">
        <f t="shared" si="79"/>
        <v> - </v>
      </c>
      <c r="Q595" s="25"/>
      <c r="R595" s="25"/>
      <c r="S595" s="25" t="str">
        <f t="shared" si="477"/>
        <v/>
      </c>
      <c r="T595" s="141"/>
      <c r="U595" s="28"/>
    </row>
    <row r="596" ht="15.75" customHeight="1">
      <c r="P596" s="25" t="str">
        <f t="shared" si="79"/>
        <v> - </v>
      </c>
      <c r="Q596" s="25"/>
      <c r="R596" s="25"/>
      <c r="S596" s="25" t="str">
        <f t="shared" si="477"/>
        <v/>
      </c>
      <c r="T596" s="141"/>
      <c r="U596" s="28"/>
    </row>
    <row r="597" ht="15.75" customHeight="1">
      <c r="P597" s="25" t="str">
        <f t="shared" si="79"/>
        <v> - </v>
      </c>
      <c r="Q597" s="25"/>
      <c r="R597" s="25"/>
      <c r="S597" s="25" t="str">
        <f t="shared" si="477"/>
        <v/>
      </c>
      <c r="T597" s="141"/>
      <c r="U597" s="28"/>
    </row>
    <row r="598" ht="15.75" customHeight="1">
      <c r="P598" s="25" t="str">
        <f t="shared" si="79"/>
        <v> - </v>
      </c>
      <c r="Q598" s="25"/>
      <c r="R598" s="25"/>
      <c r="S598" s="25" t="str">
        <f t="shared" si="477"/>
        <v/>
      </c>
      <c r="T598" s="141"/>
      <c r="U598" s="28"/>
    </row>
    <row r="599" ht="15.75" customHeight="1">
      <c r="P599" s="25" t="str">
        <f t="shared" si="79"/>
        <v> - </v>
      </c>
      <c r="Q599" s="25"/>
      <c r="R599" s="25"/>
      <c r="S599" s="25" t="str">
        <f t="shared" si="477"/>
        <v/>
      </c>
      <c r="T599" s="141"/>
      <c r="U599" s="28"/>
    </row>
    <row r="600" ht="15.75" customHeight="1">
      <c r="P600" s="25" t="str">
        <f t="shared" si="79"/>
        <v> - </v>
      </c>
      <c r="Q600" s="25"/>
      <c r="R600" s="25"/>
      <c r="S600" s="25" t="str">
        <f t="shared" si="477"/>
        <v/>
      </c>
      <c r="T600" s="141"/>
      <c r="U600" s="28"/>
    </row>
    <row r="601" ht="15.75" customHeight="1">
      <c r="P601" s="25" t="str">
        <f t="shared" si="79"/>
        <v> - </v>
      </c>
      <c r="Q601" s="25"/>
      <c r="R601" s="25"/>
      <c r="S601" s="25" t="str">
        <f t="shared" si="477"/>
        <v/>
      </c>
      <c r="T601" s="141"/>
      <c r="U601" s="28"/>
    </row>
    <row r="602" ht="15.75" customHeight="1">
      <c r="P602" s="25" t="str">
        <f t="shared" si="79"/>
        <v> - </v>
      </c>
      <c r="Q602" s="25"/>
      <c r="R602" s="25"/>
      <c r="S602" s="25" t="str">
        <f t="shared" si="477"/>
        <v/>
      </c>
      <c r="T602" s="141"/>
      <c r="U602" s="28"/>
    </row>
    <row r="603" ht="15.75" customHeight="1">
      <c r="P603" s="25" t="str">
        <f t="shared" si="79"/>
        <v> - </v>
      </c>
      <c r="Q603" s="25"/>
      <c r="R603" s="25"/>
      <c r="S603" s="25" t="str">
        <f t="shared" si="477"/>
        <v/>
      </c>
      <c r="T603" s="141"/>
      <c r="U603" s="28"/>
    </row>
    <row r="604" ht="15.75" customHeight="1">
      <c r="P604" s="25" t="str">
        <f t="shared" si="79"/>
        <v> - </v>
      </c>
      <c r="Q604" s="25"/>
      <c r="R604" s="25"/>
      <c r="S604" s="25" t="str">
        <f t="shared" si="477"/>
        <v/>
      </c>
      <c r="T604" s="141"/>
      <c r="U604" s="28"/>
    </row>
    <row r="605" ht="15.75" customHeight="1">
      <c r="P605" s="25" t="str">
        <f t="shared" si="79"/>
        <v> - </v>
      </c>
      <c r="Q605" s="25"/>
      <c r="R605" s="25"/>
      <c r="S605" s="25" t="str">
        <f t="shared" si="477"/>
        <v/>
      </c>
      <c r="T605" s="141"/>
      <c r="U605" s="28"/>
    </row>
    <row r="606" ht="15.75" customHeight="1">
      <c r="P606" s="25" t="str">
        <f t="shared" si="79"/>
        <v> - </v>
      </c>
      <c r="Q606" s="25"/>
      <c r="R606" s="25"/>
      <c r="S606" s="25" t="str">
        <f t="shared" si="477"/>
        <v/>
      </c>
      <c r="T606" s="141"/>
      <c r="U606" s="28"/>
    </row>
    <row r="607" ht="15.75" customHeight="1">
      <c r="P607" s="25" t="str">
        <f t="shared" si="79"/>
        <v> - </v>
      </c>
      <c r="Q607" s="25"/>
      <c r="R607" s="25"/>
      <c r="S607" s="25" t="str">
        <f t="shared" si="477"/>
        <v/>
      </c>
      <c r="T607" s="141"/>
      <c r="U607" s="28"/>
    </row>
    <row r="608" ht="15.75" customHeight="1">
      <c r="P608" s="25" t="str">
        <f t="shared" si="79"/>
        <v> - </v>
      </c>
      <c r="Q608" s="25"/>
      <c r="R608" s="25"/>
      <c r="S608" s="25" t="str">
        <f t="shared" si="477"/>
        <v/>
      </c>
      <c r="T608" s="141"/>
      <c r="U608" s="28"/>
    </row>
    <row r="609" ht="15.75" customHeight="1">
      <c r="P609" s="25" t="str">
        <f t="shared" si="79"/>
        <v> - </v>
      </c>
      <c r="Q609" s="25"/>
      <c r="R609" s="25"/>
      <c r="S609" s="25" t="str">
        <f t="shared" si="477"/>
        <v/>
      </c>
      <c r="T609" s="141"/>
      <c r="U609" s="28"/>
    </row>
    <row r="610" ht="15.75" customHeight="1">
      <c r="P610" s="25" t="str">
        <f t="shared" si="79"/>
        <v> - </v>
      </c>
      <c r="Q610" s="25"/>
      <c r="R610" s="25"/>
      <c r="S610" s="25" t="str">
        <f t="shared" si="477"/>
        <v/>
      </c>
      <c r="T610" s="141"/>
      <c r="U610" s="28"/>
    </row>
    <row r="611" ht="15.75" customHeight="1">
      <c r="P611" s="25" t="str">
        <f t="shared" si="79"/>
        <v> - </v>
      </c>
      <c r="Q611" s="25"/>
      <c r="R611" s="25"/>
      <c r="S611" s="25" t="str">
        <f t="shared" si="477"/>
        <v/>
      </c>
      <c r="T611" s="141"/>
      <c r="U611" s="28"/>
    </row>
    <row r="612" ht="15.75" customHeight="1">
      <c r="P612" s="25" t="str">
        <f t="shared" si="79"/>
        <v> - </v>
      </c>
      <c r="Q612" s="25"/>
      <c r="R612" s="25"/>
      <c r="S612" s="25" t="str">
        <f t="shared" si="477"/>
        <v/>
      </c>
      <c r="T612" s="141"/>
      <c r="U612" s="28"/>
    </row>
    <row r="613" ht="15.75" customHeight="1">
      <c r="P613" s="25" t="str">
        <f t="shared" si="79"/>
        <v> - </v>
      </c>
      <c r="Q613" s="25"/>
      <c r="R613" s="25"/>
      <c r="S613" s="25" t="str">
        <f t="shared" si="477"/>
        <v/>
      </c>
      <c r="T613" s="141"/>
      <c r="U613" s="28"/>
    </row>
    <row r="614" ht="15.75" customHeight="1">
      <c r="P614" s="25" t="str">
        <f t="shared" si="79"/>
        <v> - </v>
      </c>
      <c r="Q614" s="25"/>
      <c r="R614" s="25"/>
      <c r="S614" s="25" t="str">
        <f t="shared" si="477"/>
        <v/>
      </c>
      <c r="T614" s="141"/>
      <c r="U614" s="28"/>
    </row>
    <row r="615" ht="15.75" customHeight="1">
      <c r="P615" s="25"/>
      <c r="Q615" s="25"/>
      <c r="R615" s="25"/>
      <c r="S615" s="25" t="str">
        <f t="shared" si="477"/>
        <v/>
      </c>
      <c r="T615" s="141"/>
      <c r="U615" s="28"/>
    </row>
    <row r="616" ht="15.75" customHeight="1">
      <c r="P616" s="25"/>
      <c r="Q616" s="25"/>
      <c r="R616" s="25"/>
      <c r="S616" s="25" t="str">
        <f t="shared" si="477"/>
        <v/>
      </c>
      <c r="T616" s="141"/>
      <c r="U616" s="28"/>
    </row>
    <row r="617" ht="15.75" customHeight="1">
      <c r="P617" s="25"/>
      <c r="Q617" s="25"/>
      <c r="R617" s="25"/>
      <c r="S617" s="25" t="str">
        <f t="shared" si="477"/>
        <v/>
      </c>
      <c r="T617" s="141"/>
      <c r="U617" s="28"/>
    </row>
    <row r="618" ht="15.75" customHeight="1">
      <c r="P618" s="25"/>
      <c r="Q618" s="25"/>
      <c r="R618" s="25"/>
      <c r="S618" s="25" t="str">
        <f t="shared" si="477"/>
        <v/>
      </c>
      <c r="T618" s="141"/>
      <c r="U618" s="28"/>
    </row>
    <row r="619" ht="15.75" customHeight="1">
      <c r="P619" s="25"/>
      <c r="Q619" s="25"/>
      <c r="R619" s="25"/>
      <c r="S619" s="25" t="str">
        <f t="shared" si="477"/>
        <v/>
      </c>
      <c r="T619" s="141"/>
      <c r="U619" s="28"/>
    </row>
    <row r="620" ht="15.75" customHeight="1">
      <c r="P620" s="25"/>
      <c r="Q620" s="25"/>
      <c r="R620" s="25"/>
      <c r="S620" s="25" t="str">
        <f t="shared" si="477"/>
        <v/>
      </c>
      <c r="T620" s="141"/>
      <c r="U620" s="28"/>
    </row>
    <row r="621" ht="15.75" customHeight="1">
      <c r="P621" s="25"/>
      <c r="Q621" s="25"/>
      <c r="R621" s="25"/>
      <c r="S621" s="25" t="str">
        <f t="shared" si="477"/>
        <v/>
      </c>
      <c r="T621" s="141"/>
      <c r="U621" s="28"/>
    </row>
    <row r="622" ht="15.75" customHeight="1">
      <c r="P622" s="25"/>
      <c r="Q622" s="25"/>
      <c r="R622" s="25"/>
      <c r="S622" s="25" t="str">
        <f t="shared" si="477"/>
        <v/>
      </c>
      <c r="T622" s="141"/>
      <c r="U622" s="28"/>
    </row>
    <row r="623" ht="15.75" customHeight="1">
      <c r="P623" s="25"/>
      <c r="Q623" s="25"/>
      <c r="R623" s="25"/>
      <c r="S623" s="25" t="str">
        <f t="shared" si="477"/>
        <v/>
      </c>
      <c r="T623" s="141"/>
      <c r="U623" s="28"/>
    </row>
    <row r="624" ht="15.75" customHeight="1">
      <c r="P624" s="25"/>
      <c r="Q624" s="25"/>
      <c r="R624" s="25"/>
      <c r="S624" s="25" t="str">
        <f t="shared" si="477"/>
        <v/>
      </c>
      <c r="T624" s="141"/>
      <c r="U624" s="28"/>
    </row>
    <row r="625" ht="15.75" customHeight="1">
      <c r="P625" s="25"/>
      <c r="Q625" s="25"/>
      <c r="R625" s="25"/>
      <c r="S625" s="25" t="str">
        <f t="shared" si="477"/>
        <v/>
      </c>
      <c r="T625" s="141"/>
      <c r="U625" s="28"/>
    </row>
    <row r="626" ht="15.75" customHeight="1">
      <c r="P626" s="25"/>
      <c r="Q626" s="25"/>
      <c r="R626" s="25"/>
      <c r="S626" s="25" t="str">
        <f t="shared" si="477"/>
        <v/>
      </c>
      <c r="T626" s="141"/>
      <c r="U626" s="28"/>
    </row>
    <row r="627" ht="15.75" customHeight="1">
      <c r="P627" s="25"/>
      <c r="Q627" s="25"/>
      <c r="R627" s="25"/>
      <c r="S627" s="25" t="str">
        <f t="shared" si="477"/>
        <v/>
      </c>
      <c r="T627" s="141"/>
      <c r="U627" s="28"/>
    </row>
    <row r="628" ht="15.75" customHeight="1">
      <c r="P628" s="25"/>
      <c r="Q628" s="25"/>
      <c r="R628" s="25"/>
      <c r="S628" s="25" t="str">
        <f t="shared" si="477"/>
        <v/>
      </c>
      <c r="T628" s="141"/>
      <c r="U628" s="28"/>
    </row>
    <row r="629" ht="15.75" customHeight="1">
      <c r="P629" s="25"/>
      <c r="Q629" s="25"/>
      <c r="R629" s="25"/>
      <c r="S629" s="25" t="str">
        <f t="shared" si="477"/>
        <v/>
      </c>
      <c r="T629" s="141"/>
      <c r="U629" s="28"/>
    </row>
    <row r="630" ht="15.75" customHeight="1">
      <c r="P630" s="25"/>
      <c r="Q630" s="25"/>
      <c r="R630" s="25"/>
      <c r="S630" s="25" t="str">
        <f t="shared" si="477"/>
        <v/>
      </c>
      <c r="T630" s="141"/>
      <c r="U630" s="28"/>
    </row>
    <row r="631" ht="15.75" customHeight="1">
      <c r="P631" s="25"/>
      <c r="Q631" s="25"/>
      <c r="R631" s="25"/>
      <c r="S631" s="25" t="str">
        <f t="shared" si="477"/>
        <v/>
      </c>
      <c r="T631" s="141"/>
      <c r="U631" s="28"/>
    </row>
    <row r="632" ht="15.75" customHeight="1">
      <c r="P632" s="25"/>
      <c r="Q632" s="25"/>
      <c r="R632" s="25"/>
      <c r="S632" s="25" t="str">
        <f t="shared" si="477"/>
        <v/>
      </c>
      <c r="T632" s="141"/>
      <c r="U632" s="28"/>
    </row>
    <row r="633" ht="15.75" customHeight="1">
      <c r="P633" s="25"/>
      <c r="Q633" s="25"/>
      <c r="R633" s="25"/>
      <c r="S633" s="25" t="str">
        <f t="shared" si="477"/>
        <v/>
      </c>
      <c r="T633" s="141"/>
      <c r="U633" s="28"/>
    </row>
    <row r="634" ht="15.75" customHeight="1">
      <c r="P634" s="25"/>
      <c r="Q634" s="25"/>
      <c r="R634" s="25"/>
      <c r="S634" s="25" t="str">
        <f t="shared" si="477"/>
        <v/>
      </c>
      <c r="T634" s="141"/>
      <c r="U634" s="28"/>
    </row>
    <row r="635" ht="15.75" customHeight="1">
      <c r="P635" s="25"/>
      <c r="Q635" s="25"/>
      <c r="R635" s="25"/>
      <c r="S635" s="25" t="str">
        <f t="shared" si="477"/>
        <v/>
      </c>
      <c r="T635" s="141"/>
      <c r="U635" s="28"/>
    </row>
    <row r="636" ht="15.75" customHeight="1">
      <c r="P636" s="25"/>
      <c r="Q636" s="25"/>
      <c r="R636" s="25"/>
      <c r="S636" s="25" t="str">
        <f t="shared" si="477"/>
        <v/>
      </c>
      <c r="T636" s="141"/>
      <c r="U636" s="28"/>
    </row>
    <row r="637" ht="15.75" customHeight="1">
      <c r="P637" s="25"/>
      <c r="Q637" s="25"/>
      <c r="R637" s="25"/>
      <c r="S637" s="25" t="str">
        <f t="shared" si="477"/>
        <v/>
      </c>
      <c r="T637" s="141"/>
      <c r="U637" s="28"/>
    </row>
    <row r="638" ht="15.75" customHeight="1">
      <c r="P638" s="25"/>
      <c r="Q638" s="25"/>
      <c r="R638" s="25"/>
      <c r="S638" s="25" t="str">
        <f t="shared" si="477"/>
        <v/>
      </c>
      <c r="T638" s="141"/>
      <c r="U638" s="28"/>
    </row>
    <row r="639" ht="15.75" customHeight="1">
      <c r="P639" s="25"/>
      <c r="Q639" s="25"/>
      <c r="R639" s="25"/>
      <c r="S639" s="25" t="str">
        <f t="shared" si="477"/>
        <v/>
      </c>
      <c r="T639" s="141"/>
      <c r="U639" s="28"/>
    </row>
    <row r="640" ht="15.75" customHeight="1">
      <c r="P640" s="25"/>
      <c r="Q640" s="25"/>
      <c r="R640" s="25"/>
      <c r="S640" s="25" t="str">
        <f t="shared" si="477"/>
        <v/>
      </c>
      <c r="T640" s="141"/>
      <c r="U640" s="28"/>
    </row>
    <row r="641" ht="15.75" customHeight="1">
      <c r="P641" s="25"/>
      <c r="Q641" s="25"/>
      <c r="R641" s="25"/>
      <c r="S641" s="25" t="str">
        <f t="shared" si="477"/>
        <v/>
      </c>
      <c r="T641" s="141"/>
      <c r="U641" s="28"/>
    </row>
    <row r="642" ht="15.75" customHeight="1">
      <c r="P642" s="25"/>
      <c r="Q642" s="25"/>
      <c r="R642" s="25"/>
      <c r="S642" s="25" t="str">
        <f t="shared" si="477"/>
        <v/>
      </c>
      <c r="T642" s="141"/>
      <c r="U642" s="28"/>
    </row>
    <row r="643" ht="15.75" customHeight="1">
      <c r="P643" s="25"/>
      <c r="Q643" s="25"/>
      <c r="R643" s="25"/>
      <c r="S643" s="25" t="str">
        <f t="shared" si="477"/>
        <v/>
      </c>
      <c r="T643" s="141"/>
      <c r="U643" s="28"/>
    </row>
    <row r="644" ht="15.75" customHeight="1">
      <c r="P644" s="25"/>
      <c r="Q644" s="25"/>
      <c r="R644" s="25"/>
      <c r="S644" s="25" t="str">
        <f t="shared" si="477"/>
        <v/>
      </c>
      <c r="T644" s="141"/>
      <c r="U644" s="28"/>
    </row>
    <row r="645" ht="15.75" customHeight="1">
      <c r="P645" s="25"/>
      <c r="Q645" s="25"/>
      <c r="R645" s="25"/>
      <c r="S645" s="25" t="str">
        <f t="shared" si="477"/>
        <v/>
      </c>
      <c r="T645" s="141"/>
      <c r="U645" s="28"/>
    </row>
    <row r="646" ht="15.75" customHeight="1">
      <c r="P646" s="25"/>
      <c r="Q646" s="25"/>
      <c r="R646" s="25"/>
      <c r="S646" s="25" t="str">
        <f t="shared" si="477"/>
        <v/>
      </c>
      <c r="T646" s="141"/>
      <c r="U646" s="28"/>
    </row>
    <row r="647" ht="15.75" customHeight="1">
      <c r="P647" s="25"/>
      <c r="Q647" s="25"/>
      <c r="R647" s="25"/>
      <c r="S647" s="25" t="str">
        <f t="shared" si="477"/>
        <v/>
      </c>
      <c r="T647" s="141"/>
      <c r="U647" s="28"/>
    </row>
    <row r="648" ht="15.75" customHeight="1">
      <c r="P648" s="25"/>
      <c r="Q648" s="25"/>
      <c r="R648" s="25"/>
      <c r="S648" s="25" t="str">
        <f t="shared" si="477"/>
        <v/>
      </c>
      <c r="T648" s="141"/>
      <c r="U648" s="28"/>
    </row>
    <row r="649" ht="15.75" customHeight="1">
      <c r="P649" s="25"/>
      <c r="Q649" s="25"/>
      <c r="R649" s="25"/>
      <c r="S649" s="25" t="str">
        <f t="shared" si="477"/>
        <v/>
      </c>
      <c r="T649" s="141"/>
      <c r="U649" s="28"/>
    </row>
    <row r="650" ht="15.75" customHeight="1">
      <c r="P650" s="25"/>
      <c r="Q650" s="25"/>
      <c r="R650" s="25"/>
      <c r="S650" s="25" t="str">
        <f t="shared" si="477"/>
        <v/>
      </c>
      <c r="T650" s="141"/>
      <c r="U650" s="28"/>
    </row>
    <row r="651" ht="15.75" customHeight="1">
      <c r="P651" s="25"/>
      <c r="Q651" s="25"/>
      <c r="R651" s="25"/>
      <c r="S651" s="25" t="str">
        <f t="shared" si="477"/>
        <v/>
      </c>
      <c r="T651" s="141"/>
      <c r="U651" s="28"/>
    </row>
    <row r="652" ht="15.75" customHeight="1">
      <c r="P652" s="25"/>
      <c r="Q652" s="25"/>
      <c r="R652" s="25"/>
      <c r="S652" s="25" t="str">
        <f t="shared" si="477"/>
        <v/>
      </c>
      <c r="T652" s="141"/>
      <c r="U652" s="28"/>
    </row>
    <row r="653" ht="15.75" customHeight="1">
      <c r="P653" s="25"/>
      <c r="Q653" s="25"/>
      <c r="R653" s="25"/>
      <c r="S653" s="25" t="str">
        <f t="shared" si="477"/>
        <v/>
      </c>
      <c r="T653" s="141"/>
      <c r="U653" s="28"/>
    </row>
    <row r="654" ht="15.75" customHeight="1">
      <c r="P654" s="25"/>
      <c r="Q654" s="25"/>
      <c r="R654" s="25"/>
      <c r="S654" s="25" t="str">
        <f t="shared" si="477"/>
        <v/>
      </c>
      <c r="T654" s="141"/>
      <c r="U654" s="28"/>
    </row>
    <row r="655" ht="15.75" customHeight="1">
      <c r="P655" s="25"/>
      <c r="Q655" s="25"/>
      <c r="R655" s="25"/>
      <c r="S655" s="25" t="str">
        <f t="shared" si="477"/>
        <v/>
      </c>
      <c r="T655" s="141"/>
      <c r="U655" s="28"/>
    </row>
    <row r="656" ht="15.75" customHeight="1">
      <c r="P656" s="25"/>
      <c r="Q656" s="25"/>
      <c r="R656" s="25"/>
      <c r="S656" s="25" t="str">
        <f t="shared" si="477"/>
        <v/>
      </c>
      <c r="T656" s="141"/>
      <c r="U656" s="28"/>
    </row>
    <row r="657" ht="15.75" customHeight="1">
      <c r="P657" s="25"/>
      <c r="Q657" s="25"/>
      <c r="R657" s="25"/>
      <c r="S657" s="25" t="str">
        <f t="shared" si="477"/>
        <v/>
      </c>
      <c r="T657" s="141"/>
      <c r="U657" s="28"/>
    </row>
    <row r="658" ht="15.75" customHeight="1">
      <c r="P658" s="25"/>
      <c r="Q658" s="25"/>
      <c r="R658" s="25"/>
      <c r="S658" s="25" t="str">
        <f t="shared" si="477"/>
        <v/>
      </c>
      <c r="T658" s="141"/>
      <c r="U658" s="28"/>
    </row>
    <row r="659" ht="15.75" customHeight="1">
      <c r="P659" s="25"/>
      <c r="Q659" s="25"/>
      <c r="R659" s="25"/>
      <c r="S659" s="25" t="str">
        <f t="shared" si="477"/>
        <v/>
      </c>
      <c r="T659" s="141"/>
      <c r="U659" s="28"/>
    </row>
    <row r="660" ht="15.75" customHeight="1">
      <c r="P660" s="25"/>
      <c r="Q660" s="25"/>
      <c r="R660" s="25"/>
      <c r="S660" s="25" t="str">
        <f t="shared" si="477"/>
        <v/>
      </c>
      <c r="T660" s="141"/>
      <c r="U660" s="28"/>
    </row>
    <row r="661" ht="15.75" customHeight="1">
      <c r="P661" s="25"/>
      <c r="Q661" s="25"/>
      <c r="R661" s="25"/>
      <c r="S661" s="25" t="str">
        <f t="shared" si="477"/>
        <v/>
      </c>
      <c r="T661" s="141"/>
      <c r="U661" s="28"/>
    </row>
    <row r="662" ht="15.75" customHeight="1">
      <c r="P662" s="25"/>
      <c r="Q662" s="25"/>
      <c r="R662" s="25"/>
      <c r="S662" s="25" t="str">
        <f t="shared" si="477"/>
        <v/>
      </c>
      <c r="T662" s="141"/>
      <c r="U662" s="28"/>
    </row>
    <row r="663" ht="15.75" customHeight="1">
      <c r="P663" s="25"/>
      <c r="Q663" s="25"/>
      <c r="R663" s="25"/>
      <c r="S663" s="25" t="str">
        <f t="shared" si="477"/>
        <v/>
      </c>
      <c r="T663" s="141"/>
      <c r="U663" s="28"/>
    </row>
    <row r="664" ht="15.75" customHeight="1">
      <c r="P664" s="25"/>
      <c r="Q664" s="25"/>
      <c r="R664" s="25"/>
      <c r="S664" s="25" t="str">
        <f t="shared" si="477"/>
        <v/>
      </c>
      <c r="T664" s="141"/>
      <c r="U664" s="28"/>
    </row>
    <row r="665" ht="15.75" customHeight="1">
      <c r="P665" s="25"/>
      <c r="Q665" s="25"/>
      <c r="R665" s="25"/>
      <c r="S665" s="25" t="str">
        <f t="shared" si="477"/>
        <v/>
      </c>
      <c r="T665" s="141"/>
      <c r="U665" s="28"/>
    </row>
    <row r="666" ht="15.75" customHeight="1">
      <c r="P666" s="25"/>
      <c r="Q666" s="25"/>
      <c r="R666" s="25"/>
      <c r="S666" s="25" t="str">
        <f t="shared" si="477"/>
        <v/>
      </c>
      <c r="T666" s="141"/>
      <c r="U666" s="28"/>
    </row>
    <row r="667" ht="15.75" customHeight="1">
      <c r="P667" s="25"/>
      <c r="Q667" s="25"/>
      <c r="R667" s="25"/>
      <c r="S667" s="25" t="str">
        <f t="shared" si="477"/>
        <v/>
      </c>
      <c r="T667" s="141"/>
      <c r="U667" s="28"/>
    </row>
    <row r="668" ht="15.75" customHeight="1">
      <c r="P668" s="25"/>
      <c r="Q668" s="25"/>
      <c r="R668" s="25"/>
      <c r="S668" s="25" t="str">
        <f t="shared" si="477"/>
        <v/>
      </c>
      <c r="T668" s="141"/>
      <c r="U668" s="28"/>
    </row>
    <row r="669" ht="15.75" customHeight="1">
      <c r="P669" s="25"/>
      <c r="Q669" s="25"/>
      <c r="R669" s="25"/>
      <c r="S669" s="25" t="str">
        <f t="shared" si="477"/>
        <v/>
      </c>
      <c r="T669" s="141"/>
      <c r="U669" s="28"/>
    </row>
    <row r="670" ht="15.75" customHeight="1">
      <c r="P670" s="25"/>
      <c r="Q670" s="25"/>
      <c r="R670" s="25"/>
      <c r="S670" s="25" t="str">
        <f t="shared" si="477"/>
        <v/>
      </c>
      <c r="T670" s="141"/>
      <c r="U670" s="28"/>
    </row>
    <row r="671" ht="15.75" customHeight="1">
      <c r="P671" s="25"/>
      <c r="Q671" s="25"/>
      <c r="R671" s="25"/>
      <c r="S671" s="25" t="str">
        <f t="shared" si="477"/>
        <v/>
      </c>
      <c r="T671" s="141"/>
      <c r="U671" s="28"/>
    </row>
    <row r="672" ht="15.75" customHeight="1">
      <c r="P672" s="25"/>
      <c r="Q672" s="25"/>
      <c r="R672" s="25"/>
      <c r="S672" s="25" t="str">
        <f t="shared" si="477"/>
        <v/>
      </c>
      <c r="T672" s="141"/>
      <c r="U672" s="28"/>
    </row>
    <row r="673" ht="15.75" customHeight="1">
      <c r="P673" s="25"/>
      <c r="Q673" s="25"/>
      <c r="R673" s="25"/>
      <c r="S673" s="25" t="str">
        <f t="shared" si="477"/>
        <v/>
      </c>
      <c r="T673" s="141"/>
      <c r="U673" s="28"/>
    </row>
    <row r="674" ht="15.75" customHeight="1">
      <c r="P674" s="25"/>
      <c r="Q674" s="25"/>
      <c r="R674" s="25"/>
      <c r="S674" s="25" t="str">
        <f t="shared" si="477"/>
        <v/>
      </c>
      <c r="T674" s="141"/>
      <c r="U674" s="28"/>
    </row>
    <row r="675" ht="15.75" customHeight="1">
      <c r="P675" s="25"/>
      <c r="Q675" s="25"/>
      <c r="R675" s="25"/>
      <c r="S675" s="25" t="str">
        <f t="shared" si="477"/>
        <v/>
      </c>
      <c r="T675" s="141"/>
      <c r="U675" s="28"/>
    </row>
    <row r="676" ht="15.75" customHeight="1">
      <c r="P676" s="25"/>
      <c r="Q676" s="25"/>
      <c r="R676" s="25"/>
      <c r="S676" s="25" t="str">
        <f t="shared" si="477"/>
        <v/>
      </c>
      <c r="T676" s="141"/>
      <c r="U676" s="28"/>
    </row>
    <row r="677" ht="15.75" customHeight="1">
      <c r="P677" s="25"/>
      <c r="Q677" s="25"/>
      <c r="R677" s="25"/>
      <c r="S677" s="25" t="str">
        <f t="shared" si="477"/>
        <v/>
      </c>
      <c r="T677" s="141"/>
      <c r="U677" s="28"/>
    </row>
    <row r="678" ht="15.75" customHeight="1">
      <c r="P678" s="25"/>
      <c r="Q678" s="25"/>
      <c r="R678" s="25"/>
      <c r="S678" s="25" t="str">
        <f t="shared" si="477"/>
        <v/>
      </c>
      <c r="T678" s="141"/>
      <c r="U678" s="28"/>
    </row>
    <row r="679" ht="15.75" customHeight="1">
      <c r="P679" s="25"/>
      <c r="Q679" s="25"/>
      <c r="R679" s="25"/>
      <c r="S679" s="25" t="str">
        <f t="shared" si="477"/>
        <v/>
      </c>
      <c r="T679" s="141"/>
      <c r="U679" s="28"/>
    </row>
    <row r="680" ht="15.75" customHeight="1">
      <c r="P680" s="25"/>
      <c r="Q680" s="25"/>
      <c r="R680" s="25"/>
      <c r="S680" s="25" t="str">
        <f t="shared" si="477"/>
        <v/>
      </c>
      <c r="T680" s="141"/>
      <c r="U680" s="28"/>
    </row>
    <row r="681" ht="15.75" customHeight="1">
      <c r="P681" s="25"/>
      <c r="Q681" s="25"/>
      <c r="R681" s="25"/>
      <c r="S681" s="25" t="str">
        <f t="shared" si="477"/>
        <v/>
      </c>
      <c r="T681" s="141"/>
      <c r="U681" s="28"/>
    </row>
    <row r="682" ht="15.75" customHeight="1">
      <c r="P682" s="25"/>
      <c r="Q682" s="25"/>
      <c r="R682" s="25"/>
      <c r="S682" s="25" t="str">
        <f t="shared" si="477"/>
        <v/>
      </c>
      <c r="T682" s="141"/>
      <c r="U682" s="28"/>
    </row>
    <row r="683" ht="15.75" customHeight="1">
      <c r="P683" s="25"/>
      <c r="Q683" s="25"/>
      <c r="R683" s="25"/>
      <c r="S683" s="25" t="str">
        <f t="shared" si="477"/>
        <v/>
      </c>
      <c r="T683" s="141"/>
      <c r="U683" s="28"/>
    </row>
    <row r="684" ht="15.75" customHeight="1">
      <c r="P684" s="25"/>
      <c r="Q684" s="25"/>
      <c r="R684" s="25"/>
      <c r="S684" s="25" t="str">
        <f t="shared" si="477"/>
        <v/>
      </c>
      <c r="T684" s="141"/>
      <c r="U684" s="28"/>
    </row>
    <row r="685" ht="15.75" customHeight="1">
      <c r="P685" s="25"/>
      <c r="Q685" s="25"/>
      <c r="R685" s="25"/>
      <c r="S685" s="25" t="str">
        <f t="shared" si="477"/>
        <v/>
      </c>
      <c r="T685" s="141"/>
      <c r="U685" s="28"/>
    </row>
    <row r="686" ht="15.75" customHeight="1">
      <c r="P686" s="25"/>
      <c r="Q686" s="25"/>
      <c r="R686" s="25"/>
      <c r="S686" s="25" t="str">
        <f t="shared" si="477"/>
        <v/>
      </c>
      <c r="T686" s="141"/>
      <c r="U686" s="28"/>
    </row>
    <row r="687" ht="15.75" customHeight="1">
      <c r="P687" s="25"/>
      <c r="Q687" s="25"/>
      <c r="R687" s="25"/>
      <c r="S687" s="25" t="str">
        <f t="shared" si="477"/>
        <v/>
      </c>
      <c r="T687" s="141"/>
      <c r="U687" s="28"/>
    </row>
    <row r="688" ht="15.75" customHeight="1">
      <c r="P688" s="25"/>
      <c r="Q688" s="25"/>
      <c r="R688" s="25"/>
      <c r="S688" s="25" t="str">
        <f t="shared" si="477"/>
        <v/>
      </c>
      <c r="T688" s="141"/>
      <c r="U688" s="28"/>
    </row>
    <row r="689" ht="15.75" customHeight="1">
      <c r="P689" s="25"/>
      <c r="Q689" s="25"/>
      <c r="R689" s="25"/>
      <c r="S689" s="25" t="str">
        <f t="shared" si="477"/>
        <v/>
      </c>
      <c r="T689" s="141"/>
      <c r="U689" s="28"/>
    </row>
    <row r="690" ht="15.75" customHeight="1">
      <c r="P690" s="25"/>
      <c r="Q690" s="25"/>
      <c r="R690" s="25"/>
      <c r="S690" s="25" t="str">
        <f t="shared" si="477"/>
        <v/>
      </c>
      <c r="T690" s="141"/>
      <c r="U690" s="28"/>
    </row>
    <row r="691" ht="15.75" customHeight="1">
      <c r="P691" s="25"/>
      <c r="Q691" s="25"/>
      <c r="R691" s="25"/>
      <c r="S691" s="25" t="str">
        <f t="shared" si="477"/>
        <v/>
      </c>
      <c r="T691" s="141"/>
      <c r="U691" s="28"/>
    </row>
    <row r="692" ht="15.75" customHeight="1">
      <c r="P692" s="25"/>
      <c r="Q692" s="25"/>
      <c r="R692" s="25"/>
      <c r="S692" s="25" t="str">
        <f t="shared" si="477"/>
        <v/>
      </c>
      <c r="T692" s="141"/>
      <c r="U692" s="28"/>
    </row>
    <row r="693" ht="15.75" customHeight="1">
      <c r="P693" s="25"/>
      <c r="Q693" s="25"/>
      <c r="R693" s="25"/>
      <c r="S693" s="25" t="str">
        <f t="shared" si="477"/>
        <v/>
      </c>
      <c r="T693" s="141"/>
      <c r="U693" s="28"/>
    </row>
    <row r="694" ht="15.75" customHeight="1">
      <c r="P694" s="25"/>
      <c r="Q694" s="25"/>
      <c r="R694" s="25"/>
      <c r="S694" s="25" t="str">
        <f t="shared" si="477"/>
        <v/>
      </c>
      <c r="T694" s="141"/>
      <c r="U694" s="28"/>
    </row>
    <row r="695" ht="15.75" customHeight="1">
      <c r="P695" s="25"/>
      <c r="Q695" s="25"/>
      <c r="R695" s="25"/>
      <c r="S695" s="25" t="str">
        <f t="shared" si="477"/>
        <v/>
      </c>
      <c r="T695" s="141"/>
      <c r="U695" s="28"/>
    </row>
    <row r="696" ht="15.75" customHeight="1">
      <c r="P696" s="25"/>
      <c r="Q696" s="25"/>
      <c r="R696" s="25"/>
      <c r="S696" s="25" t="str">
        <f t="shared" si="477"/>
        <v/>
      </c>
      <c r="T696" s="141"/>
      <c r="U696" s="28"/>
    </row>
    <row r="697" ht="15.75" customHeight="1">
      <c r="P697" s="25"/>
      <c r="Q697" s="25"/>
      <c r="R697" s="25"/>
      <c r="S697" s="25" t="str">
        <f t="shared" si="477"/>
        <v/>
      </c>
      <c r="T697" s="141"/>
      <c r="U697" s="28"/>
    </row>
    <row r="698" ht="15.75" customHeight="1">
      <c r="P698" s="25"/>
      <c r="Q698" s="25"/>
      <c r="R698" s="25"/>
      <c r="S698" s="25" t="str">
        <f t="shared" si="477"/>
        <v/>
      </c>
      <c r="T698" s="141"/>
      <c r="U698" s="28"/>
    </row>
    <row r="699" ht="15.75" customHeight="1">
      <c r="P699" s="25"/>
      <c r="Q699" s="25"/>
      <c r="R699" s="25"/>
      <c r="S699" s="25" t="str">
        <f t="shared" si="477"/>
        <v/>
      </c>
      <c r="T699" s="141"/>
      <c r="U699" s="28"/>
    </row>
    <row r="700" ht="15.75" customHeight="1">
      <c r="P700" s="25"/>
      <c r="Q700" s="25"/>
      <c r="R700" s="25"/>
      <c r="S700" s="25" t="str">
        <f t="shared" si="477"/>
        <v/>
      </c>
      <c r="T700" s="141"/>
      <c r="U700" s="28"/>
    </row>
    <row r="701" ht="15.75" customHeight="1">
      <c r="P701" s="25"/>
      <c r="Q701" s="25"/>
      <c r="R701" s="25"/>
      <c r="S701" s="25" t="str">
        <f t="shared" si="477"/>
        <v/>
      </c>
      <c r="T701" s="141"/>
      <c r="U701" s="28"/>
    </row>
    <row r="702" ht="15.75" customHeight="1">
      <c r="P702" s="25"/>
      <c r="Q702" s="25"/>
      <c r="R702" s="25"/>
      <c r="S702" s="25" t="str">
        <f t="shared" si="477"/>
        <v/>
      </c>
      <c r="T702" s="141"/>
      <c r="U702" s="28"/>
    </row>
    <row r="703" ht="15.75" customHeight="1">
      <c r="P703" s="25"/>
      <c r="Q703" s="25"/>
      <c r="R703" s="25"/>
      <c r="S703" s="25" t="str">
        <f t="shared" si="477"/>
        <v/>
      </c>
      <c r="T703" s="141"/>
      <c r="U703" s="28"/>
    </row>
    <row r="704" ht="15.75" customHeight="1">
      <c r="P704" s="25"/>
      <c r="Q704" s="25"/>
      <c r="R704" s="25"/>
      <c r="S704" s="25" t="str">
        <f t="shared" si="477"/>
        <v/>
      </c>
      <c r="T704" s="141"/>
      <c r="U704" s="28"/>
    </row>
    <row r="705" ht="15.75" customHeight="1">
      <c r="P705" s="25"/>
      <c r="Q705" s="25"/>
      <c r="R705" s="25"/>
      <c r="S705" s="25" t="str">
        <f t="shared" si="477"/>
        <v/>
      </c>
      <c r="T705" s="141"/>
      <c r="U705" s="28"/>
    </row>
    <row r="706" ht="15.75" customHeight="1">
      <c r="P706" s="25"/>
      <c r="Q706" s="25"/>
      <c r="R706" s="25"/>
      <c r="S706" s="25" t="str">
        <f t="shared" si="477"/>
        <v/>
      </c>
      <c r="T706" s="141"/>
      <c r="U706" s="28"/>
    </row>
    <row r="707" ht="15.75" customHeight="1">
      <c r="P707" s="25"/>
      <c r="Q707" s="25"/>
      <c r="R707" s="25"/>
      <c r="S707" s="25" t="str">
        <f t="shared" si="477"/>
        <v/>
      </c>
      <c r="T707" s="141"/>
      <c r="U707" s="28"/>
    </row>
    <row r="708" ht="15.75" customHeight="1">
      <c r="P708" s="25"/>
      <c r="Q708" s="25"/>
      <c r="R708" s="25"/>
      <c r="S708" s="25" t="str">
        <f t="shared" si="477"/>
        <v/>
      </c>
      <c r="T708" s="141"/>
      <c r="U708" s="28"/>
    </row>
    <row r="709" ht="15.75" customHeight="1">
      <c r="P709" s="25"/>
      <c r="Q709" s="25"/>
      <c r="R709" s="25"/>
      <c r="S709" s="25" t="str">
        <f t="shared" si="477"/>
        <v/>
      </c>
      <c r="T709" s="141"/>
      <c r="U709" s="28"/>
    </row>
    <row r="710" ht="15.75" customHeight="1">
      <c r="P710" s="25"/>
      <c r="Q710" s="25"/>
      <c r="R710" s="25"/>
      <c r="S710" s="25" t="str">
        <f t="shared" si="477"/>
        <v/>
      </c>
      <c r="T710" s="141"/>
      <c r="U710" s="28"/>
    </row>
    <row r="711" ht="15.75" customHeight="1">
      <c r="P711" s="25"/>
      <c r="Q711" s="25"/>
      <c r="R711" s="25"/>
      <c r="S711" s="25" t="str">
        <f t="shared" si="477"/>
        <v/>
      </c>
      <c r="T711" s="141"/>
      <c r="U711" s="28"/>
    </row>
    <row r="712" ht="15.75" customHeight="1">
      <c r="P712" s="25"/>
      <c r="Q712" s="25"/>
      <c r="R712" s="25"/>
      <c r="S712" s="25" t="str">
        <f t="shared" si="477"/>
        <v/>
      </c>
      <c r="T712" s="141"/>
      <c r="U712" s="28"/>
    </row>
    <row r="713" ht="15.75" customHeight="1">
      <c r="P713" s="25"/>
      <c r="Q713" s="25"/>
      <c r="R713" s="25"/>
      <c r="S713" s="25" t="str">
        <f t="shared" si="477"/>
        <v/>
      </c>
      <c r="T713" s="141"/>
      <c r="U713" s="28"/>
    </row>
    <row r="714" ht="15.75" customHeight="1">
      <c r="P714" s="25"/>
      <c r="Q714" s="25"/>
      <c r="R714" s="25"/>
      <c r="S714" s="25" t="str">
        <f t="shared" si="477"/>
        <v/>
      </c>
      <c r="T714" s="141"/>
      <c r="U714" s="28"/>
    </row>
    <row r="715" ht="15.75" customHeight="1">
      <c r="P715" s="25"/>
      <c r="Q715" s="25"/>
      <c r="R715" s="25"/>
      <c r="S715" s="25" t="str">
        <f t="shared" si="477"/>
        <v/>
      </c>
      <c r="T715" s="141"/>
      <c r="U715" s="28"/>
    </row>
    <row r="716" ht="15.75" customHeight="1">
      <c r="P716" s="25"/>
      <c r="Q716" s="25"/>
      <c r="R716" s="25"/>
      <c r="S716" s="25" t="str">
        <f t="shared" si="477"/>
        <v/>
      </c>
      <c r="T716" s="141"/>
      <c r="U716" s="28"/>
    </row>
    <row r="717" ht="15.75" customHeight="1">
      <c r="P717" s="25"/>
      <c r="Q717" s="25"/>
      <c r="R717" s="25"/>
      <c r="S717" s="25" t="str">
        <f t="shared" si="477"/>
        <v/>
      </c>
      <c r="T717" s="141"/>
      <c r="U717" s="28"/>
    </row>
    <row r="718" ht="15.75" customHeight="1">
      <c r="P718" s="25"/>
      <c r="Q718" s="25"/>
      <c r="R718" s="25"/>
      <c r="S718" s="25" t="str">
        <f t="shared" si="477"/>
        <v/>
      </c>
      <c r="T718" s="141"/>
      <c r="U718" s="28"/>
    </row>
    <row r="719" ht="15.75" customHeight="1">
      <c r="P719" s="25"/>
      <c r="Q719" s="25"/>
      <c r="R719" s="25"/>
      <c r="S719" s="25" t="str">
        <f t="shared" si="477"/>
        <v/>
      </c>
      <c r="T719" s="141"/>
      <c r="U719" s="28"/>
    </row>
    <row r="720" ht="15.75" customHeight="1">
      <c r="P720" s="25"/>
      <c r="Q720" s="25"/>
      <c r="R720" s="25"/>
      <c r="S720" s="25" t="str">
        <f t="shared" si="477"/>
        <v/>
      </c>
      <c r="T720" s="141"/>
      <c r="U720" s="28"/>
    </row>
    <row r="721" ht="15.75" customHeight="1">
      <c r="P721" s="25"/>
      <c r="Q721" s="25"/>
      <c r="R721" s="25"/>
      <c r="S721" s="25" t="str">
        <f t="shared" si="477"/>
        <v/>
      </c>
      <c r="T721" s="141"/>
      <c r="U721" s="28"/>
    </row>
    <row r="722" ht="15.75" customHeight="1">
      <c r="P722" s="25"/>
      <c r="Q722" s="25"/>
      <c r="R722" s="25"/>
      <c r="S722" s="25" t="str">
        <f t="shared" si="477"/>
        <v/>
      </c>
      <c r="T722" s="141"/>
      <c r="U722" s="28"/>
    </row>
    <row r="723" ht="15.75" customHeight="1">
      <c r="P723" s="25"/>
      <c r="Q723" s="25"/>
      <c r="R723" s="25"/>
      <c r="S723" s="25" t="str">
        <f t="shared" si="477"/>
        <v/>
      </c>
      <c r="T723" s="141"/>
      <c r="U723" s="28"/>
    </row>
    <row r="724" ht="15.75" customHeight="1">
      <c r="P724" s="25"/>
      <c r="Q724" s="25"/>
      <c r="R724" s="25"/>
      <c r="S724" s="25" t="str">
        <f t="shared" si="477"/>
        <v/>
      </c>
      <c r="T724" s="141"/>
      <c r="U724" s="28"/>
    </row>
    <row r="725" ht="15.75" customHeight="1">
      <c r="P725" s="25"/>
      <c r="Q725" s="25"/>
      <c r="R725" s="25"/>
      <c r="S725" s="25" t="str">
        <f t="shared" si="477"/>
        <v/>
      </c>
      <c r="T725" s="141"/>
      <c r="U725" s="28"/>
    </row>
    <row r="726" ht="15.75" customHeight="1">
      <c r="P726" s="25"/>
      <c r="Q726" s="25"/>
      <c r="R726" s="25"/>
      <c r="S726" s="25" t="str">
        <f t="shared" si="477"/>
        <v/>
      </c>
      <c r="T726" s="141"/>
      <c r="U726" s="28"/>
    </row>
    <row r="727" ht="15.75" customHeight="1">
      <c r="P727" s="25"/>
      <c r="Q727" s="25"/>
      <c r="R727" s="25"/>
      <c r="S727" s="25" t="str">
        <f t="shared" si="477"/>
        <v/>
      </c>
      <c r="T727" s="141"/>
      <c r="U727" s="28"/>
    </row>
    <row r="728" ht="15.75" customHeight="1">
      <c r="P728" s="25"/>
      <c r="Q728" s="25"/>
      <c r="R728" s="25"/>
      <c r="S728" s="25" t="str">
        <f t="shared" si="477"/>
        <v/>
      </c>
      <c r="T728" s="141"/>
      <c r="U728" s="28"/>
    </row>
    <row r="729" ht="15.75" customHeight="1">
      <c r="P729" s="25"/>
      <c r="Q729" s="25"/>
      <c r="R729" s="25"/>
      <c r="S729" s="25" t="str">
        <f t="shared" si="477"/>
        <v/>
      </c>
      <c r="T729" s="141"/>
      <c r="U729" s="28"/>
    </row>
    <row r="730" ht="15.75" customHeight="1">
      <c r="P730" s="25"/>
      <c r="Q730" s="25"/>
      <c r="R730" s="25"/>
      <c r="S730" s="25" t="str">
        <f t="shared" si="477"/>
        <v/>
      </c>
      <c r="T730" s="141"/>
      <c r="U730" s="28"/>
    </row>
    <row r="731" ht="15.75" customHeight="1">
      <c r="P731" s="25"/>
      <c r="Q731" s="25"/>
      <c r="R731" s="25"/>
      <c r="S731" s="25" t="str">
        <f t="shared" si="477"/>
        <v/>
      </c>
      <c r="T731" s="141"/>
      <c r="U731" s="28"/>
    </row>
    <row r="732" ht="15.75" customHeight="1">
      <c r="P732" s="25"/>
      <c r="Q732" s="25"/>
      <c r="R732" s="25"/>
      <c r="S732" s="25" t="str">
        <f t="shared" si="477"/>
        <v/>
      </c>
      <c r="T732" s="141"/>
      <c r="U732" s="28"/>
    </row>
    <row r="733" ht="15.75" customHeight="1">
      <c r="P733" s="25"/>
      <c r="Q733" s="25"/>
      <c r="R733" s="25"/>
      <c r="S733" s="25" t="str">
        <f t="shared" si="477"/>
        <v/>
      </c>
      <c r="T733" s="141"/>
      <c r="U733" s="28"/>
    </row>
    <row r="734" ht="15.75" customHeight="1">
      <c r="P734" s="25"/>
      <c r="Q734" s="25"/>
      <c r="R734" s="25"/>
      <c r="S734" s="25" t="str">
        <f t="shared" si="477"/>
        <v/>
      </c>
      <c r="T734" s="141"/>
      <c r="U734" s="28"/>
    </row>
    <row r="735" ht="15.75" customHeight="1">
      <c r="P735" s="25"/>
      <c r="Q735" s="25"/>
      <c r="R735" s="25"/>
      <c r="S735" s="25" t="str">
        <f t="shared" si="477"/>
        <v/>
      </c>
      <c r="T735" s="141"/>
      <c r="U735" s="28"/>
    </row>
    <row r="736" ht="15.75" customHeight="1">
      <c r="P736" s="25"/>
      <c r="Q736" s="25"/>
      <c r="R736" s="25"/>
      <c r="S736" s="25" t="str">
        <f t="shared" si="477"/>
        <v/>
      </c>
      <c r="T736" s="141"/>
      <c r="U736" s="28"/>
    </row>
    <row r="737" ht="15.75" customHeight="1">
      <c r="P737" s="25"/>
      <c r="Q737" s="25"/>
      <c r="R737" s="25"/>
      <c r="S737" s="25" t="str">
        <f t="shared" si="477"/>
        <v/>
      </c>
      <c r="T737" s="141"/>
      <c r="U737" s="28"/>
    </row>
    <row r="738" ht="15.75" customHeight="1">
      <c r="P738" s="25"/>
      <c r="Q738" s="25"/>
      <c r="R738" s="25"/>
      <c r="S738" s="25" t="str">
        <f t="shared" si="477"/>
        <v/>
      </c>
      <c r="T738" s="141"/>
      <c r="U738" s="28"/>
    </row>
    <row r="739" ht="15.75" customHeight="1">
      <c r="P739" s="25"/>
      <c r="Q739" s="25"/>
      <c r="R739" s="25"/>
      <c r="S739" s="25" t="str">
        <f t="shared" si="477"/>
        <v/>
      </c>
      <c r="T739" s="141"/>
      <c r="U739" s="28"/>
    </row>
    <row r="740" ht="15.75" customHeight="1">
      <c r="P740" s="25"/>
      <c r="Q740" s="25"/>
      <c r="R740" s="25"/>
      <c r="S740" s="25" t="str">
        <f t="shared" si="477"/>
        <v/>
      </c>
      <c r="T740" s="141"/>
      <c r="U740" s="28"/>
    </row>
    <row r="741" ht="15.75" customHeight="1">
      <c r="P741" s="25"/>
      <c r="Q741" s="25"/>
      <c r="R741" s="25"/>
      <c r="S741" s="25" t="str">
        <f t="shared" si="477"/>
        <v/>
      </c>
      <c r="T741" s="141"/>
      <c r="U741" s="28"/>
    </row>
    <row r="742" ht="15.75" customHeight="1">
      <c r="P742" s="25"/>
      <c r="Q742" s="25"/>
      <c r="R742" s="25"/>
      <c r="S742" s="25" t="str">
        <f t="shared" si="477"/>
        <v/>
      </c>
      <c r="T742" s="141"/>
      <c r="U742" s="28"/>
    </row>
    <row r="743" ht="15.75" customHeight="1">
      <c r="P743" s="25"/>
      <c r="Q743" s="25"/>
      <c r="R743" s="25"/>
      <c r="S743" s="25" t="str">
        <f t="shared" si="477"/>
        <v/>
      </c>
      <c r="T743" s="141"/>
      <c r="U743" s="28"/>
    </row>
    <row r="744" ht="15.75" customHeight="1">
      <c r="P744" s="25"/>
      <c r="Q744" s="25"/>
      <c r="R744" s="25"/>
      <c r="S744" s="25" t="str">
        <f t="shared" si="477"/>
        <v/>
      </c>
      <c r="T744" s="141"/>
      <c r="U744" s="28"/>
    </row>
    <row r="745" ht="15.75" customHeight="1">
      <c r="P745" s="25"/>
      <c r="Q745" s="25"/>
      <c r="R745" s="25"/>
      <c r="S745" s="25" t="str">
        <f t="shared" si="477"/>
        <v/>
      </c>
      <c r="T745" s="141"/>
      <c r="U745" s="28"/>
    </row>
    <row r="746" ht="15.75" customHeight="1">
      <c r="P746" s="25"/>
      <c r="Q746" s="25"/>
      <c r="R746" s="25"/>
      <c r="S746" s="25" t="str">
        <f t="shared" si="477"/>
        <v/>
      </c>
      <c r="T746" s="141"/>
      <c r="U746" s="28"/>
    </row>
    <row r="747" ht="15.75" customHeight="1">
      <c r="P747" s="25"/>
      <c r="Q747" s="25"/>
      <c r="R747" s="25"/>
      <c r="S747" s="25" t="str">
        <f t="shared" si="477"/>
        <v/>
      </c>
      <c r="T747" s="141"/>
      <c r="U747" s="28"/>
    </row>
    <row r="748" ht="15.75" customHeight="1">
      <c r="P748" s="25"/>
      <c r="Q748" s="25"/>
      <c r="R748" s="25"/>
      <c r="S748" s="25" t="str">
        <f t="shared" si="477"/>
        <v/>
      </c>
      <c r="T748" s="141"/>
      <c r="U748" s="28"/>
    </row>
    <row r="749" ht="15.75" customHeight="1">
      <c r="P749" s="25"/>
      <c r="Q749" s="25"/>
      <c r="R749" s="25"/>
      <c r="S749" s="25" t="str">
        <f t="shared" si="477"/>
        <v/>
      </c>
      <c r="T749" s="141"/>
      <c r="U749" s="28"/>
    </row>
    <row r="750" ht="15.75" customHeight="1">
      <c r="P750" s="25"/>
      <c r="Q750" s="25"/>
      <c r="R750" s="25"/>
      <c r="S750" s="25" t="str">
        <f t="shared" si="477"/>
        <v/>
      </c>
      <c r="T750" s="141"/>
      <c r="U750" s="28"/>
    </row>
    <row r="751" ht="15.75" customHeight="1">
      <c r="P751" s="25"/>
      <c r="Q751" s="25"/>
      <c r="R751" s="25"/>
      <c r="S751" s="25" t="str">
        <f t="shared" si="477"/>
        <v/>
      </c>
      <c r="T751" s="141"/>
      <c r="U751" s="28"/>
    </row>
    <row r="752" ht="15.75" customHeight="1">
      <c r="P752" s="25"/>
      <c r="Q752" s="25"/>
      <c r="R752" s="25"/>
      <c r="S752" s="25" t="str">
        <f t="shared" si="477"/>
        <v/>
      </c>
      <c r="T752" s="141"/>
      <c r="U752" s="28"/>
    </row>
    <row r="753" ht="15.75" customHeight="1">
      <c r="P753" s="25"/>
      <c r="Q753" s="25"/>
      <c r="R753" s="25"/>
      <c r="S753" s="25" t="str">
        <f t="shared" si="477"/>
        <v/>
      </c>
      <c r="T753" s="141"/>
      <c r="U753" s="28"/>
    </row>
    <row r="754" ht="15.75" customHeight="1">
      <c r="P754" s="25"/>
      <c r="Q754" s="25"/>
      <c r="R754" s="25"/>
      <c r="S754" s="25" t="str">
        <f t="shared" si="477"/>
        <v/>
      </c>
      <c r="T754" s="141"/>
      <c r="U754" s="28"/>
    </row>
    <row r="755" ht="15.75" customHeight="1">
      <c r="P755" s="25"/>
      <c r="Q755" s="25"/>
      <c r="R755" s="25"/>
      <c r="S755" s="25" t="str">
        <f t="shared" si="477"/>
        <v/>
      </c>
      <c r="T755" s="141"/>
      <c r="U755" s="28"/>
    </row>
    <row r="756" ht="15.75" customHeight="1">
      <c r="P756" s="25"/>
      <c r="Q756" s="25"/>
      <c r="R756" s="25"/>
      <c r="S756" s="25" t="str">
        <f t="shared" si="477"/>
        <v/>
      </c>
      <c r="T756" s="141"/>
      <c r="U756" s="28"/>
    </row>
    <row r="757" ht="15.75" customHeight="1">
      <c r="P757" s="25"/>
      <c r="Q757" s="25"/>
      <c r="R757" s="25"/>
      <c r="S757" s="25" t="str">
        <f t="shared" si="477"/>
        <v/>
      </c>
      <c r="T757" s="141"/>
      <c r="U757" s="28"/>
    </row>
    <row r="758" ht="15.75" customHeight="1">
      <c r="P758" s="25"/>
      <c r="Q758" s="25"/>
      <c r="R758" s="25"/>
      <c r="S758" s="25" t="str">
        <f t="shared" si="477"/>
        <v/>
      </c>
      <c r="T758" s="141"/>
      <c r="U758" s="28"/>
    </row>
    <row r="759" ht="15.75" customHeight="1">
      <c r="P759" s="25"/>
      <c r="Q759" s="25"/>
      <c r="R759" s="25"/>
      <c r="S759" s="25" t="str">
        <f t="shared" si="477"/>
        <v/>
      </c>
      <c r="T759" s="141"/>
      <c r="U759" s="28"/>
    </row>
    <row r="760" ht="15.75" customHeight="1">
      <c r="P760" s="25"/>
      <c r="Q760" s="25"/>
      <c r="R760" s="25"/>
      <c r="S760" s="25" t="str">
        <f t="shared" si="477"/>
        <v/>
      </c>
      <c r="T760" s="141"/>
      <c r="U760" s="28"/>
    </row>
    <row r="761" ht="15.75" customHeight="1">
      <c r="P761" s="25"/>
      <c r="Q761" s="25"/>
      <c r="R761" s="25"/>
      <c r="S761" s="25" t="str">
        <f t="shared" si="477"/>
        <v/>
      </c>
      <c r="T761" s="141"/>
      <c r="U761" s="28"/>
    </row>
    <row r="762" ht="15.75" customHeight="1">
      <c r="P762" s="25"/>
      <c r="Q762" s="25"/>
      <c r="R762" s="25"/>
      <c r="S762" s="25" t="str">
        <f t="shared" si="477"/>
        <v/>
      </c>
      <c r="T762" s="141"/>
      <c r="U762" s="28"/>
    </row>
    <row r="763" ht="15.75" customHeight="1">
      <c r="P763" s="25"/>
      <c r="Q763" s="25"/>
      <c r="R763" s="25"/>
      <c r="S763" s="25" t="str">
        <f t="shared" si="477"/>
        <v/>
      </c>
      <c r="T763" s="141"/>
      <c r="U763" s="28"/>
    </row>
    <row r="764" ht="15.75" customHeight="1">
      <c r="P764" s="25"/>
      <c r="Q764" s="25"/>
      <c r="R764" s="25"/>
      <c r="S764" s="25" t="str">
        <f t="shared" si="477"/>
        <v/>
      </c>
      <c r="T764" s="141"/>
      <c r="U764" s="28"/>
    </row>
    <row r="765" ht="15.75" customHeight="1">
      <c r="P765" s="25"/>
      <c r="Q765" s="25"/>
      <c r="R765" s="25"/>
      <c r="S765" s="25" t="str">
        <f t="shared" si="477"/>
        <v/>
      </c>
      <c r="T765" s="141"/>
      <c r="U765" s="28"/>
    </row>
    <row r="766" ht="15.75" customHeight="1">
      <c r="P766" s="25"/>
      <c r="Q766" s="25"/>
      <c r="R766" s="25"/>
      <c r="S766" s="25" t="str">
        <f t="shared" si="477"/>
        <v/>
      </c>
      <c r="T766" s="141"/>
      <c r="U766" s="28"/>
    </row>
    <row r="767" ht="15.75" customHeight="1">
      <c r="P767" s="25"/>
      <c r="Q767" s="25"/>
      <c r="R767" s="25"/>
      <c r="S767" s="25" t="str">
        <f t="shared" si="477"/>
        <v/>
      </c>
      <c r="T767" s="141"/>
      <c r="U767" s="28"/>
    </row>
    <row r="768" ht="15.75" customHeight="1">
      <c r="P768" s="25"/>
      <c r="Q768" s="25"/>
      <c r="R768" s="25"/>
      <c r="S768" s="25" t="str">
        <f t="shared" si="477"/>
        <v/>
      </c>
      <c r="T768" s="141"/>
      <c r="U768" s="28"/>
    </row>
    <row r="769" ht="15.75" customHeight="1">
      <c r="P769" s="25"/>
      <c r="Q769" s="25"/>
      <c r="R769" s="25"/>
      <c r="S769" s="25" t="str">
        <f t="shared" si="477"/>
        <v/>
      </c>
      <c r="T769" s="141"/>
      <c r="U769" s="28"/>
    </row>
    <row r="770" ht="15.75" customHeight="1">
      <c r="P770" s="25"/>
      <c r="Q770" s="25"/>
      <c r="R770" s="25"/>
      <c r="S770" s="25" t="str">
        <f t="shared" si="477"/>
        <v/>
      </c>
      <c r="T770" s="141"/>
      <c r="U770" s="28"/>
    </row>
    <row r="771" ht="15.75" customHeight="1">
      <c r="P771" s="25"/>
      <c r="Q771" s="25"/>
      <c r="R771" s="25"/>
      <c r="S771" s="25" t="str">
        <f t="shared" si="477"/>
        <v/>
      </c>
      <c r="T771" s="141"/>
      <c r="U771" s="28"/>
    </row>
    <row r="772" ht="15.75" customHeight="1">
      <c r="P772" s="25"/>
      <c r="Q772" s="25"/>
      <c r="R772" s="25"/>
      <c r="S772" s="25" t="str">
        <f t="shared" si="477"/>
        <v/>
      </c>
      <c r="T772" s="141"/>
      <c r="U772" s="28"/>
    </row>
    <row r="773" ht="15.75" customHeight="1">
      <c r="P773" s="25"/>
      <c r="Q773" s="25"/>
      <c r="R773" s="25"/>
      <c r="S773" s="25"/>
      <c r="T773" s="141"/>
      <c r="U773" s="28"/>
    </row>
    <row r="774" ht="15.75" customHeight="1">
      <c r="P774" s="25"/>
      <c r="Q774" s="25"/>
      <c r="R774" s="25"/>
      <c r="S774" s="25"/>
      <c r="T774" s="141"/>
      <c r="U774" s="28"/>
    </row>
    <row r="775" ht="15.75" customHeight="1">
      <c r="P775" s="25"/>
      <c r="Q775" s="25"/>
      <c r="R775" s="25"/>
      <c r="S775" s="25"/>
      <c r="T775" s="141"/>
      <c r="U775" s="28"/>
    </row>
    <row r="776" ht="15.75" customHeight="1">
      <c r="P776" s="25"/>
      <c r="Q776" s="25"/>
      <c r="R776" s="25"/>
      <c r="S776" s="25"/>
      <c r="T776" s="141"/>
      <c r="U776" s="28"/>
    </row>
    <row r="777" ht="15.75" customHeight="1">
      <c r="P777" s="25"/>
      <c r="Q777" s="25"/>
      <c r="R777" s="25"/>
      <c r="S777" s="25"/>
      <c r="T777" s="141"/>
      <c r="U777" s="28"/>
    </row>
    <row r="778" ht="15.75" customHeight="1">
      <c r="P778" s="25"/>
      <c r="Q778" s="25"/>
      <c r="R778" s="25"/>
      <c r="S778" s="25"/>
      <c r="T778" s="141"/>
      <c r="U778" s="28"/>
    </row>
    <row r="779" ht="15.75" customHeight="1">
      <c r="P779" s="25"/>
      <c r="Q779" s="25"/>
      <c r="R779" s="25"/>
      <c r="S779" s="25"/>
      <c r="T779" s="141"/>
      <c r="U779" s="28"/>
    </row>
    <row r="780" ht="15.75" customHeight="1">
      <c r="P780" s="25"/>
      <c r="Q780" s="25"/>
      <c r="R780" s="25"/>
      <c r="S780" s="25"/>
      <c r="T780" s="141"/>
      <c r="U780" s="28"/>
    </row>
    <row r="781" ht="15.75" customHeight="1">
      <c r="P781" s="25"/>
      <c r="Q781" s="25"/>
      <c r="R781" s="25"/>
      <c r="S781" s="25"/>
      <c r="T781" s="141"/>
      <c r="U781" s="28"/>
    </row>
    <row r="782" ht="15.75" customHeight="1">
      <c r="P782" s="25"/>
      <c r="Q782" s="25"/>
      <c r="R782" s="25"/>
      <c r="S782" s="25"/>
      <c r="T782" s="141"/>
      <c r="U782" s="28"/>
    </row>
    <row r="783" ht="15.75" customHeight="1">
      <c r="P783" s="25"/>
      <c r="Q783" s="25"/>
      <c r="R783" s="25"/>
      <c r="S783" s="25"/>
      <c r="T783" s="141"/>
      <c r="U783" s="28"/>
    </row>
    <row r="784" ht="15.75" customHeight="1">
      <c r="P784" s="25"/>
      <c r="Q784" s="25"/>
      <c r="R784" s="25"/>
      <c r="S784" s="25"/>
      <c r="T784" s="141"/>
      <c r="U784" s="28"/>
    </row>
    <row r="785" ht="15.75" customHeight="1">
      <c r="P785" s="25"/>
      <c r="Q785" s="25"/>
      <c r="R785" s="25"/>
      <c r="S785" s="25"/>
      <c r="T785" s="141"/>
      <c r="U785" s="28"/>
    </row>
    <row r="786" ht="15.75" customHeight="1">
      <c r="P786" s="25"/>
      <c r="Q786" s="25"/>
      <c r="R786" s="25"/>
      <c r="S786" s="25"/>
      <c r="T786" s="141"/>
      <c r="U786" s="28"/>
    </row>
    <row r="787" ht="15.75" customHeight="1">
      <c r="P787" s="25"/>
      <c r="Q787" s="25"/>
      <c r="R787" s="25"/>
      <c r="S787" s="25"/>
      <c r="T787" s="141"/>
      <c r="U787" s="28"/>
    </row>
    <row r="788" ht="15.75" customHeight="1">
      <c r="P788" s="25"/>
      <c r="Q788" s="25"/>
      <c r="R788" s="25"/>
      <c r="S788" s="25"/>
      <c r="T788" s="141"/>
      <c r="U788" s="28"/>
    </row>
    <row r="789" ht="15.75" customHeight="1">
      <c r="P789" s="25"/>
      <c r="Q789" s="25"/>
      <c r="R789" s="25"/>
      <c r="S789" s="25"/>
      <c r="T789" s="141"/>
      <c r="U789" s="28"/>
    </row>
    <row r="790" ht="15.75" customHeight="1">
      <c r="P790" s="25"/>
      <c r="Q790" s="25"/>
      <c r="R790" s="25"/>
      <c r="S790" s="25"/>
      <c r="T790" s="141"/>
      <c r="U790" s="28"/>
    </row>
    <row r="791" ht="15.75" customHeight="1">
      <c r="P791" s="25"/>
      <c r="Q791" s="25"/>
      <c r="R791" s="25"/>
      <c r="S791" s="25"/>
      <c r="T791" s="141"/>
      <c r="U791" s="28"/>
    </row>
    <row r="792" ht="15.75" customHeight="1">
      <c r="P792" s="25"/>
      <c r="Q792" s="25"/>
      <c r="R792" s="25"/>
      <c r="S792" s="25"/>
      <c r="T792" s="141"/>
      <c r="U792" s="28"/>
    </row>
    <row r="793" ht="15.75" customHeight="1">
      <c r="P793" s="25"/>
      <c r="Q793" s="25"/>
      <c r="R793" s="25"/>
      <c r="S793" s="25"/>
      <c r="T793" s="141"/>
      <c r="U793" s="28"/>
    </row>
    <row r="794" ht="15.75" customHeight="1">
      <c r="P794" s="25"/>
      <c r="Q794" s="25"/>
      <c r="R794" s="25"/>
      <c r="S794" s="25"/>
      <c r="T794" s="141"/>
      <c r="U794" s="28"/>
    </row>
    <row r="795" ht="15.75" customHeight="1">
      <c r="P795" s="25"/>
      <c r="Q795" s="25"/>
      <c r="R795" s="25"/>
      <c r="S795" s="25"/>
      <c r="T795" s="141"/>
      <c r="U795" s="28"/>
    </row>
    <row r="796" ht="15.75" customHeight="1">
      <c r="P796" s="25"/>
      <c r="Q796" s="25"/>
      <c r="R796" s="25"/>
      <c r="S796" s="25"/>
      <c r="T796" s="141"/>
      <c r="U796" s="28"/>
    </row>
    <row r="797" ht="15.75" customHeight="1">
      <c r="P797" s="25"/>
      <c r="Q797" s="25"/>
      <c r="R797" s="25"/>
      <c r="S797" s="25"/>
      <c r="T797" s="141"/>
      <c r="U797" s="28"/>
    </row>
    <row r="798" ht="15.75" customHeight="1">
      <c r="P798" s="25"/>
      <c r="Q798" s="25"/>
      <c r="R798" s="25"/>
      <c r="S798" s="25"/>
      <c r="T798" s="141"/>
      <c r="U798" s="28"/>
    </row>
    <row r="799" ht="15.75" customHeight="1">
      <c r="P799" s="25"/>
      <c r="Q799" s="25"/>
      <c r="R799" s="25"/>
      <c r="S799" s="25"/>
      <c r="T799" s="141"/>
      <c r="U799" s="28"/>
    </row>
    <row r="800" ht="15.75" customHeight="1">
      <c r="P800" s="25"/>
      <c r="Q800" s="25"/>
      <c r="R800" s="25"/>
      <c r="S800" s="25"/>
      <c r="T800" s="141"/>
      <c r="U800" s="28"/>
    </row>
    <row r="801" ht="15.75" customHeight="1">
      <c r="P801" s="25"/>
      <c r="Q801" s="25"/>
      <c r="R801" s="25"/>
      <c r="S801" s="25"/>
      <c r="T801" s="141"/>
      <c r="U801" s="28"/>
    </row>
    <row r="802" ht="15.75" customHeight="1">
      <c r="P802" s="25"/>
      <c r="Q802" s="25"/>
      <c r="R802" s="25"/>
      <c r="S802" s="25"/>
      <c r="T802" s="141"/>
      <c r="U802" s="28"/>
    </row>
    <row r="803" ht="15.75" customHeight="1">
      <c r="P803" s="25"/>
      <c r="Q803" s="25"/>
      <c r="R803" s="25"/>
      <c r="S803" s="25"/>
      <c r="T803" s="141"/>
      <c r="U803" s="28"/>
    </row>
    <row r="804" ht="15.75" customHeight="1">
      <c r="P804" s="25"/>
      <c r="Q804" s="25"/>
      <c r="R804" s="25"/>
      <c r="S804" s="25"/>
      <c r="T804" s="141"/>
      <c r="U804" s="28"/>
    </row>
    <row r="805" ht="15.75" customHeight="1">
      <c r="P805" s="25"/>
      <c r="Q805" s="25"/>
      <c r="R805" s="25"/>
      <c r="S805" s="25"/>
      <c r="T805" s="141"/>
      <c r="U805" s="28"/>
    </row>
    <row r="806" ht="15.75" customHeight="1">
      <c r="P806" s="25"/>
      <c r="Q806" s="25"/>
      <c r="R806" s="25"/>
      <c r="S806" s="25"/>
      <c r="T806" s="141"/>
      <c r="U806" s="28"/>
    </row>
    <row r="807" ht="15.75" customHeight="1">
      <c r="P807" s="25"/>
      <c r="Q807" s="25"/>
      <c r="R807" s="25"/>
      <c r="S807" s="25"/>
      <c r="T807" s="141"/>
      <c r="U807" s="28"/>
    </row>
    <row r="808" ht="15.75" customHeight="1">
      <c r="P808" s="25"/>
      <c r="Q808" s="25"/>
      <c r="R808" s="25"/>
      <c r="S808" s="25"/>
      <c r="T808" s="141"/>
      <c r="U808" s="28"/>
    </row>
    <row r="809" ht="15.75" customHeight="1">
      <c r="P809" s="25"/>
      <c r="Q809" s="25"/>
      <c r="R809" s="25"/>
      <c r="S809" s="25"/>
      <c r="T809" s="141"/>
      <c r="U809" s="28"/>
    </row>
    <row r="810" ht="15.75" customHeight="1">
      <c r="P810" s="25"/>
      <c r="Q810" s="25"/>
      <c r="R810" s="25"/>
      <c r="S810" s="25"/>
      <c r="T810" s="141"/>
      <c r="U810" s="28"/>
    </row>
    <row r="811" ht="15.75" customHeight="1">
      <c r="P811" s="25"/>
      <c r="Q811" s="25"/>
      <c r="R811" s="25"/>
      <c r="S811" s="25"/>
      <c r="T811" s="141"/>
      <c r="U811" s="28"/>
    </row>
    <row r="812" ht="15.75" customHeight="1">
      <c r="P812" s="25"/>
      <c r="Q812" s="25"/>
      <c r="R812" s="25"/>
      <c r="S812" s="25"/>
      <c r="T812" s="141"/>
      <c r="U812" s="28"/>
    </row>
    <row r="813" ht="15.75" customHeight="1">
      <c r="P813" s="25"/>
      <c r="Q813" s="25"/>
      <c r="R813" s="25"/>
      <c r="S813" s="25"/>
      <c r="T813" s="141"/>
      <c r="U813" s="28"/>
    </row>
    <row r="814" ht="15.75" customHeight="1">
      <c r="P814" s="25"/>
      <c r="Q814" s="25"/>
      <c r="R814" s="25"/>
      <c r="S814" s="25"/>
      <c r="T814" s="141"/>
      <c r="U814" s="28"/>
    </row>
    <row r="815" ht="15.75" customHeight="1">
      <c r="P815" s="25"/>
      <c r="Q815" s="25"/>
      <c r="R815" s="25"/>
      <c r="S815" s="25"/>
      <c r="T815" s="141"/>
      <c r="U815" s="28"/>
    </row>
    <row r="816" ht="15.75" customHeight="1">
      <c r="P816" s="25"/>
      <c r="Q816" s="25"/>
      <c r="R816" s="25"/>
      <c r="S816" s="25"/>
      <c r="T816" s="141"/>
      <c r="U816" s="28"/>
    </row>
    <row r="817" ht="15.75" customHeight="1">
      <c r="P817" s="25"/>
      <c r="Q817" s="25"/>
      <c r="R817" s="25"/>
      <c r="S817" s="25"/>
      <c r="T817" s="141"/>
      <c r="U817" s="28"/>
    </row>
    <row r="818" ht="15.75" customHeight="1">
      <c r="P818" s="25"/>
      <c r="Q818" s="25"/>
      <c r="R818" s="25"/>
      <c r="S818" s="25"/>
      <c r="T818" s="141"/>
      <c r="U818" s="28"/>
    </row>
    <row r="819" ht="15.75" customHeight="1">
      <c r="P819" s="25"/>
      <c r="Q819" s="25"/>
      <c r="R819" s="25"/>
      <c r="S819" s="25"/>
      <c r="T819" s="141"/>
      <c r="U819" s="28"/>
    </row>
    <row r="820" ht="15.75" customHeight="1">
      <c r="P820" s="25"/>
      <c r="Q820" s="25"/>
      <c r="R820" s="25"/>
      <c r="S820" s="25"/>
      <c r="T820" s="141"/>
      <c r="U820" s="28"/>
    </row>
    <row r="821" ht="15.75" customHeight="1">
      <c r="P821" s="25"/>
      <c r="Q821" s="25"/>
      <c r="R821" s="25"/>
      <c r="S821" s="25"/>
      <c r="T821" s="141"/>
      <c r="U821" s="28"/>
    </row>
    <row r="822" ht="15.75" customHeight="1">
      <c r="P822" s="25"/>
      <c r="Q822" s="25"/>
      <c r="R822" s="25"/>
      <c r="S822" s="25"/>
      <c r="T822" s="141"/>
      <c r="U822" s="28"/>
    </row>
    <row r="823" ht="15.75" customHeight="1">
      <c r="P823" s="25"/>
      <c r="Q823" s="25"/>
      <c r="R823" s="25"/>
      <c r="S823" s="25"/>
      <c r="T823" s="141"/>
      <c r="U823" s="28"/>
    </row>
    <row r="824" ht="15.75" customHeight="1">
      <c r="P824" s="25"/>
      <c r="Q824" s="25"/>
      <c r="R824" s="25"/>
      <c r="S824" s="25"/>
      <c r="T824" s="141"/>
      <c r="U824" s="28"/>
    </row>
    <row r="825" ht="15.75" customHeight="1">
      <c r="P825" s="25"/>
      <c r="Q825" s="25"/>
      <c r="R825" s="25"/>
      <c r="S825" s="25"/>
      <c r="T825" s="141"/>
      <c r="U825" s="28"/>
    </row>
    <row r="826" ht="15.75" customHeight="1">
      <c r="P826" s="25"/>
      <c r="Q826" s="25"/>
      <c r="R826" s="25"/>
      <c r="S826" s="25"/>
      <c r="T826" s="141"/>
      <c r="U826" s="28"/>
    </row>
    <row r="827" ht="15.75" customHeight="1">
      <c r="P827" s="25"/>
      <c r="Q827" s="25"/>
      <c r="R827" s="25"/>
      <c r="S827" s="25"/>
      <c r="T827" s="141"/>
      <c r="U827" s="28"/>
    </row>
    <row r="828" ht="15.75" customHeight="1">
      <c r="P828" s="25"/>
      <c r="Q828" s="25"/>
      <c r="R828" s="25"/>
      <c r="S828" s="25"/>
      <c r="T828" s="141"/>
      <c r="U828" s="28"/>
    </row>
    <row r="829" ht="15.75" customHeight="1">
      <c r="P829" s="25"/>
      <c r="Q829" s="25"/>
      <c r="R829" s="25"/>
      <c r="S829" s="25"/>
      <c r="T829" s="141"/>
      <c r="U829" s="28"/>
    </row>
    <row r="830" ht="15.75" customHeight="1">
      <c r="P830" s="25"/>
      <c r="Q830" s="25"/>
      <c r="R830" s="25"/>
      <c r="S830" s="25"/>
      <c r="T830" s="141"/>
      <c r="U830" s="28"/>
    </row>
    <row r="831" ht="15.75" customHeight="1">
      <c r="P831" s="25"/>
      <c r="Q831" s="25"/>
      <c r="R831" s="25"/>
      <c r="S831" s="25"/>
      <c r="T831" s="141"/>
      <c r="U831" s="28"/>
    </row>
    <row r="832" ht="15.75" customHeight="1">
      <c r="P832" s="25"/>
      <c r="Q832" s="25"/>
      <c r="R832" s="25"/>
      <c r="S832" s="25"/>
      <c r="T832" s="141"/>
      <c r="U832" s="28"/>
    </row>
    <row r="833" ht="15.75" customHeight="1">
      <c r="P833" s="25"/>
      <c r="Q833" s="25"/>
      <c r="R833" s="25"/>
      <c r="S833" s="25"/>
      <c r="T833" s="141"/>
      <c r="U833" s="28"/>
    </row>
    <row r="834" ht="15.75" customHeight="1">
      <c r="P834" s="25"/>
      <c r="Q834" s="25"/>
      <c r="R834" s="25"/>
      <c r="S834" s="25"/>
      <c r="T834" s="141"/>
      <c r="U834" s="28"/>
    </row>
    <row r="835" ht="15.75" customHeight="1">
      <c r="P835" s="25"/>
      <c r="Q835" s="25"/>
      <c r="R835" s="25"/>
      <c r="S835" s="25"/>
      <c r="T835" s="141"/>
      <c r="U835" s="28"/>
    </row>
    <row r="836" ht="15.75" customHeight="1">
      <c r="P836" s="25"/>
      <c r="Q836" s="25"/>
      <c r="R836" s="25"/>
      <c r="S836" s="25"/>
      <c r="T836" s="141"/>
      <c r="U836" s="28"/>
    </row>
    <row r="837" ht="15.75" customHeight="1">
      <c r="P837" s="25"/>
      <c r="Q837" s="25"/>
      <c r="R837" s="25"/>
      <c r="S837" s="25"/>
      <c r="T837" s="141"/>
      <c r="U837" s="28"/>
    </row>
    <row r="838" ht="15.75" customHeight="1">
      <c r="P838" s="25"/>
      <c r="Q838" s="25"/>
      <c r="R838" s="25"/>
      <c r="S838" s="25"/>
      <c r="T838" s="141"/>
      <c r="U838" s="28"/>
    </row>
    <row r="839" ht="15.75" customHeight="1">
      <c r="P839" s="25"/>
      <c r="Q839" s="25"/>
      <c r="R839" s="25"/>
      <c r="S839" s="25"/>
      <c r="T839" s="141"/>
      <c r="U839" s="28"/>
    </row>
    <row r="840" ht="15.75" customHeight="1">
      <c r="P840" s="25"/>
      <c r="Q840" s="25"/>
      <c r="R840" s="25"/>
      <c r="S840" s="25"/>
      <c r="T840" s="141"/>
      <c r="U840" s="28"/>
    </row>
    <row r="841" ht="15.75" customHeight="1">
      <c r="P841" s="25"/>
      <c r="Q841" s="25"/>
      <c r="R841" s="25"/>
      <c r="S841" s="25"/>
      <c r="T841" s="141"/>
      <c r="U841" s="28"/>
    </row>
    <row r="842" ht="15.75" customHeight="1">
      <c r="P842" s="25"/>
      <c r="Q842" s="25"/>
      <c r="R842" s="25"/>
      <c r="S842" s="25"/>
      <c r="T842" s="141"/>
      <c r="U842" s="28"/>
    </row>
    <row r="843" ht="15.75" customHeight="1">
      <c r="P843" s="25"/>
      <c r="Q843" s="25"/>
      <c r="R843" s="25"/>
      <c r="S843" s="25"/>
      <c r="T843" s="141"/>
      <c r="U843" s="28"/>
    </row>
    <row r="844" ht="15.75" customHeight="1">
      <c r="P844" s="25"/>
      <c r="Q844" s="25"/>
      <c r="R844" s="25"/>
      <c r="S844" s="25"/>
      <c r="T844" s="141"/>
      <c r="U844" s="28"/>
    </row>
    <row r="845" ht="15.75" customHeight="1">
      <c r="P845" s="25"/>
      <c r="Q845" s="25"/>
      <c r="R845" s="25"/>
      <c r="S845" s="25"/>
      <c r="T845" s="141"/>
      <c r="U845" s="28"/>
    </row>
    <row r="846" ht="15.75" customHeight="1">
      <c r="P846" s="25"/>
      <c r="Q846" s="25"/>
      <c r="R846" s="25"/>
      <c r="S846" s="25"/>
      <c r="T846" s="141"/>
      <c r="U846" s="28"/>
    </row>
    <row r="847" ht="15.75" customHeight="1">
      <c r="P847" s="25"/>
      <c r="Q847" s="25"/>
      <c r="R847" s="25"/>
      <c r="S847" s="25"/>
      <c r="T847" s="141"/>
      <c r="U847" s="28"/>
    </row>
    <row r="848" ht="15.75" customHeight="1">
      <c r="P848" s="25"/>
      <c r="Q848" s="25"/>
      <c r="R848" s="25"/>
      <c r="S848" s="25"/>
      <c r="T848" s="141"/>
      <c r="U848" s="28"/>
    </row>
    <row r="849" ht="15.75" customHeight="1">
      <c r="P849" s="25"/>
      <c r="Q849" s="25"/>
      <c r="R849" s="25"/>
      <c r="S849" s="25"/>
      <c r="T849" s="141"/>
      <c r="U849" s="28"/>
    </row>
    <row r="850" ht="15.75" customHeight="1">
      <c r="P850" s="25"/>
      <c r="Q850" s="25"/>
      <c r="R850" s="25"/>
      <c r="S850" s="25"/>
      <c r="T850" s="141"/>
      <c r="U850" s="28"/>
    </row>
    <row r="851" ht="15.75" customHeight="1">
      <c r="P851" s="25"/>
      <c r="Q851" s="25"/>
      <c r="R851" s="25"/>
      <c r="S851" s="25"/>
      <c r="T851" s="141"/>
      <c r="U851" s="28"/>
    </row>
    <row r="852" ht="15.75" customHeight="1">
      <c r="P852" s="25"/>
      <c r="Q852" s="25"/>
      <c r="R852" s="25"/>
      <c r="S852" s="25"/>
      <c r="T852" s="141"/>
      <c r="U852" s="28"/>
    </row>
    <row r="853" ht="15.75" customHeight="1">
      <c r="P853" s="25"/>
      <c r="Q853" s="25"/>
      <c r="R853" s="25"/>
      <c r="S853" s="25"/>
      <c r="T853" s="141"/>
      <c r="U853" s="28"/>
    </row>
    <row r="854" ht="15.75" customHeight="1">
      <c r="P854" s="25"/>
      <c r="Q854" s="25"/>
      <c r="R854" s="25"/>
      <c r="S854" s="25"/>
      <c r="T854" s="141"/>
      <c r="U854" s="28"/>
    </row>
    <row r="855" ht="15.75" customHeight="1">
      <c r="P855" s="25"/>
      <c r="Q855" s="25"/>
      <c r="R855" s="25"/>
      <c r="S855" s="25"/>
      <c r="T855" s="141"/>
      <c r="U855" s="28"/>
    </row>
    <row r="856" ht="15.75" customHeight="1">
      <c r="P856" s="25"/>
      <c r="Q856" s="25"/>
      <c r="R856" s="25"/>
      <c r="S856" s="25"/>
      <c r="T856" s="141"/>
      <c r="U856" s="28"/>
    </row>
    <row r="857" ht="15.75" customHeight="1">
      <c r="P857" s="25"/>
      <c r="Q857" s="25"/>
      <c r="R857" s="25"/>
      <c r="S857" s="25"/>
      <c r="T857" s="141"/>
      <c r="U857" s="28"/>
    </row>
    <row r="858" ht="15.75" customHeight="1">
      <c r="P858" s="25"/>
      <c r="Q858" s="25"/>
      <c r="R858" s="25"/>
      <c r="S858" s="25"/>
      <c r="T858" s="141"/>
      <c r="U858" s="28"/>
    </row>
    <row r="859" ht="15.75" customHeight="1">
      <c r="P859" s="25"/>
      <c r="Q859" s="25"/>
      <c r="R859" s="25"/>
      <c r="S859" s="25"/>
      <c r="T859" s="141"/>
      <c r="U859" s="28"/>
    </row>
    <row r="860" ht="15.75" customHeight="1">
      <c r="P860" s="25"/>
      <c r="Q860" s="25"/>
      <c r="R860" s="25"/>
      <c r="S860" s="25"/>
      <c r="T860" s="141"/>
      <c r="U860" s="28"/>
    </row>
    <row r="861" ht="15.75" customHeight="1">
      <c r="P861" s="25"/>
      <c r="Q861" s="25"/>
      <c r="R861" s="25"/>
      <c r="S861" s="25"/>
      <c r="T861" s="141"/>
      <c r="U861" s="28"/>
    </row>
    <row r="862" ht="15.75" customHeight="1">
      <c r="P862" s="25"/>
      <c r="Q862" s="25"/>
      <c r="R862" s="25"/>
      <c r="S862" s="25"/>
      <c r="T862" s="141"/>
      <c r="U862" s="28"/>
    </row>
    <row r="863" ht="15.75" customHeight="1">
      <c r="P863" s="25"/>
      <c r="Q863" s="25"/>
      <c r="R863" s="25"/>
      <c r="S863" s="25"/>
      <c r="T863" s="141"/>
      <c r="U863" s="28"/>
    </row>
    <row r="864" ht="15.75" customHeight="1">
      <c r="P864" s="25"/>
      <c r="Q864" s="25"/>
      <c r="R864" s="25"/>
      <c r="S864" s="25"/>
      <c r="T864" s="141"/>
      <c r="U864" s="28"/>
    </row>
    <row r="865" ht="15.75" customHeight="1">
      <c r="P865" s="25"/>
      <c r="Q865" s="25"/>
      <c r="R865" s="25"/>
      <c r="S865" s="25"/>
      <c r="T865" s="141"/>
      <c r="U865" s="28"/>
    </row>
    <row r="866" ht="15.75" customHeight="1">
      <c r="P866" s="25"/>
      <c r="Q866" s="25"/>
      <c r="R866" s="25"/>
      <c r="S866" s="25"/>
      <c r="T866" s="141"/>
      <c r="U866" s="28"/>
    </row>
    <row r="867" ht="15.75" customHeight="1">
      <c r="P867" s="25"/>
      <c r="Q867" s="25"/>
      <c r="R867" s="25"/>
      <c r="S867" s="25"/>
      <c r="T867" s="141"/>
      <c r="U867" s="28"/>
    </row>
    <row r="868" ht="15.75" customHeight="1">
      <c r="P868" s="25"/>
      <c r="Q868" s="25"/>
      <c r="R868" s="25"/>
      <c r="S868" s="25"/>
      <c r="T868" s="141"/>
      <c r="U868" s="28"/>
    </row>
    <row r="869" ht="15.75" customHeight="1">
      <c r="P869" s="25"/>
      <c r="Q869" s="25"/>
      <c r="R869" s="25"/>
      <c r="S869" s="25"/>
      <c r="T869" s="141"/>
      <c r="U869" s="28"/>
    </row>
    <row r="870" ht="15.75" customHeight="1">
      <c r="P870" s="25"/>
      <c r="Q870" s="25"/>
      <c r="R870" s="25"/>
      <c r="S870" s="25"/>
      <c r="T870" s="141"/>
      <c r="U870" s="28"/>
    </row>
    <row r="871" ht="15.75" customHeight="1">
      <c r="P871" s="25"/>
      <c r="Q871" s="25"/>
      <c r="R871" s="25"/>
      <c r="S871" s="25"/>
      <c r="T871" s="141"/>
      <c r="U871" s="28"/>
    </row>
    <row r="872" ht="15.75" customHeight="1">
      <c r="P872" s="25"/>
      <c r="Q872" s="25"/>
      <c r="R872" s="25"/>
      <c r="S872" s="25"/>
      <c r="T872" s="141"/>
      <c r="U872" s="28"/>
    </row>
    <row r="873" ht="15.75" customHeight="1">
      <c r="P873" s="25"/>
      <c r="Q873" s="25"/>
      <c r="R873" s="25"/>
      <c r="S873" s="25"/>
      <c r="T873" s="141"/>
      <c r="U873" s="28"/>
    </row>
    <row r="874" ht="15.75" customHeight="1">
      <c r="P874" s="25"/>
      <c r="Q874" s="25"/>
      <c r="R874" s="25"/>
      <c r="S874" s="25"/>
      <c r="T874" s="141"/>
      <c r="U874" s="28"/>
    </row>
    <row r="875" ht="15.75" customHeight="1">
      <c r="P875" s="25"/>
      <c r="Q875" s="25"/>
      <c r="R875" s="25"/>
      <c r="S875" s="25"/>
      <c r="T875" s="141"/>
      <c r="U875" s="28"/>
    </row>
    <row r="876" ht="15.75" customHeight="1">
      <c r="P876" s="25"/>
      <c r="Q876" s="25"/>
      <c r="R876" s="25"/>
      <c r="S876" s="25"/>
      <c r="T876" s="141"/>
      <c r="U876" s="28"/>
    </row>
    <row r="877" ht="15.75" customHeight="1">
      <c r="P877" s="25"/>
      <c r="Q877" s="25"/>
      <c r="R877" s="25"/>
      <c r="S877" s="25"/>
      <c r="T877" s="141"/>
      <c r="U877" s="28"/>
    </row>
    <row r="878" ht="15.75" customHeight="1">
      <c r="P878" s="25"/>
      <c r="Q878" s="25"/>
      <c r="R878" s="25"/>
      <c r="S878" s="25"/>
      <c r="T878" s="141"/>
      <c r="U878" s="28"/>
    </row>
    <row r="879" ht="15.75" customHeight="1">
      <c r="P879" s="25"/>
      <c r="Q879" s="25"/>
      <c r="R879" s="25"/>
      <c r="S879" s="25"/>
      <c r="T879" s="141"/>
      <c r="U879" s="28"/>
    </row>
    <row r="880" ht="15.75" customHeight="1">
      <c r="P880" s="25"/>
      <c r="Q880" s="25"/>
      <c r="R880" s="25"/>
      <c r="S880" s="25"/>
      <c r="T880" s="141"/>
      <c r="U880" s="28"/>
    </row>
    <row r="881" ht="15.75" customHeight="1">
      <c r="P881" s="25"/>
      <c r="Q881" s="25"/>
      <c r="R881" s="25"/>
      <c r="S881" s="25"/>
      <c r="T881" s="141"/>
      <c r="U881" s="28"/>
    </row>
    <row r="882" ht="15.75" customHeight="1">
      <c r="P882" s="25"/>
      <c r="Q882" s="25"/>
      <c r="R882" s="25"/>
      <c r="S882" s="25"/>
      <c r="T882" s="141"/>
      <c r="U882" s="28"/>
    </row>
    <row r="883" ht="15.75" customHeight="1">
      <c r="P883" s="25"/>
      <c r="Q883" s="25"/>
      <c r="R883" s="25"/>
      <c r="S883" s="25"/>
      <c r="T883" s="141"/>
      <c r="U883" s="28"/>
    </row>
    <row r="884" ht="15.75" customHeight="1">
      <c r="P884" s="25"/>
      <c r="Q884" s="25"/>
      <c r="R884" s="25"/>
      <c r="S884" s="25"/>
      <c r="T884" s="141"/>
      <c r="U884" s="28"/>
    </row>
    <row r="885" ht="15.75" customHeight="1">
      <c r="P885" s="25"/>
      <c r="Q885" s="25"/>
      <c r="R885" s="25"/>
      <c r="S885" s="25"/>
      <c r="T885" s="141"/>
      <c r="U885" s="28"/>
    </row>
    <row r="886" ht="15.75" customHeight="1">
      <c r="P886" s="25"/>
      <c r="Q886" s="25"/>
      <c r="R886" s="25"/>
      <c r="S886" s="25"/>
      <c r="T886" s="141"/>
      <c r="U886" s="28"/>
    </row>
    <row r="887" ht="15.75" customHeight="1">
      <c r="P887" s="25"/>
      <c r="Q887" s="25"/>
      <c r="R887" s="25"/>
      <c r="S887" s="25"/>
      <c r="T887" s="141"/>
      <c r="U887" s="28"/>
    </row>
    <row r="888" ht="15.75" customHeight="1">
      <c r="P888" s="25"/>
      <c r="Q888" s="25"/>
      <c r="R888" s="25"/>
      <c r="S888" s="25"/>
      <c r="T888" s="141"/>
      <c r="U888" s="28"/>
    </row>
    <row r="889" ht="15.75" customHeight="1">
      <c r="P889" s="25"/>
      <c r="Q889" s="25"/>
      <c r="R889" s="25"/>
      <c r="S889" s="25"/>
      <c r="T889" s="141"/>
      <c r="U889" s="28"/>
    </row>
    <row r="890" ht="15.75" customHeight="1">
      <c r="P890" s="25"/>
      <c r="Q890" s="25"/>
      <c r="R890" s="25"/>
      <c r="S890" s="25"/>
      <c r="T890" s="141"/>
      <c r="U890" s="28"/>
    </row>
    <row r="891" ht="15.75" customHeight="1">
      <c r="P891" s="25"/>
      <c r="Q891" s="25"/>
      <c r="R891" s="25"/>
      <c r="S891" s="25"/>
      <c r="T891" s="141"/>
      <c r="U891" s="28"/>
    </row>
    <row r="892" ht="15.75" customHeight="1">
      <c r="P892" s="25"/>
      <c r="Q892" s="25"/>
      <c r="R892" s="25"/>
      <c r="S892" s="25"/>
      <c r="T892" s="141"/>
      <c r="U892" s="28"/>
    </row>
    <row r="893" ht="15.75" customHeight="1">
      <c r="P893" s="25"/>
      <c r="Q893" s="25"/>
      <c r="R893" s="25"/>
      <c r="S893" s="25"/>
      <c r="T893" s="141"/>
      <c r="U893" s="28"/>
    </row>
    <row r="894" ht="15.75" customHeight="1">
      <c r="P894" s="25"/>
      <c r="Q894" s="25"/>
      <c r="R894" s="25"/>
      <c r="S894" s="25"/>
      <c r="T894" s="141"/>
      <c r="U894" s="28"/>
    </row>
    <row r="895" ht="15.75" customHeight="1">
      <c r="P895" s="25"/>
      <c r="Q895" s="25"/>
      <c r="R895" s="25"/>
      <c r="S895" s="25"/>
      <c r="T895" s="141"/>
      <c r="U895" s="28"/>
    </row>
    <row r="896" ht="15.75" customHeight="1">
      <c r="P896" s="25"/>
      <c r="Q896" s="25"/>
      <c r="R896" s="25"/>
      <c r="S896" s="25"/>
      <c r="T896" s="141"/>
      <c r="U896" s="28"/>
    </row>
    <row r="897" ht="15.75" customHeight="1">
      <c r="P897" s="25"/>
      <c r="Q897" s="25"/>
      <c r="R897" s="25"/>
      <c r="S897" s="25"/>
      <c r="T897" s="141"/>
      <c r="U897" s="28"/>
    </row>
    <row r="898" ht="15.75" customHeight="1">
      <c r="P898" s="25"/>
      <c r="Q898" s="25"/>
      <c r="R898" s="25"/>
      <c r="S898" s="25"/>
      <c r="T898" s="141"/>
      <c r="U898" s="28"/>
    </row>
    <row r="899" ht="15.75" customHeight="1">
      <c r="P899" s="25"/>
      <c r="Q899" s="25"/>
      <c r="R899" s="25"/>
      <c r="S899" s="25"/>
      <c r="T899" s="141"/>
      <c r="U899" s="28"/>
    </row>
    <row r="900" ht="15.75" customHeight="1">
      <c r="P900" s="25"/>
      <c r="Q900" s="25"/>
      <c r="R900" s="25"/>
      <c r="S900" s="25"/>
      <c r="T900" s="141"/>
      <c r="U900" s="28"/>
    </row>
    <row r="901" ht="15.75" customHeight="1">
      <c r="P901" s="25"/>
      <c r="Q901" s="25"/>
      <c r="R901" s="25"/>
      <c r="S901" s="25"/>
      <c r="T901" s="141"/>
      <c r="U901" s="28"/>
    </row>
    <row r="902" ht="15.75" customHeight="1">
      <c r="P902" s="25"/>
      <c r="Q902" s="25"/>
      <c r="R902" s="25"/>
      <c r="S902" s="25"/>
      <c r="T902" s="141"/>
      <c r="U902" s="28"/>
    </row>
    <row r="903" ht="15.75" customHeight="1">
      <c r="P903" s="25"/>
      <c r="Q903" s="25"/>
      <c r="R903" s="25"/>
      <c r="S903" s="25"/>
      <c r="T903" s="141"/>
      <c r="U903" s="28"/>
    </row>
    <row r="904" ht="15.75" customHeight="1">
      <c r="P904" s="25"/>
      <c r="Q904" s="25"/>
      <c r="R904" s="25"/>
      <c r="S904" s="25"/>
      <c r="T904" s="141"/>
      <c r="U904" s="28"/>
    </row>
    <row r="905" ht="15.75" customHeight="1">
      <c r="P905" s="25"/>
      <c r="Q905" s="25"/>
      <c r="R905" s="25"/>
      <c r="S905" s="25"/>
      <c r="T905" s="141"/>
      <c r="U905" s="28"/>
    </row>
    <row r="906" ht="15.75" customHeight="1">
      <c r="P906" s="25"/>
      <c r="Q906" s="25"/>
      <c r="R906" s="25"/>
      <c r="S906" s="25"/>
      <c r="T906" s="141"/>
      <c r="U906" s="28"/>
    </row>
    <row r="907" ht="15.75" customHeight="1">
      <c r="P907" s="25"/>
      <c r="Q907" s="25"/>
      <c r="R907" s="25"/>
      <c r="S907" s="25"/>
      <c r="T907" s="141"/>
      <c r="U907" s="28"/>
    </row>
    <row r="908" ht="15.75" customHeight="1">
      <c r="P908" s="25"/>
      <c r="Q908" s="25"/>
      <c r="R908" s="25"/>
      <c r="S908" s="25"/>
      <c r="T908" s="141"/>
      <c r="U908" s="28"/>
    </row>
    <row r="909" ht="15.75" customHeight="1">
      <c r="P909" s="25"/>
      <c r="Q909" s="25"/>
      <c r="R909" s="25"/>
      <c r="S909" s="25"/>
      <c r="T909" s="141"/>
      <c r="U909" s="28"/>
    </row>
    <row r="910" ht="15.75" customHeight="1">
      <c r="P910" s="25"/>
      <c r="Q910" s="25"/>
      <c r="R910" s="25"/>
      <c r="S910" s="25"/>
      <c r="T910" s="141"/>
      <c r="U910" s="28"/>
    </row>
    <row r="911" ht="15.75" customHeight="1">
      <c r="P911" s="25"/>
      <c r="Q911" s="25"/>
      <c r="R911" s="25"/>
      <c r="S911" s="25"/>
      <c r="T911" s="141"/>
      <c r="U911" s="28"/>
    </row>
    <row r="912" ht="15.75" customHeight="1">
      <c r="P912" s="25"/>
      <c r="Q912" s="25"/>
      <c r="R912" s="25"/>
      <c r="S912" s="25"/>
      <c r="T912" s="141"/>
      <c r="U912" s="28"/>
    </row>
    <row r="913" ht="15.75" customHeight="1">
      <c r="P913" s="25"/>
      <c r="Q913" s="25"/>
      <c r="R913" s="25"/>
      <c r="S913" s="25"/>
      <c r="T913" s="141"/>
      <c r="U913" s="28"/>
    </row>
    <row r="914" ht="15.75" customHeight="1">
      <c r="P914" s="25"/>
      <c r="Q914" s="25"/>
      <c r="R914" s="25"/>
      <c r="S914" s="25"/>
      <c r="T914" s="141"/>
      <c r="U914" s="28"/>
    </row>
    <row r="915" ht="15.75" customHeight="1">
      <c r="P915" s="25"/>
      <c r="Q915" s="25"/>
      <c r="R915" s="25"/>
      <c r="S915" s="25"/>
      <c r="T915" s="141"/>
      <c r="U915" s="28"/>
    </row>
    <row r="916" ht="15.75" customHeight="1">
      <c r="P916" s="25"/>
      <c r="Q916" s="25"/>
      <c r="R916" s="25"/>
      <c r="S916" s="25"/>
      <c r="T916" s="141"/>
      <c r="U916" s="28"/>
    </row>
    <row r="917" ht="15.75" customHeight="1">
      <c r="P917" s="25"/>
      <c r="Q917" s="25"/>
      <c r="R917" s="25"/>
      <c r="S917" s="25"/>
      <c r="T917" s="141"/>
      <c r="U917" s="28"/>
    </row>
    <row r="918" ht="15.75" customHeight="1">
      <c r="P918" s="25"/>
      <c r="Q918" s="25"/>
      <c r="R918" s="25"/>
      <c r="S918" s="25"/>
      <c r="T918" s="141"/>
      <c r="U918" s="28"/>
    </row>
    <row r="919" ht="15.75" customHeight="1">
      <c r="P919" s="25"/>
      <c r="Q919" s="25"/>
      <c r="R919" s="25"/>
      <c r="S919" s="25"/>
      <c r="T919" s="141"/>
      <c r="U919" s="28"/>
    </row>
    <row r="920" ht="15.75" customHeight="1">
      <c r="P920" s="25"/>
      <c r="Q920" s="25"/>
      <c r="R920" s="25"/>
      <c r="S920" s="25"/>
      <c r="T920" s="141"/>
      <c r="U920" s="28"/>
    </row>
    <row r="921" ht="15.75" customHeight="1">
      <c r="P921" s="25"/>
      <c r="Q921" s="25"/>
      <c r="R921" s="25"/>
      <c r="S921" s="25"/>
      <c r="T921" s="141"/>
      <c r="U921" s="28"/>
    </row>
    <row r="922" ht="15.75" customHeight="1">
      <c r="P922" s="25"/>
      <c r="Q922" s="25"/>
      <c r="R922" s="25"/>
      <c r="S922" s="25"/>
      <c r="T922" s="141"/>
      <c r="U922" s="28"/>
    </row>
    <row r="923" ht="15.75" customHeight="1">
      <c r="P923" s="25"/>
      <c r="Q923" s="25"/>
      <c r="R923" s="25"/>
      <c r="S923" s="25"/>
      <c r="T923" s="141"/>
      <c r="U923" s="28"/>
    </row>
    <row r="924" ht="15.75" customHeight="1">
      <c r="P924" s="25"/>
      <c r="Q924" s="25"/>
      <c r="R924" s="25"/>
      <c r="S924" s="25"/>
      <c r="T924" s="141"/>
      <c r="U924" s="28"/>
    </row>
    <row r="925" ht="15.75" customHeight="1">
      <c r="P925" s="25"/>
      <c r="Q925" s="25"/>
      <c r="R925" s="25"/>
      <c r="S925" s="25"/>
      <c r="T925" s="141"/>
      <c r="U925" s="28"/>
    </row>
    <row r="926" ht="15.75" customHeight="1">
      <c r="P926" s="25"/>
      <c r="Q926" s="25"/>
      <c r="R926" s="25"/>
      <c r="S926" s="25"/>
      <c r="T926" s="141"/>
      <c r="U926" s="28"/>
    </row>
    <row r="927" ht="15.75" customHeight="1">
      <c r="P927" s="25"/>
      <c r="Q927" s="25"/>
      <c r="R927" s="25"/>
      <c r="S927" s="25"/>
      <c r="T927" s="141"/>
      <c r="U927" s="28"/>
    </row>
    <row r="928" ht="15.75" customHeight="1">
      <c r="P928" s="25"/>
      <c r="Q928" s="25"/>
      <c r="R928" s="25"/>
      <c r="S928" s="25"/>
      <c r="T928" s="141"/>
      <c r="U928" s="28"/>
    </row>
    <row r="929" ht="15.75" customHeight="1">
      <c r="P929" s="25"/>
      <c r="Q929" s="25"/>
      <c r="R929" s="25"/>
      <c r="S929" s="25"/>
      <c r="T929" s="141"/>
      <c r="U929" s="28"/>
    </row>
    <row r="930" ht="15.75" customHeight="1">
      <c r="P930" s="25"/>
      <c r="Q930" s="25"/>
      <c r="R930" s="25"/>
      <c r="S930" s="25"/>
      <c r="T930" s="141"/>
      <c r="U930" s="28"/>
    </row>
    <row r="931" ht="15.75" customHeight="1">
      <c r="P931" s="25"/>
      <c r="Q931" s="25"/>
      <c r="R931" s="25"/>
      <c r="S931" s="25"/>
      <c r="T931" s="141"/>
      <c r="U931" s="28"/>
    </row>
    <row r="932" ht="15.75" customHeight="1">
      <c r="P932" s="25"/>
      <c r="Q932" s="25"/>
      <c r="R932" s="25"/>
      <c r="S932" s="25"/>
      <c r="T932" s="141"/>
      <c r="U932" s="28"/>
    </row>
    <row r="933" ht="15.75" customHeight="1">
      <c r="P933" s="25"/>
      <c r="Q933" s="25"/>
      <c r="R933" s="25"/>
      <c r="S933" s="25"/>
      <c r="T933" s="141"/>
      <c r="U933" s="28"/>
    </row>
    <row r="934" ht="15.75" customHeight="1">
      <c r="P934" s="25"/>
      <c r="Q934" s="25"/>
      <c r="R934" s="25"/>
      <c r="S934" s="25"/>
      <c r="T934" s="141"/>
      <c r="U934" s="28"/>
    </row>
    <row r="935" ht="15.75" customHeight="1">
      <c r="P935" s="25"/>
      <c r="Q935" s="25"/>
      <c r="R935" s="25"/>
      <c r="S935" s="25"/>
      <c r="T935" s="141"/>
      <c r="U935" s="28"/>
    </row>
    <row r="936" ht="15.75" customHeight="1">
      <c r="P936" s="25"/>
      <c r="Q936" s="25"/>
      <c r="R936" s="25"/>
      <c r="S936" s="25"/>
      <c r="T936" s="141"/>
      <c r="U936" s="28"/>
    </row>
    <row r="937" ht="15.75" customHeight="1">
      <c r="P937" s="25"/>
      <c r="Q937" s="25"/>
      <c r="R937" s="25"/>
      <c r="S937" s="25"/>
      <c r="T937" s="141"/>
      <c r="U937" s="28"/>
    </row>
    <row r="938" ht="15.75" customHeight="1">
      <c r="P938" s="25"/>
      <c r="Q938" s="25"/>
      <c r="R938" s="25"/>
      <c r="S938" s="25"/>
      <c r="T938" s="141"/>
      <c r="U938" s="28"/>
    </row>
    <row r="939" ht="15.75" customHeight="1">
      <c r="P939" s="25"/>
      <c r="Q939" s="25"/>
      <c r="R939" s="25"/>
      <c r="S939" s="25"/>
      <c r="T939" s="141"/>
      <c r="U939" s="28"/>
    </row>
    <row r="940" ht="15.75" customHeight="1">
      <c r="P940" s="25"/>
      <c r="Q940" s="25"/>
      <c r="R940" s="25"/>
      <c r="S940" s="25"/>
      <c r="T940" s="141"/>
      <c r="U940" s="28"/>
    </row>
    <row r="941" ht="15.75" customHeight="1">
      <c r="P941" s="25"/>
      <c r="Q941" s="25"/>
      <c r="R941" s="25"/>
      <c r="S941" s="25"/>
      <c r="T941" s="141"/>
      <c r="U941" s="28"/>
    </row>
    <row r="942" ht="15.75" customHeight="1">
      <c r="P942" s="25"/>
      <c r="Q942" s="25"/>
      <c r="R942" s="25"/>
      <c r="S942" s="25"/>
      <c r="T942" s="141"/>
      <c r="U942" s="28"/>
    </row>
    <row r="943" ht="15.75" customHeight="1">
      <c r="P943" s="25"/>
      <c r="Q943" s="25"/>
      <c r="R943" s="25"/>
      <c r="S943" s="25"/>
      <c r="T943" s="141"/>
      <c r="U943" s="28"/>
    </row>
    <row r="944" ht="15.75" customHeight="1">
      <c r="P944" s="25"/>
      <c r="Q944" s="25"/>
      <c r="R944" s="25"/>
      <c r="S944" s="25"/>
      <c r="T944" s="141"/>
      <c r="U944" s="28"/>
    </row>
    <row r="945" ht="15.75" customHeight="1">
      <c r="P945" s="25"/>
      <c r="Q945" s="25"/>
      <c r="R945" s="25"/>
      <c r="S945" s="25"/>
      <c r="T945" s="141"/>
      <c r="U945" s="28"/>
    </row>
    <row r="946" ht="15.75" customHeight="1">
      <c r="P946" s="25"/>
      <c r="Q946" s="25"/>
      <c r="R946" s="25"/>
      <c r="S946" s="25"/>
      <c r="T946" s="141"/>
      <c r="U946" s="28"/>
    </row>
    <row r="947" ht="15.75" customHeight="1">
      <c r="P947" s="25"/>
      <c r="Q947" s="25"/>
      <c r="R947" s="25"/>
      <c r="S947" s="25"/>
      <c r="T947" s="141"/>
      <c r="U947" s="28"/>
    </row>
    <row r="948" ht="15.75" customHeight="1">
      <c r="P948" s="25"/>
      <c r="Q948" s="25"/>
      <c r="R948" s="25"/>
      <c r="S948" s="25"/>
      <c r="T948" s="141"/>
      <c r="U948" s="28"/>
    </row>
    <row r="949" ht="15.75" customHeight="1">
      <c r="P949" s="25"/>
      <c r="Q949" s="25"/>
      <c r="R949" s="25"/>
      <c r="S949" s="25"/>
      <c r="T949" s="141"/>
      <c r="U949" s="28"/>
    </row>
    <row r="950" ht="15.75" customHeight="1">
      <c r="P950" s="25"/>
      <c r="Q950" s="25"/>
      <c r="R950" s="25"/>
      <c r="S950" s="25"/>
      <c r="T950" s="141"/>
      <c r="U950" s="28"/>
    </row>
    <row r="951" ht="15.75" customHeight="1">
      <c r="P951" s="25"/>
      <c r="Q951" s="25"/>
      <c r="R951" s="25"/>
      <c r="S951" s="25"/>
      <c r="T951" s="141"/>
      <c r="U951" s="28"/>
    </row>
    <row r="952" ht="15.75" customHeight="1">
      <c r="P952" s="25"/>
      <c r="Q952" s="25"/>
      <c r="R952" s="25"/>
      <c r="S952" s="25"/>
      <c r="T952" s="141"/>
      <c r="U952" s="28"/>
    </row>
    <row r="953" ht="15.75" customHeight="1">
      <c r="P953" s="25"/>
      <c r="Q953" s="25"/>
      <c r="R953" s="25"/>
      <c r="S953" s="25"/>
      <c r="T953" s="141"/>
      <c r="U953" s="28"/>
    </row>
    <row r="954" ht="15.75" customHeight="1">
      <c r="P954" s="25"/>
      <c r="Q954" s="25"/>
      <c r="R954" s="25"/>
      <c r="S954" s="25"/>
      <c r="T954" s="141"/>
      <c r="U954" s="28"/>
    </row>
    <row r="955" ht="15.75" customHeight="1">
      <c r="P955" s="25"/>
      <c r="Q955" s="25"/>
      <c r="R955" s="25"/>
      <c r="S955" s="25"/>
      <c r="T955" s="141"/>
      <c r="U955" s="28"/>
    </row>
    <row r="956" ht="15.75" customHeight="1">
      <c r="P956" s="25"/>
      <c r="Q956" s="25"/>
      <c r="R956" s="25"/>
      <c r="S956" s="25"/>
      <c r="T956" s="141"/>
      <c r="U956" s="28"/>
    </row>
    <row r="957" ht="15.75" customHeight="1">
      <c r="P957" s="25"/>
      <c r="Q957" s="25"/>
      <c r="R957" s="25"/>
      <c r="S957" s="25"/>
      <c r="T957" s="141"/>
      <c r="U957" s="28"/>
    </row>
    <row r="958" ht="15.75" customHeight="1">
      <c r="P958" s="25"/>
      <c r="Q958" s="25"/>
      <c r="R958" s="25"/>
      <c r="S958" s="25"/>
      <c r="T958" s="141"/>
      <c r="U958" s="28"/>
    </row>
    <row r="959" ht="15.75" customHeight="1">
      <c r="P959" s="25"/>
      <c r="Q959" s="25"/>
      <c r="R959" s="25"/>
      <c r="S959" s="25"/>
      <c r="T959" s="141"/>
      <c r="U959" s="28"/>
    </row>
    <row r="960" ht="15.75" customHeight="1">
      <c r="P960" s="25"/>
      <c r="Q960" s="25"/>
      <c r="R960" s="25"/>
      <c r="S960" s="25"/>
      <c r="T960" s="141"/>
      <c r="U960" s="28"/>
    </row>
    <row r="961" ht="15.75" customHeight="1">
      <c r="P961" s="25"/>
      <c r="Q961" s="25"/>
      <c r="R961" s="25"/>
      <c r="S961" s="25"/>
      <c r="T961" s="141"/>
      <c r="U961" s="28"/>
    </row>
    <row r="962" ht="15.75" customHeight="1">
      <c r="P962" s="25"/>
      <c r="Q962" s="25"/>
      <c r="R962" s="25"/>
      <c r="S962" s="25"/>
      <c r="T962" s="141"/>
      <c r="U962" s="28"/>
    </row>
    <row r="963" ht="15.75" customHeight="1">
      <c r="P963" s="25"/>
      <c r="Q963" s="25"/>
      <c r="R963" s="25"/>
      <c r="S963" s="25"/>
      <c r="T963" s="141"/>
      <c r="U963" s="28"/>
    </row>
    <row r="964" ht="15.75" customHeight="1">
      <c r="P964" s="25"/>
      <c r="Q964" s="25"/>
      <c r="R964" s="25"/>
      <c r="S964" s="25"/>
      <c r="T964" s="141"/>
      <c r="U964" s="28"/>
    </row>
    <row r="965" ht="15.75" customHeight="1">
      <c r="P965" s="25"/>
      <c r="Q965" s="25"/>
      <c r="R965" s="25"/>
      <c r="S965" s="25"/>
      <c r="T965" s="141"/>
      <c r="U965" s="28"/>
    </row>
    <row r="966" ht="15.75" customHeight="1">
      <c r="P966" s="25"/>
      <c r="Q966" s="25"/>
      <c r="R966" s="25"/>
      <c r="S966" s="25"/>
      <c r="T966" s="141"/>
      <c r="U966" s="28"/>
    </row>
    <row r="967" ht="15.75" customHeight="1">
      <c r="P967" s="25"/>
      <c r="Q967" s="25"/>
      <c r="R967" s="25"/>
      <c r="S967" s="25"/>
      <c r="T967" s="141"/>
      <c r="U967" s="28"/>
    </row>
    <row r="968" ht="15.75" customHeight="1">
      <c r="P968" s="25"/>
      <c r="Q968" s="25"/>
      <c r="R968" s="25"/>
      <c r="S968" s="25"/>
      <c r="T968" s="141"/>
      <c r="U968" s="28"/>
    </row>
    <row r="969" ht="15.75" customHeight="1">
      <c r="P969" s="25"/>
      <c r="Q969" s="25"/>
      <c r="R969" s="25"/>
      <c r="S969" s="25"/>
      <c r="T969" s="141"/>
      <c r="U969" s="28"/>
    </row>
    <row r="970" ht="15.75" customHeight="1">
      <c r="P970" s="25"/>
      <c r="Q970" s="25"/>
      <c r="R970" s="25"/>
      <c r="S970" s="25"/>
      <c r="T970" s="141"/>
      <c r="U970" s="28"/>
    </row>
    <row r="971" ht="15.75" customHeight="1">
      <c r="P971" s="25"/>
      <c r="Q971" s="25"/>
      <c r="R971" s="25"/>
      <c r="S971" s="25"/>
      <c r="T971" s="141"/>
      <c r="U971" s="28"/>
    </row>
    <row r="972" ht="15.75" customHeight="1">
      <c r="P972" s="25"/>
      <c r="Q972" s="25"/>
      <c r="R972" s="25"/>
      <c r="S972" s="25"/>
      <c r="T972" s="141"/>
      <c r="U972" s="28"/>
    </row>
    <row r="973" ht="15.75" customHeight="1">
      <c r="P973" s="25"/>
      <c r="Q973" s="25"/>
      <c r="R973" s="25"/>
      <c r="S973" s="25"/>
      <c r="T973" s="141"/>
      <c r="U973" s="28"/>
    </row>
    <row r="974" ht="15.75" customHeight="1">
      <c r="P974" s="25"/>
      <c r="Q974" s="25"/>
      <c r="R974" s="25"/>
      <c r="S974" s="25"/>
      <c r="T974" s="141"/>
      <c r="U974" s="28"/>
    </row>
    <row r="975" ht="15.75" customHeight="1">
      <c r="P975" s="25"/>
      <c r="Q975" s="25"/>
      <c r="R975" s="25"/>
      <c r="S975" s="25"/>
      <c r="T975" s="141"/>
      <c r="U975" s="28"/>
    </row>
    <row r="976" ht="15.75" customHeight="1">
      <c r="P976" s="25"/>
      <c r="Q976" s="25"/>
      <c r="R976" s="25"/>
      <c r="S976" s="25"/>
      <c r="T976" s="141"/>
      <c r="U976" s="28"/>
    </row>
    <row r="977" ht="15.75" customHeight="1">
      <c r="P977" s="25"/>
      <c r="Q977" s="25"/>
      <c r="R977" s="25"/>
      <c r="S977" s="25"/>
      <c r="T977" s="141"/>
      <c r="U977" s="28"/>
    </row>
    <row r="978" ht="15.75" customHeight="1">
      <c r="P978" s="25"/>
      <c r="Q978" s="25"/>
      <c r="R978" s="25"/>
      <c r="S978" s="25"/>
      <c r="T978" s="141"/>
      <c r="U978" s="28"/>
    </row>
    <row r="979" ht="15.75" customHeight="1">
      <c r="P979" s="25"/>
      <c r="Q979" s="25"/>
      <c r="R979" s="25"/>
      <c r="S979" s="25"/>
      <c r="T979" s="141"/>
      <c r="U979" s="28"/>
    </row>
    <row r="980" ht="15.75" customHeight="1">
      <c r="P980" s="25"/>
      <c r="Q980" s="25"/>
      <c r="R980" s="25"/>
      <c r="S980" s="25"/>
      <c r="T980" s="141"/>
      <c r="U980" s="28"/>
    </row>
    <row r="981" ht="15.75" customHeight="1">
      <c r="P981" s="25"/>
      <c r="Q981" s="25"/>
      <c r="R981" s="25"/>
      <c r="S981" s="25"/>
      <c r="T981" s="141"/>
      <c r="U981" s="28"/>
    </row>
    <row r="982" ht="15.75" customHeight="1">
      <c r="P982" s="25"/>
      <c r="Q982" s="25"/>
      <c r="R982" s="25"/>
      <c r="S982" s="25"/>
      <c r="T982" s="141"/>
      <c r="U982" s="28"/>
    </row>
    <row r="983" ht="15.75" customHeight="1">
      <c r="P983" s="25"/>
      <c r="Q983" s="25"/>
      <c r="R983" s="25"/>
      <c r="S983" s="25"/>
      <c r="T983" s="141"/>
      <c r="U983" s="28"/>
    </row>
    <row r="984" ht="15.75" customHeight="1">
      <c r="P984" s="25"/>
      <c r="Q984" s="25"/>
      <c r="R984" s="25"/>
      <c r="S984" s="25"/>
      <c r="T984" s="141"/>
      <c r="U984" s="28"/>
    </row>
    <row r="985" ht="15.75" customHeight="1">
      <c r="P985" s="25"/>
      <c r="Q985" s="25"/>
      <c r="R985" s="25"/>
      <c r="S985" s="25"/>
      <c r="T985" s="141"/>
      <c r="U985" s="28"/>
    </row>
    <row r="986" ht="15.75" customHeight="1">
      <c r="P986" s="25"/>
      <c r="Q986" s="25"/>
      <c r="R986" s="25"/>
      <c r="S986" s="25"/>
      <c r="T986" s="141"/>
      <c r="U986" s="28"/>
    </row>
    <row r="987" ht="15.75" customHeight="1">
      <c r="P987" s="25"/>
      <c r="Q987" s="25"/>
      <c r="R987" s="25"/>
      <c r="S987" s="25"/>
      <c r="T987" s="141"/>
      <c r="U987" s="28"/>
    </row>
    <row r="988" ht="15.75" customHeight="1">
      <c r="P988" s="25"/>
      <c r="Q988" s="25"/>
      <c r="R988" s="25"/>
      <c r="S988" s="25"/>
      <c r="T988" s="141"/>
      <c r="U988" s="28"/>
    </row>
    <row r="989" ht="15.75" customHeight="1">
      <c r="P989" s="25"/>
      <c r="Q989" s="25"/>
      <c r="R989" s="25"/>
      <c r="S989" s="25"/>
      <c r="T989" s="141"/>
      <c r="U989" s="28"/>
    </row>
    <row r="990" ht="15.75" customHeight="1">
      <c r="P990" s="25"/>
      <c r="Q990" s="25"/>
      <c r="R990" s="25"/>
      <c r="S990" s="25"/>
      <c r="T990" s="141"/>
      <c r="U990" s="28"/>
    </row>
    <row r="991" ht="15.75" customHeight="1">
      <c r="P991" s="25"/>
      <c r="Q991" s="25"/>
      <c r="R991" s="25"/>
      <c r="S991" s="25"/>
      <c r="T991" s="141"/>
      <c r="U991" s="28"/>
    </row>
    <row r="992" ht="15.75" customHeight="1">
      <c r="P992" s="25"/>
      <c r="Q992" s="25"/>
      <c r="R992" s="25"/>
      <c r="S992" s="25"/>
      <c r="T992" s="141"/>
      <c r="U992" s="28"/>
    </row>
    <row r="993" ht="15.75" customHeight="1">
      <c r="P993" s="25"/>
      <c r="Q993" s="25"/>
      <c r="R993" s="25"/>
      <c r="S993" s="25"/>
      <c r="T993" s="141"/>
      <c r="U993" s="28"/>
    </row>
    <row r="994" ht="15.75" customHeight="1">
      <c r="P994" s="25"/>
      <c r="Q994" s="25"/>
      <c r="R994" s="25"/>
      <c r="S994" s="25"/>
      <c r="T994" s="141"/>
      <c r="U994" s="28"/>
    </row>
    <row r="995" ht="15.75" customHeight="1">
      <c r="P995" s="25"/>
      <c r="Q995" s="25"/>
      <c r="R995" s="25"/>
      <c r="S995" s="25"/>
      <c r="T995" s="141"/>
      <c r="U995" s="28"/>
    </row>
    <row r="996" ht="15.75" customHeight="1">
      <c r="P996" s="25"/>
      <c r="Q996" s="25"/>
      <c r="R996" s="25"/>
      <c r="S996" s="25"/>
      <c r="T996" s="141"/>
      <c r="U996" s="28"/>
    </row>
    <row r="997" ht="15.75" customHeight="1">
      <c r="P997" s="25"/>
      <c r="Q997" s="25"/>
      <c r="R997" s="25"/>
      <c r="S997" s="25"/>
      <c r="T997" s="141"/>
      <c r="U997" s="28"/>
    </row>
    <row r="998" ht="15.75" customHeight="1">
      <c r="P998" s="25"/>
      <c r="Q998" s="25"/>
      <c r="R998" s="25"/>
      <c r="S998" s="25"/>
      <c r="T998" s="141"/>
      <c r="U998" s="28"/>
    </row>
    <row r="999" ht="15.75" customHeight="1">
      <c r="P999" s="25"/>
      <c r="Q999" s="25"/>
      <c r="R999" s="25"/>
      <c r="S999" s="25"/>
      <c r="T999" s="141"/>
      <c r="U999" s="28"/>
    </row>
    <row r="1000" ht="15.75" customHeight="1">
      <c r="P1000" s="25"/>
      <c r="Q1000" s="25"/>
      <c r="R1000" s="25"/>
      <c r="S1000" s="25"/>
      <c r="T1000" s="141"/>
      <c r="U1000" s="28"/>
    </row>
    <row r="1001" ht="15.75" customHeight="1">
      <c r="P1001" s="25"/>
      <c r="Q1001" s="25"/>
      <c r="R1001" s="25"/>
      <c r="S1001" s="25"/>
      <c r="T1001" s="141"/>
      <c r="U1001" s="28"/>
    </row>
    <row r="1002" ht="15.75" customHeight="1">
      <c r="P1002" s="25"/>
      <c r="Q1002" s="25"/>
      <c r="R1002" s="25"/>
      <c r="S1002" s="25"/>
      <c r="T1002" s="141"/>
      <c r="U1002" s="28"/>
    </row>
    <row r="1003" ht="15.75" customHeight="1">
      <c r="P1003" s="25"/>
      <c r="Q1003" s="25"/>
      <c r="R1003" s="25"/>
      <c r="S1003" s="25"/>
      <c r="T1003" s="141"/>
      <c r="U1003" s="28"/>
    </row>
    <row r="1004" ht="15.75" customHeight="1">
      <c r="P1004" s="25"/>
      <c r="Q1004" s="25"/>
      <c r="R1004" s="25"/>
      <c r="S1004" s="25"/>
      <c r="T1004" s="141"/>
      <c r="U1004" s="28"/>
    </row>
    <row r="1005" ht="15.75" customHeight="1">
      <c r="P1005" s="25"/>
      <c r="Q1005" s="25"/>
      <c r="R1005" s="25"/>
      <c r="S1005" s="25"/>
      <c r="T1005" s="141"/>
      <c r="U1005" s="28"/>
    </row>
    <row r="1006" ht="15.75" customHeight="1">
      <c r="P1006" s="25"/>
      <c r="Q1006" s="25"/>
      <c r="R1006" s="25"/>
      <c r="S1006" s="25"/>
      <c r="T1006" s="141"/>
      <c r="U1006" s="28"/>
    </row>
    <row r="1007" ht="15.75" customHeight="1">
      <c r="P1007" s="25"/>
      <c r="Q1007" s="25"/>
      <c r="R1007" s="25"/>
      <c r="S1007" s="25"/>
      <c r="T1007" s="141"/>
      <c r="U1007" s="28"/>
    </row>
    <row r="1008" ht="15.75" customHeight="1">
      <c r="P1008" s="25"/>
      <c r="Q1008" s="25"/>
      <c r="R1008" s="25"/>
      <c r="S1008" s="25"/>
      <c r="T1008" s="141"/>
      <c r="U1008" s="28"/>
    </row>
    <row r="1009" ht="15.75" customHeight="1">
      <c r="P1009" s="25"/>
      <c r="Q1009" s="25"/>
      <c r="R1009" s="25"/>
      <c r="S1009" s="25"/>
      <c r="T1009" s="141"/>
      <c r="U1009" s="28"/>
    </row>
    <row r="1010" ht="15.75" customHeight="1">
      <c r="P1010" s="25"/>
      <c r="Q1010" s="25"/>
      <c r="R1010" s="25"/>
      <c r="S1010" s="25"/>
      <c r="T1010" s="141"/>
      <c r="U1010" s="28"/>
    </row>
    <row r="1011" ht="15.75" customHeight="1">
      <c r="P1011" s="25"/>
      <c r="Q1011" s="25"/>
      <c r="R1011" s="25"/>
      <c r="S1011" s="25"/>
      <c r="T1011" s="141"/>
      <c r="U1011" s="28"/>
    </row>
    <row r="1012" ht="15.75" customHeight="1">
      <c r="P1012" s="25"/>
      <c r="Q1012" s="25"/>
      <c r="R1012" s="25"/>
      <c r="S1012" s="25"/>
      <c r="T1012" s="141"/>
      <c r="U1012" s="28"/>
    </row>
    <row r="1013" ht="15.75" customHeight="1">
      <c r="P1013" s="25"/>
      <c r="Q1013" s="25"/>
      <c r="R1013" s="25"/>
      <c r="S1013" s="25"/>
      <c r="T1013" s="141"/>
      <c r="U1013" s="28"/>
    </row>
    <row r="1014" ht="15.75" customHeight="1">
      <c r="P1014" s="25"/>
      <c r="Q1014" s="25"/>
      <c r="R1014" s="25"/>
      <c r="S1014" s="25"/>
      <c r="T1014" s="141"/>
      <c r="U1014" s="28"/>
    </row>
    <row r="1015" ht="15.75" customHeight="1">
      <c r="P1015" s="25"/>
      <c r="Q1015" s="25"/>
      <c r="R1015" s="25"/>
      <c r="S1015" s="25"/>
      <c r="T1015" s="141"/>
      <c r="U1015" s="28"/>
    </row>
    <row r="1016" ht="15.75" customHeight="1">
      <c r="P1016" s="25"/>
      <c r="Q1016" s="25"/>
      <c r="R1016" s="25"/>
      <c r="S1016" s="25"/>
      <c r="T1016" s="141"/>
      <c r="U1016" s="28"/>
    </row>
    <row r="1017" ht="15.75" customHeight="1">
      <c r="P1017" s="25"/>
      <c r="Q1017" s="25"/>
      <c r="R1017" s="25"/>
      <c r="S1017" s="25"/>
      <c r="T1017" s="141"/>
      <c r="U1017" s="28"/>
    </row>
    <row r="1018" ht="15.75" customHeight="1">
      <c r="P1018" s="25"/>
      <c r="Q1018" s="25"/>
      <c r="R1018" s="25"/>
      <c r="S1018" s="25"/>
      <c r="T1018" s="141"/>
      <c r="U1018" s="28"/>
    </row>
    <row r="1019" ht="15.75" customHeight="1">
      <c r="P1019" s="25"/>
      <c r="Q1019" s="25"/>
      <c r="R1019" s="25"/>
      <c r="S1019" s="25"/>
      <c r="T1019" s="141"/>
      <c r="U1019" s="28"/>
    </row>
    <row r="1020" ht="15.75" customHeight="1">
      <c r="P1020" s="25"/>
      <c r="Q1020" s="25"/>
      <c r="R1020" s="25"/>
      <c r="S1020" s="25"/>
      <c r="T1020" s="141"/>
      <c r="U1020" s="28"/>
    </row>
    <row r="1021" ht="15.75" customHeight="1">
      <c r="P1021" s="25"/>
      <c r="Q1021" s="25"/>
      <c r="R1021" s="25"/>
      <c r="S1021" s="25"/>
      <c r="T1021" s="141"/>
      <c r="U1021" s="28"/>
    </row>
    <row r="1022" ht="15.75" customHeight="1">
      <c r="P1022" s="25"/>
      <c r="Q1022" s="25"/>
      <c r="R1022" s="25"/>
      <c r="S1022" s="25"/>
      <c r="T1022" s="141"/>
      <c r="U1022" s="28"/>
    </row>
    <row r="1023" ht="15.75" customHeight="1">
      <c r="P1023" s="25"/>
      <c r="Q1023" s="25"/>
      <c r="R1023" s="25"/>
      <c r="S1023" s="25"/>
      <c r="T1023" s="141"/>
      <c r="U1023" s="28"/>
    </row>
    <row r="1024" ht="15.75" customHeight="1">
      <c r="P1024" s="25"/>
      <c r="Q1024" s="25"/>
      <c r="R1024" s="25"/>
      <c r="S1024" s="25"/>
      <c r="T1024" s="141"/>
      <c r="U1024" s="28"/>
    </row>
    <row r="1025" ht="15.75" customHeight="1">
      <c r="P1025" s="25"/>
      <c r="Q1025" s="25"/>
      <c r="R1025" s="25"/>
      <c r="S1025" s="25"/>
      <c r="T1025" s="141"/>
      <c r="U1025" s="28"/>
    </row>
    <row r="1026" ht="15.75" customHeight="1">
      <c r="P1026" s="25"/>
      <c r="Q1026" s="25"/>
      <c r="R1026" s="25"/>
      <c r="S1026" s="25"/>
      <c r="T1026" s="141"/>
      <c r="U1026" s="28"/>
    </row>
    <row r="1027" ht="15.75" customHeight="1">
      <c r="P1027" s="25"/>
      <c r="Q1027" s="25"/>
      <c r="R1027" s="25"/>
      <c r="S1027" s="25"/>
      <c r="T1027" s="141"/>
      <c r="U1027" s="28"/>
    </row>
    <row r="1028" ht="15.75" customHeight="1">
      <c r="P1028" s="25"/>
      <c r="Q1028" s="25"/>
      <c r="R1028" s="25"/>
      <c r="S1028" s="25"/>
      <c r="T1028" s="141"/>
      <c r="U1028" s="28"/>
    </row>
    <row r="1029" ht="15.75" customHeight="1">
      <c r="P1029" s="25"/>
      <c r="Q1029" s="25"/>
      <c r="R1029" s="25"/>
      <c r="S1029" s="25"/>
      <c r="T1029" s="141"/>
      <c r="U1029" s="28"/>
    </row>
    <row r="1030" ht="15.75" customHeight="1">
      <c r="P1030" s="25"/>
      <c r="Q1030" s="25"/>
      <c r="R1030" s="25"/>
      <c r="S1030" s="25"/>
      <c r="T1030" s="141"/>
      <c r="U1030" s="28"/>
    </row>
    <row r="1031" ht="15.75" customHeight="1">
      <c r="P1031" s="25"/>
      <c r="Q1031" s="25"/>
      <c r="R1031" s="25"/>
      <c r="S1031" s="25"/>
      <c r="T1031" s="141"/>
      <c r="U1031" s="28"/>
    </row>
    <row r="1032" ht="15.75" customHeight="1">
      <c r="P1032" s="25"/>
      <c r="Q1032" s="25"/>
      <c r="R1032" s="25"/>
      <c r="S1032" s="25"/>
      <c r="T1032" s="141"/>
      <c r="U1032" s="28"/>
    </row>
    <row r="1033" ht="15.75" customHeight="1">
      <c r="P1033" s="25"/>
      <c r="Q1033" s="25"/>
      <c r="R1033" s="25"/>
      <c r="S1033" s="25"/>
      <c r="T1033" s="141"/>
      <c r="U1033" s="28"/>
    </row>
    <row r="1034" ht="15.75" customHeight="1">
      <c r="P1034" s="25"/>
      <c r="Q1034" s="25"/>
      <c r="R1034" s="25"/>
      <c r="S1034" s="25"/>
      <c r="T1034" s="141"/>
      <c r="U1034" s="28"/>
    </row>
    <row r="1035" ht="15.75" customHeight="1">
      <c r="P1035" s="25"/>
      <c r="Q1035" s="25"/>
      <c r="R1035" s="25"/>
      <c r="S1035" s="25"/>
      <c r="T1035" s="141"/>
      <c r="U1035" s="28"/>
    </row>
    <row r="1036" ht="15.75" customHeight="1">
      <c r="P1036" s="25"/>
      <c r="Q1036" s="25"/>
      <c r="R1036" s="25"/>
      <c r="S1036" s="25"/>
      <c r="T1036" s="141"/>
      <c r="U1036" s="28"/>
    </row>
    <row r="1037" ht="15.75" customHeight="1">
      <c r="P1037" s="25"/>
      <c r="Q1037" s="25"/>
      <c r="R1037" s="25"/>
      <c r="S1037" s="25"/>
      <c r="T1037" s="141"/>
      <c r="U1037" s="28"/>
    </row>
    <row r="1038" ht="15.75" customHeight="1">
      <c r="P1038" s="25"/>
      <c r="Q1038" s="25"/>
      <c r="R1038" s="25"/>
      <c r="S1038" s="25"/>
      <c r="T1038" s="141"/>
      <c r="U1038" s="28"/>
    </row>
    <row r="1039" ht="15.75" customHeight="1">
      <c r="P1039" s="25"/>
      <c r="Q1039" s="25"/>
      <c r="R1039" s="25"/>
      <c r="S1039" s="25"/>
      <c r="T1039" s="141"/>
      <c r="U1039" s="28"/>
    </row>
    <row r="1040" ht="15.75" customHeight="1">
      <c r="P1040" s="25"/>
      <c r="Q1040" s="25"/>
      <c r="R1040" s="25"/>
      <c r="S1040" s="25"/>
      <c r="T1040" s="141"/>
      <c r="U1040" s="28"/>
    </row>
    <row r="1041" ht="15.75" customHeight="1">
      <c r="P1041" s="25"/>
      <c r="Q1041" s="25"/>
      <c r="R1041" s="25"/>
      <c r="S1041" s="25"/>
      <c r="T1041" s="141"/>
      <c r="U1041" s="28"/>
    </row>
    <row r="1042" ht="15.75" customHeight="1">
      <c r="P1042" s="25"/>
      <c r="Q1042" s="25"/>
      <c r="R1042" s="25"/>
      <c r="S1042" s="25"/>
      <c r="T1042" s="141"/>
      <c r="U1042" s="28"/>
    </row>
    <row r="1043" ht="15.75" customHeight="1">
      <c r="P1043" s="25"/>
      <c r="Q1043" s="25"/>
      <c r="R1043" s="25"/>
      <c r="S1043" s="25"/>
      <c r="T1043" s="141"/>
      <c r="U1043" s="28"/>
    </row>
    <row r="1044" ht="15.75" customHeight="1">
      <c r="P1044" s="25"/>
      <c r="Q1044" s="25"/>
      <c r="R1044" s="25"/>
      <c r="S1044" s="25"/>
      <c r="T1044" s="141"/>
      <c r="U1044" s="28"/>
    </row>
    <row r="1045" ht="15.75" customHeight="1">
      <c r="P1045" s="25"/>
      <c r="Q1045" s="25"/>
      <c r="R1045" s="25"/>
      <c r="S1045" s="25"/>
      <c r="T1045" s="141"/>
      <c r="U1045" s="28"/>
    </row>
    <row r="1046" ht="15.75" customHeight="1">
      <c r="P1046" s="25"/>
      <c r="Q1046" s="25"/>
      <c r="R1046" s="25"/>
      <c r="S1046" s="25"/>
      <c r="T1046" s="141"/>
      <c r="U1046" s="28"/>
    </row>
    <row r="1047" ht="15.75" customHeight="1">
      <c r="P1047" s="25"/>
      <c r="Q1047" s="25"/>
      <c r="R1047" s="25"/>
      <c r="S1047" s="25"/>
      <c r="T1047" s="141"/>
      <c r="U1047" s="28"/>
    </row>
    <row r="1048" ht="15.75" customHeight="1">
      <c r="P1048" s="25"/>
      <c r="Q1048" s="25"/>
      <c r="R1048" s="25"/>
      <c r="S1048" s="25"/>
      <c r="T1048" s="141"/>
      <c r="U1048" s="28"/>
    </row>
    <row r="1049" ht="15.75" customHeight="1">
      <c r="P1049" s="25"/>
      <c r="Q1049" s="25"/>
      <c r="R1049" s="25"/>
      <c r="S1049" s="25"/>
      <c r="T1049" s="141"/>
      <c r="U1049" s="28"/>
    </row>
    <row r="1050" ht="15.75" customHeight="1">
      <c r="P1050" s="25"/>
      <c r="Q1050" s="25"/>
      <c r="R1050" s="25"/>
      <c r="S1050" s="25"/>
      <c r="T1050" s="141"/>
      <c r="U1050" s="28"/>
    </row>
    <row r="1051" ht="15.75" customHeight="1">
      <c r="P1051" s="25"/>
      <c r="Q1051" s="25"/>
      <c r="R1051" s="25"/>
      <c r="S1051" s="25"/>
      <c r="T1051" s="141"/>
      <c r="U1051" s="28"/>
    </row>
    <row r="1052" ht="15.75" customHeight="1">
      <c r="P1052" s="25"/>
      <c r="Q1052" s="25"/>
      <c r="R1052" s="25"/>
      <c r="S1052" s="25"/>
      <c r="T1052" s="141"/>
      <c r="U1052" s="28"/>
    </row>
    <row r="1053" ht="15.75" customHeight="1">
      <c r="P1053" s="25"/>
      <c r="Q1053" s="25"/>
      <c r="R1053" s="25"/>
      <c r="S1053" s="25"/>
      <c r="T1053" s="141"/>
      <c r="U1053" s="28"/>
    </row>
    <row r="1054" ht="15.75" customHeight="1">
      <c r="P1054" s="25"/>
      <c r="Q1054" s="25"/>
      <c r="R1054" s="25"/>
      <c r="S1054" s="25"/>
      <c r="T1054" s="141"/>
      <c r="U1054" s="28"/>
    </row>
    <row r="1055" ht="15.75" customHeight="1">
      <c r="P1055" s="25"/>
      <c r="Q1055" s="25"/>
      <c r="R1055" s="25"/>
      <c r="S1055" s="25"/>
      <c r="T1055" s="141"/>
      <c r="U1055" s="28"/>
    </row>
    <row r="1056" ht="15.75" customHeight="1">
      <c r="P1056" s="25"/>
      <c r="Q1056" s="25"/>
      <c r="R1056" s="25"/>
      <c r="S1056" s="25"/>
      <c r="T1056" s="141"/>
      <c r="U1056" s="28"/>
    </row>
    <row r="1057" ht="15.75" customHeight="1">
      <c r="P1057" s="25"/>
      <c r="Q1057" s="25"/>
      <c r="R1057" s="25"/>
      <c r="S1057" s="25"/>
      <c r="T1057" s="141"/>
      <c r="U1057" s="28"/>
    </row>
    <row r="1058" ht="15.75" customHeight="1">
      <c r="P1058" s="25"/>
      <c r="Q1058" s="25"/>
      <c r="R1058" s="25"/>
      <c r="S1058" s="25"/>
      <c r="T1058" s="141"/>
      <c r="U1058" s="28"/>
    </row>
    <row r="1059" ht="15.75" customHeight="1">
      <c r="P1059" s="25"/>
      <c r="Q1059" s="25"/>
      <c r="R1059" s="25"/>
      <c r="S1059" s="25"/>
      <c r="T1059" s="141"/>
      <c r="U1059" s="28"/>
    </row>
    <row r="1060" ht="15.75" customHeight="1">
      <c r="P1060" s="25"/>
      <c r="Q1060" s="25"/>
      <c r="R1060" s="25"/>
      <c r="S1060" s="25"/>
      <c r="T1060" s="141"/>
      <c r="U1060" s="28"/>
    </row>
    <row r="1061" ht="15.75" customHeight="1">
      <c r="P1061" s="25"/>
      <c r="Q1061" s="25"/>
      <c r="R1061" s="25"/>
      <c r="S1061" s="25"/>
      <c r="T1061" s="141"/>
      <c r="U1061" s="28"/>
    </row>
    <row r="1062" ht="15.75" customHeight="1">
      <c r="P1062" s="25"/>
      <c r="Q1062" s="25"/>
      <c r="R1062" s="25"/>
      <c r="S1062" s="25"/>
      <c r="T1062" s="141"/>
      <c r="U1062" s="28"/>
    </row>
    <row r="1063" ht="15.75" customHeight="1">
      <c r="P1063" s="25"/>
      <c r="Q1063" s="25"/>
      <c r="R1063" s="25"/>
      <c r="S1063" s="25"/>
      <c r="T1063" s="141"/>
      <c r="U1063" s="28"/>
    </row>
    <row r="1064" ht="15.75" customHeight="1">
      <c r="P1064" s="25"/>
      <c r="Q1064" s="25"/>
      <c r="R1064" s="25"/>
      <c r="S1064" s="25"/>
      <c r="T1064" s="141"/>
      <c r="U1064" s="28"/>
    </row>
    <row r="1065" ht="15.75" customHeight="1">
      <c r="P1065" s="25"/>
      <c r="Q1065" s="25"/>
      <c r="R1065" s="25"/>
      <c r="S1065" s="25"/>
      <c r="T1065" s="141"/>
      <c r="U1065" s="28"/>
    </row>
    <row r="1066" ht="15.75" customHeight="1">
      <c r="P1066" s="25"/>
      <c r="Q1066" s="25"/>
      <c r="R1066" s="25"/>
      <c r="S1066" s="25"/>
      <c r="T1066" s="141"/>
      <c r="U1066" s="28"/>
    </row>
    <row r="1067" ht="15.75" customHeight="1">
      <c r="P1067" s="25"/>
      <c r="Q1067" s="25"/>
      <c r="R1067" s="25"/>
      <c r="S1067" s="25"/>
      <c r="T1067" s="141"/>
      <c r="U1067" s="28"/>
    </row>
    <row r="1068" ht="15.75" customHeight="1">
      <c r="P1068" s="25"/>
      <c r="Q1068" s="25"/>
      <c r="R1068" s="25"/>
      <c r="S1068" s="25"/>
      <c r="T1068" s="141"/>
      <c r="U1068" s="28"/>
    </row>
    <row r="1069" ht="15.75" customHeight="1">
      <c r="P1069" s="25"/>
      <c r="Q1069" s="25"/>
      <c r="R1069" s="25"/>
      <c r="S1069" s="25"/>
      <c r="T1069" s="141"/>
      <c r="U1069" s="28"/>
    </row>
    <row r="1070" ht="15.75" customHeight="1">
      <c r="P1070" s="25"/>
      <c r="Q1070" s="25"/>
      <c r="R1070" s="25"/>
      <c r="S1070" s="25"/>
      <c r="T1070" s="141"/>
      <c r="U1070" s="28"/>
    </row>
    <row r="1071" ht="15.75" customHeight="1">
      <c r="P1071" s="25"/>
      <c r="Q1071" s="25"/>
      <c r="R1071" s="25"/>
      <c r="S1071" s="25"/>
      <c r="T1071" s="141"/>
      <c r="U1071" s="28"/>
    </row>
    <row r="1072" ht="15.75" customHeight="1">
      <c r="P1072" s="25"/>
      <c r="Q1072" s="25"/>
      <c r="R1072" s="25"/>
      <c r="S1072" s="25"/>
      <c r="T1072" s="141"/>
      <c r="U1072" s="28"/>
    </row>
    <row r="1073" ht="15.75" customHeight="1">
      <c r="P1073" s="25"/>
      <c r="Q1073" s="25"/>
      <c r="R1073" s="25"/>
      <c r="S1073" s="25"/>
      <c r="T1073" s="141"/>
      <c r="U1073" s="28"/>
    </row>
    <row r="1074" ht="15.75" customHeight="1">
      <c r="P1074" s="25"/>
      <c r="Q1074" s="25"/>
      <c r="R1074" s="25"/>
      <c r="S1074" s="25"/>
      <c r="T1074" s="141"/>
      <c r="U1074" s="28"/>
    </row>
    <row r="1075" ht="15.75" customHeight="1">
      <c r="P1075" s="25"/>
      <c r="Q1075" s="25"/>
      <c r="R1075" s="25"/>
      <c r="S1075" s="25"/>
      <c r="T1075" s="141"/>
      <c r="U1075" s="28"/>
    </row>
    <row r="1076" ht="15.75" customHeight="1">
      <c r="P1076" s="25"/>
      <c r="Q1076" s="25"/>
      <c r="R1076" s="25"/>
      <c r="S1076" s="25"/>
      <c r="T1076" s="141"/>
      <c r="U1076" s="28"/>
    </row>
    <row r="1077" ht="15.75" customHeight="1">
      <c r="P1077" s="25"/>
      <c r="Q1077" s="25"/>
      <c r="R1077" s="25"/>
      <c r="S1077" s="25"/>
      <c r="T1077" s="141"/>
      <c r="U1077" s="28"/>
    </row>
    <row r="1078" ht="15.75" customHeight="1">
      <c r="P1078" s="25"/>
      <c r="Q1078" s="25"/>
      <c r="R1078" s="25"/>
      <c r="S1078" s="25"/>
      <c r="T1078" s="141"/>
      <c r="U1078" s="28"/>
    </row>
    <row r="1079" ht="15.75" customHeight="1">
      <c r="P1079" s="25"/>
      <c r="Q1079" s="25"/>
      <c r="R1079" s="25"/>
      <c r="S1079" s="25"/>
      <c r="T1079" s="141"/>
      <c r="U1079" s="28"/>
    </row>
    <row r="1080" ht="15.75" customHeight="1">
      <c r="P1080" s="25"/>
      <c r="Q1080" s="25"/>
      <c r="R1080" s="25"/>
      <c r="S1080" s="25"/>
      <c r="T1080" s="141"/>
      <c r="U1080" s="28"/>
    </row>
    <row r="1081" ht="15.75" customHeight="1">
      <c r="P1081" s="25"/>
      <c r="Q1081" s="25"/>
      <c r="R1081" s="25"/>
      <c r="S1081" s="25"/>
      <c r="T1081" s="141"/>
      <c r="U1081" s="28"/>
    </row>
    <row r="1082" ht="15.75" customHeight="1">
      <c r="P1082" s="25"/>
      <c r="Q1082" s="25"/>
      <c r="R1082" s="25"/>
      <c r="S1082" s="25"/>
      <c r="T1082" s="141"/>
      <c r="U1082" s="28"/>
    </row>
    <row r="1083" ht="15.75" customHeight="1">
      <c r="P1083" s="25"/>
      <c r="Q1083" s="25"/>
      <c r="R1083" s="25"/>
      <c r="S1083" s="25"/>
      <c r="T1083" s="141"/>
      <c r="U1083" s="28"/>
    </row>
    <row r="1084" ht="15.75" customHeight="1">
      <c r="P1084" s="25"/>
      <c r="Q1084" s="25"/>
      <c r="R1084" s="25"/>
      <c r="S1084" s="25"/>
      <c r="T1084" s="141"/>
      <c r="U1084" s="28"/>
    </row>
    <row r="1085" ht="15.75" customHeight="1">
      <c r="P1085" s="25"/>
      <c r="Q1085" s="25"/>
      <c r="R1085" s="25"/>
      <c r="S1085" s="25"/>
      <c r="T1085" s="141"/>
      <c r="U1085" s="28"/>
    </row>
    <row r="1086" ht="15.75" customHeight="1">
      <c r="P1086" s="25"/>
      <c r="Q1086" s="25"/>
      <c r="R1086" s="25"/>
      <c r="S1086" s="25"/>
      <c r="T1086" s="141"/>
      <c r="U1086" s="28"/>
    </row>
    <row r="1087" ht="15.75" customHeight="1">
      <c r="P1087" s="25"/>
      <c r="Q1087" s="25"/>
      <c r="R1087" s="25"/>
      <c r="S1087" s="25"/>
      <c r="T1087" s="141"/>
      <c r="U1087" s="28"/>
    </row>
    <row r="1088" ht="15.75" customHeight="1">
      <c r="P1088" s="25"/>
      <c r="Q1088" s="25"/>
      <c r="R1088" s="25"/>
      <c r="S1088" s="25"/>
      <c r="T1088" s="141"/>
      <c r="U1088" s="28"/>
    </row>
    <row r="1089" ht="15.75" customHeight="1">
      <c r="P1089" s="25"/>
      <c r="Q1089" s="25"/>
      <c r="R1089" s="25"/>
      <c r="S1089" s="25"/>
      <c r="T1089" s="141"/>
      <c r="U1089" s="28"/>
    </row>
    <row r="1090" ht="15.75" customHeight="1">
      <c r="P1090" s="25"/>
      <c r="Q1090" s="25"/>
      <c r="R1090" s="25"/>
      <c r="S1090" s="25"/>
      <c r="T1090" s="141"/>
      <c r="U1090" s="28"/>
    </row>
    <row r="1091" ht="15.75" customHeight="1">
      <c r="P1091" s="25"/>
      <c r="Q1091" s="25"/>
      <c r="R1091" s="25"/>
      <c r="S1091" s="25"/>
      <c r="T1091" s="141"/>
      <c r="U1091" s="28"/>
    </row>
    <row r="1092" ht="15.75" customHeight="1">
      <c r="P1092" s="25"/>
      <c r="Q1092" s="25"/>
      <c r="R1092" s="25"/>
      <c r="S1092" s="25"/>
      <c r="T1092" s="141"/>
      <c r="U1092" s="28"/>
    </row>
    <row r="1093" ht="15.75" customHeight="1">
      <c r="P1093" s="25"/>
      <c r="Q1093" s="25"/>
      <c r="R1093" s="25"/>
      <c r="S1093" s="25"/>
      <c r="T1093" s="141"/>
      <c r="U1093" s="28"/>
    </row>
    <row r="1094" ht="15.75" customHeight="1">
      <c r="P1094" s="25"/>
      <c r="Q1094" s="25"/>
      <c r="R1094" s="25"/>
      <c r="S1094" s="25"/>
      <c r="T1094" s="141"/>
      <c r="U1094" s="28"/>
    </row>
    <row r="1095" ht="15.75" customHeight="1">
      <c r="P1095" s="25"/>
      <c r="Q1095" s="25"/>
      <c r="R1095" s="25"/>
      <c r="S1095" s="25"/>
      <c r="T1095" s="141"/>
      <c r="U1095" s="28"/>
    </row>
    <row r="1096" ht="15.75" customHeight="1">
      <c r="P1096" s="25"/>
      <c r="Q1096" s="25"/>
      <c r="R1096" s="25"/>
      <c r="S1096" s="25"/>
      <c r="T1096" s="141"/>
      <c r="U1096" s="28"/>
    </row>
    <row r="1097" ht="15.75" customHeight="1">
      <c r="P1097" s="25"/>
      <c r="Q1097" s="25"/>
      <c r="R1097" s="25"/>
      <c r="S1097" s="25"/>
      <c r="T1097" s="141"/>
      <c r="U1097" s="28"/>
    </row>
    <row r="1098" ht="15.75" customHeight="1">
      <c r="P1098" s="25"/>
      <c r="Q1098" s="25"/>
      <c r="R1098" s="25"/>
      <c r="S1098" s="25"/>
      <c r="T1098" s="141"/>
      <c r="U1098" s="28"/>
    </row>
    <row r="1099" ht="15.75" customHeight="1">
      <c r="P1099" s="25"/>
      <c r="Q1099" s="25"/>
      <c r="R1099" s="25"/>
      <c r="S1099" s="25"/>
      <c r="T1099" s="141"/>
      <c r="U1099" s="28"/>
    </row>
    <row r="1100" ht="15.75" customHeight="1">
      <c r="P1100" s="25"/>
      <c r="Q1100" s="25"/>
      <c r="R1100" s="25"/>
      <c r="S1100" s="25"/>
      <c r="T1100" s="141"/>
      <c r="U1100" s="28"/>
    </row>
    <row r="1101" ht="15.75" customHeight="1">
      <c r="P1101" s="25"/>
      <c r="Q1101" s="25"/>
      <c r="R1101" s="25"/>
      <c r="S1101" s="25"/>
      <c r="T1101" s="141"/>
      <c r="U1101" s="28"/>
    </row>
    <row r="1102" ht="15.75" customHeight="1">
      <c r="P1102" s="25"/>
      <c r="Q1102" s="25"/>
      <c r="R1102" s="25"/>
      <c r="S1102" s="25"/>
      <c r="T1102" s="141"/>
      <c r="U1102" s="28"/>
    </row>
    <row r="1103" ht="15.75" customHeight="1">
      <c r="P1103" s="25"/>
      <c r="Q1103" s="25"/>
      <c r="R1103" s="25"/>
      <c r="S1103" s="25"/>
      <c r="T1103" s="141"/>
      <c r="U1103" s="28"/>
    </row>
    <row r="1104" ht="15.75" customHeight="1">
      <c r="P1104" s="25"/>
      <c r="Q1104" s="25"/>
      <c r="R1104" s="25"/>
      <c r="S1104" s="25"/>
      <c r="T1104" s="141"/>
      <c r="U1104" s="28"/>
    </row>
    <row r="1105" ht="15.75" customHeight="1">
      <c r="P1105" s="25"/>
      <c r="Q1105" s="25"/>
      <c r="R1105" s="25"/>
      <c r="S1105" s="25"/>
      <c r="T1105" s="141"/>
      <c r="U1105" s="28"/>
    </row>
    <row r="1106" ht="15.75" customHeight="1">
      <c r="P1106" s="25"/>
      <c r="Q1106" s="25"/>
      <c r="R1106" s="25"/>
      <c r="S1106" s="25"/>
      <c r="T1106" s="141"/>
      <c r="U1106" s="28"/>
    </row>
    <row r="1107" ht="15.75" customHeight="1">
      <c r="P1107" s="25"/>
      <c r="Q1107" s="25"/>
      <c r="R1107" s="25"/>
      <c r="S1107" s="25"/>
      <c r="T1107" s="141"/>
      <c r="U1107" s="28"/>
    </row>
    <row r="1108" ht="15.75" customHeight="1">
      <c r="P1108" s="25"/>
      <c r="Q1108" s="25"/>
      <c r="R1108" s="25"/>
      <c r="S1108" s="25"/>
      <c r="T1108" s="141"/>
      <c r="U1108" s="28"/>
    </row>
    <row r="1109" ht="15.75" customHeight="1">
      <c r="P1109" s="25"/>
      <c r="Q1109" s="25"/>
      <c r="R1109" s="25"/>
      <c r="S1109" s="25"/>
      <c r="T1109" s="141"/>
      <c r="U1109" s="28"/>
    </row>
    <row r="1110" ht="15.75" customHeight="1">
      <c r="P1110" s="25"/>
      <c r="Q1110" s="25"/>
      <c r="R1110" s="25"/>
      <c r="S1110" s="25"/>
      <c r="T1110" s="141"/>
      <c r="U1110" s="28"/>
    </row>
    <row r="1111" ht="15.75" customHeight="1">
      <c r="P1111" s="25"/>
      <c r="Q1111" s="25"/>
      <c r="R1111" s="25"/>
      <c r="S1111" s="25"/>
      <c r="T1111" s="141"/>
      <c r="U1111" s="28"/>
    </row>
    <row r="1112" ht="15.75" customHeight="1">
      <c r="P1112" s="25"/>
      <c r="Q1112" s="25"/>
      <c r="R1112" s="25"/>
      <c r="S1112" s="25"/>
      <c r="T1112" s="141"/>
      <c r="U1112" s="28"/>
    </row>
    <row r="1113" ht="15.75" customHeight="1">
      <c r="P1113" s="25"/>
      <c r="Q1113" s="25"/>
      <c r="R1113" s="25"/>
      <c r="S1113" s="25"/>
      <c r="T1113" s="141"/>
      <c r="U1113" s="28"/>
    </row>
    <row r="1114" ht="15.75" customHeight="1">
      <c r="P1114" s="25"/>
      <c r="Q1114" s="25"/>
      <c r="R1114" s="25"/>
      <c r="S1114" s="25"/>
      <c r="T1114" s="141"/>
      <c r="U1114" s="28"/>
    </row>
    <row r="1115" ht="15.75" customHeight="1">
      <c r="P1115" s="25"/>
      <c r="Q1115" s="25"/>
      <c r="R1115" s="25"/>
      <c r="S1115" s="25"/>
      <c r="T1115" s="141"/>
      <c r="U1115" s="28"/>
    </row>
    <row r="1116" ht="15.75" customHeight="1">
      <c r="P1116" s="25"/>
      <c r="Q1116" s="25"/>
      <c r="R1116" s="25"/>
      <c r="S1116" s="25"/>
      <c r="T1116" s="141"/>
      <c r="U1116" s="28"/>
    </row>
    <row r="1117" ht="15.75" customHeight="1">
      <c r="P1117" s="25"/>
      <c r="Q1117" s="25"/>
      <c r="R1117" s="25"/>
      <c r="S1117" s="25"/>
      <c r="T1117" s="141"/>
      <c r="U1117" s="28"/>
    </row>
    <row r="1118" ht="15.75" customHeight="1">
      <c r="P1118" s="25"/>
      <c r="Q1118" s="25"/>
      <c r="R1118" s="25"/>
      <c r="S1118" s="25"/>
      <c r="T1118" s="141"/>
      <c r="U1118" s="28"/>
    </row>
    <row r="1119" ht="15.75" customHeight="1">
      <c r="P1119" s="25"/>
      <c r="Q1119" s="25"/>
      <c r="R1119" s="25"/>
      <c r="S1119" s="25"/>
      <c r="T1119" s="141"/>
      <c r="U1119" s="28"/>
    </row>
    <row r="1120" ht="15.75" customHeight="1">
      <c r="P1120" s="25"/>
      <c r="Q1120" s="25"/>
      <c r="R1120" s="25"/>
      <c r="S1120" s="25"/>
      <c r="T1120" s="141"/>
      <c r="U1120" s="28"/>
    </row>
    <row r="1121" ht="15.75" customHeight="1">
      <c r="P1121" s="25"/>
      <c r="Q1121" s="25"/>
      <c r="R1121" s="25"/>
      <c r="S1121" s="25"/>
      <c r="T1121" s="141"/>
      <c r="U1121" s="28"/>
    </row>
    <row r="1122" ht="15.75" customHeight="1">
      <c r="P1122" s="25"/>
      <c r="Q1122" s="25"/>
      <c r="R1122" s="25"/>
      <c r="S1122" s="25"/>
      <c r="T1122" s="141"/>
      <c r="U1122" s="28"/>
    </row>
    <row r="1123" ht="15.75" customHeight="1">
      <c r="P1123" s="25"/>
      <c r="Q1123" s="25"/>
      <c r="R1123" s="25"/>
      <c r="S1123" s="25"/>
      <c r="T1123" s="141"/>
      <c r="U1123" s="28"/>
    </row>
    <row r="1124" ht="15.75" customHeight="1">
      <c r="P1124" s="25"/>
      <c r="Q1124" s="25"/>
      <c r="R1124" s="25"/>
      <c r="S1124" s="25"/>
      <c r="T1124" s="141"/>
      <c r="U1124" s="28"/>
    </row>
    <row r="1125" ht="15.75" customHeight="1">
      <c r="P1125" s="25"/>
      <c r="Q1125" s="25"/>
      <c r="R1125" s="25"/>
      <c r="S1125" s="25"/>
      <c r="T1125" s="141"/>
      <c r="U1125" s="28"/>
    </row>
    <row r="1126" ht="15.75" customHeight="1">
      <c r="P1126" s="25"/>
      <c r="Q1126" s="25"/>
      <c r="R1126" s="25"/>
      <c r="S1126" s="25"/>
      <c r="T1126" s="141"/>
      <c r="U1126" s="28"/>
    </row>
    <row r="1127" ht="15.75" customHeight="1">
      <c r="P1127" s="25"/>
      <c r="Q1127" s="25"/>
      <c r="R1127" s="25"/>
      <c r="S1127" s="25"/>
      <c r="T1127" s="141"/>
      <c r="U1127" s="28"/>
    </row>
    <row r="1128" ht="15.75" customHeight="1">
      <c r="P1128" s="25"/>
      <c r="Q1128" s="25"/>
      <c r="R1128" s="25"/>
      <c r="S1128" s="25"/>
      <c r="T1128" s="141"/>
      <c r="U1128" s="28"/>
    </row>
    <row r="1129" ht="15.75" customHeight="1">
      <c r="P1129" s="25"/>
      <c r="Q1129" s="25"/>
      <c r="R1129" s="25"/>
      <c r="S1129" s="25"/>
      <c r="T1129" s="141"/>
      <c r="U1129" s="28"/>
    </row>
    <row r="1130" ht="15.75" customHeight="1">
      <c r="P1130" s="25"/>
      <c r="Q1130" s="25"/>
      <c r="R1130" s="25"/>
      <c r="S1130" s="25"/>
      <c r="T1130" s="141"/>
      <c r="U1130" s="28"/>
    </row>
    <row r="1131" ht="15.75" customHeight="1">
      <c r="P1131" s="25"/>
      <c r="Q1131" s="25"/>
      <c r="R1131" s="25"/>
      <c r="S1131" s="25"/>
      <c r="T1131" s="141"/>
      <c r="U1131" s="28"/>
    </row>
    <row r="1132" ht="15.75" customHeight="1">
      <c r="P1132" s="25"/>
      <c r="Q1132" s="25"/>
      <c r="R1132" s="25"/>
      <c r="S1132" s="25"/>
      <c r="T1132" s="141"/>
      <c r="U1132" s="28"/>
    </row>
    <row r="1133" ht="15.75" customHeight="1">
      <c r="P1133" s="25"/>
      <c r="Q1133" s="25"/>
      <c r="R1133" s="25"/>
      <c r="S1133" s="25"/>
      <c r="T1133" s="141"/>
      <c r="U1133" s="28"/>
    </row>
    <row r="1134" ht="15.75" customHeight="1">
      <c r="P1134" s="25"/>
      <c r="Q1134" s="25"/>
      <c r="R1134" s="25"/>
      <c r="S1134" s="25"/>
      <c r="T1134" s="141"/>
      <c r="U1134" s="28"/>
    </row>
    <row r="1135" ht="15.75" customHeight="1">
      <c r="P1135" s="25"/>
      <c r="Q1135" s="25"/>
      <c r="R1135" s="25"/>
      <c r="S1135" s="25"/>
      <c r="T1135" s="141"/>
      <c r="U1135" s="28"/>
    </row>
    <row r="1136" ht="15.75" customHeight="1">
      <c r="P1136" s="25"/>
      <c r="Q1136" s="25"/>
      <c r="R1136" s="25"/>
      <c r="S1136" s="25"/>
      <c r="T1136" s="141"/>
      <c r="U1136" s="28"/>
    </row>
    <row r="1137" ht="15.75" customHeight="1">
      <c r="P1137" s="25"/>
      <c r="Q1137" s="25"/>
      <c r="R1137" s="25"/>
      <c r="S1137" s="25"/>
      <c r="T1137" s="141"/>
      <c r="U1137" s="28"/>
    </row>
    <row r="1138" ht="15.75" customHeight="1">
      <c r="P1138" s="25"/>
      <c r="Q1138" s="25"/>
      <c r="R1138" s="25"/>
      <c r="S1138" s="25"/>
      <c r="T1138" s="141"/>
      <c r="U1138" s="28"/>
    </row>
    <row r="1139" ht="15.75" customHeight="1">
      <c r="P1139" s="25"/>
      <c r="Q1139" s="25"/>
      <c r="R1139" s="25"/>
      <c r="S1139" s="25"/>
      <c r="T1139" s="141"/>
      <c r="U1139" s="28"/>
    </row>
    <row r="1140" ht="15.75" customHeight="1">
      <c r="P1140" s="25"/>
      <c r="Q1140" s="25"/>
      <c r="R1140" s="25"/>
      <c r="S1140" s="25"/>
      <c r="T1140" s="141"/>
      <c r="U1140" s="28"/>
    </row>
    <row r="1141" ht="15.75" customHeight="1">
      <c r="P1141" s="25"/>
      <c r="Q1141" s="25"/>
      <c r="R1141" s="25"/>
      <c r="S1141" s="25"/>
      <c r="T1141" s="141"/>
      <c r="U1141" s="28"/>
    </row>
    <row r="1142" ht="15.75" customHeight="1">
      <c r="P1142" s="25"/>
      <c r="Q1142" s="25"/>
      <c r="R1142" s="25"/>
      <c r="S1142" s="25"/>
      <c r="T1142" s="141"/>
      <c r="U1142" s="28"/>
    </row>
    <row r="1143" ht="15.75" customHeight="1">
      <c r="P1143" s="25"/>
      <c r="Q1143" s="25"/>
      <c r="R1143" s="25"/>
      <c r="S1143" s="25"/>
      <c r="T1143" s="141"/>
      <c r="U1143" s="28"/>
    </row>
    <row r="1144" ht="15.75" customHeight="1">
      <c r="P1144" s="25"/>
      <c r="Q1144" s="25"/>
      <c r="R1144" s="25"/>
      <c r="S1144" s="25"/>
      <c r="T1144" s="141"/>
      <c r="U1144" s="28"/>
    </row>
    <row r="1145" ht="15.75" customHeight="1">
      <c r="P1145" s="25"/>
      <c r="Q1145" s="25"/>
      <c r="R1145" s="25"/>
      <c r="S1145" s="25"/>
      <c r="T1145" s="141"/>
      <c r="U1145" s="28"/>
    </row>
    <row r="1146" ht="15.75" customHeight="1">
      <c r="P1146" s="25"/>
      <c r="Q1146" s="25"/>
      <c r="R1146" s="25"/>
      <c r="S1146" s="25"/>
      <c r="T1146" s="141"/>
      <c r="U1146" s="28"/>
    </row>
    <row r="1147" ht="15.75" customHeight="1">
      <c r="P1147" s="25"/>
      <c r="Q1147" s="25"/>
      <c r="R1147" s="25"/>
      <c r="S1147" s="25"/>
      <c r="T1147" s="141"/>
      <c r="U1147" s="28"/>
    </row>
    <row r="1148" ht="15.75" customHeight="1">
      <c r="P1148" s="25"/>
      <c r="Q1148" s="25"/>
      <c r="R1148" s="25"/>
      <c r="S1148" s="25"/>
      <c r="T1148" s="141"/>
      <c r="U1148" s="28"/>
    </row>
    <row r="1149" ht="15.75" customHeight="1">
      <c r="P1149" s="25"/>
      <c r="Q1149" s="25"/>
      <c r="R1149" s="25"/>
      <c r="S1149" s="25"/>
      <c r="T1149" s="141"/>
      <c r="U1149" s="28"/>
    </row>
    <row r="1150" ht="15.75" customHeight="1">
      <c r="P1150" s="25"/>
      <c r="Q1150" s="25"/>
      <c r="R1150" s="25"/>
      <c r="S1150" s="25"/>
      <c r="T1150" s="141"/>
      <c r="U1150" s="28"/>
    </row>
    <row r="1151" ht="15.75" customHeight="1">
      <c r="P1151" s="25"/>
      <c r="Q1151" s="25"/>
      <c r="R1151" s="25"/>
      <c r="S1151" s="25"/>
      <c r="T1151" s="141"/>
      <c r="U1151" s="28"/>
    </row>
    <row r="1152" ht="15.75" customHeight="1">
      <c r="P1152" s="25"/>
      <c r="Q1152" s="25"/>
      <c r="R1152" s="25"/>
      <c r="S1152" s="25"/>
      <c r="T1152" s="141"/>
      <c r="U1152" s="28"/>
    </row>
    <row r="1153" ht="15.75" customHeight="1">
      <c r="P1153" s="25"/>
      <c r="Q1153" s="25"/>
      <c r="R1153" s="25"/>
      <c r="S1153" s="25"/>
      <c r="T1153" s="141"/>
      <c r="U1153" s="28"/>
    </row>
    <row r="1154" ht="15.75" customHeight="1">
      <c r="P1154" s="25"/>
      <c r="Q1154" s="25"/>
      <c r="R1154" s="25"/>
      <c r="S1154" s="25"/>
      <c r="T1154" s="141"/>
      <c r="U1154" s="28"/>
    </row>
    <row r="1155" ht="15.75" customHeight="1">
      <c r="P1155" s="25"/>
      <c r="Q1155" s="25"/>
      <c r="R1155" s="25"/>
      <c r="S1155" s="25"/>
      <c r="T1155" s="141"/>
      <c r="U1155" s="28"/>
    </row>
    <row r="1156" ht="15.75" customHeight="1">
      <c r="P1156" s="25"/>
      <c r="Q1156" s="25"/>
      <c r="R1156" s="25"/>
      <c r="S1156" s="25"/>
      <c r="T1156" s="141"/>
      <c r="U1156" s="28"/>
    </row>
    <row r="1157" ht="15.75" customHeight="1">
      <c r="P1157" s="25"/>
      <c r="Q1157" s="25"/>
      <c r="R1157" s="25"/>
      <c r="S1157" s="25"/>
      <c r="T1157" s="141"/>
      <c r="U1157" s="28"/>
    </row>
    <row r="1158" ht="15.75" customHeight="1">
      <c r="P1158" s="25"/>
      <c r="Q1158" s="25"/>
      <c r="R1158" s="25"/>
      <c r="S1158" s="25"/>
      <c r="T1158" s="141"/>
      <c r="U1158" s="28"/>
    </row>
    <row r="1159" ht="15.75" customHeight="1">
      <c r="P1159" s="25"/>
      <c r="Q1159" s="25"/>
      <c r="R1159" s="25"/>
      <c r="S1159" s="25"/>
      <c r="T1159" s="141"/>
      <c r="U1159" s="28"/>
    </row>
    <row r="1160" ht="15.75" customHeight="1">
      <c r="P1160" s="25"/>
      <c r="Q1160" s="25"/>
      <c r="R1160" s="25"/>
      <c r="S1160" s="25"/>
      <c r="T1160" s="141"/>
      <c r="U1160" s="28"/>
    </row>
    <row r="1161" ht="15.75" customHeight="1">
      <c r="P1161" s="25"/>
      <c r="Q1161" s="25"/>
      <c r="R1161" s="25"/>
      <c r="S1161" s="25"/>
      <c r="T1161" s="141"/>
      <c r="U1161" s="28"/>
    </row>
    <row r="1162" ht="15.75" customHeight="1">
      <c r="P1162" s="25"/>
      <c r="Q1162" s="25"/>
      <c r="R1162" s="25"/>
      <c r="S1162" s="25"/>
      <c r="T1162" s="141"/>
      <c r="U1162" s="28"/>
    </row>
    <row r="1163" ht="15.75" customHeight="1">
      <c r="P1163" s="25"/>
      <c r="Q1163" s="25"/>
      <c r="R1163" s="25"/>
      <c r="S1163" s="25"/>
      <c r="T1163" s="141"/>
      <c r="U1163" s="28"/>
    </row>
    <row r="1164" ht="15.75" customHeight="1">
      <c r="P1164" s="25"/>
      <c r="Q1164" s="25"/>
      <c r="R1164" s="25"/>
      <c r="S1164" s="25"/>
      <c r="T1164" s="141"/>
      <c r="U1164" s="28"/>
    </row>
    <row r="1165" ht="15.75" customHeight="1">
      <c r="P1165" s="25"/>
      <c r="Q1165" s="25"/>
      <c r="R1165" s="25"/>
      <c r="S1165" s="25"/>
      <c r="T1165" s="141"/>
      <c r="U1165" s="28"/>
    </row>
    <row r="1166" ht="15.75" customHeight="1">
      <c r="P1166" s="25"/>
      <c r="Q1166" s="25"/>
      <c r="R1166" s="25"/>
      <c r="S1166" s="25"/>
      <c r="T1166" s="141"/>
      <c r="U1166" s="28"/>
    </row>
    <row r="1167" ht="15.75" customHeight="1">
      <c r="P1167" s="25"/>
      <c r="Q1167" s="25"/>
      <c r="R1167" s="25"/>
      <c r="S1167" s="25"/>
      <c r="T1167" s="141"/>
      <c r="U1167" s="28"/>
    </row>
    <row r="1168" ht="15.75" customHeight="1">
      <c r="P1168" s="25"/>
      <c r="Q1168" s="25"/>
      <c r="R1168" s="25"/>
      <c r="S1168" s="25"/>
      <c r="T1168" s="141"/>
      <c r="U1168" s="28"/>
    </row>
    <row r="1169" ht="15.75" customHeight="1">
      <c r="P1169" s="25"/>
      <c r="Q1169" s="25"/>
      <c r="R1169" s="25"/>
      <c r="S1169" s="25"/>
      <c r="T1169" s="141"/>
      <c r="U1169" s="28"/>
    </row>
    <row r="1170" ht="15.75" customHeight="1">
      <c r="P1170" s="25"/>
      <c r="Q1170" s="25"/>
      <c r="R1170" s="25"/>
      <c r="S1170" s="25"/>
      <c r="T1170" s="141"/>
      <c r="U1170" s="28"/>
    </row>
    <row r="1171" ht="15.75" customHeight="1">
      <c r="P1171" s="25"/>
      <c r="Q1171" s="25"/>
      <c r="R1171" s="25"/>
      <c r="S1171" s="25"/>
      <c r="T1171" s="141"/>
      <c r="U1171" s="28"/>
    </row>
    <row r="1172" ht="15.75" customHeight="1">
      <c r="P1172" s="25"/>
      <c r="Q1172" s="25"/>
      <c r="R1172" s="25"/>
      <c r="S1172" s="25"/>
      <c r="T1172" s="141"/>
      <c r="U1172" s="28"/>
    </row>
    <row r="1173" ht="15.75" customHeight="1">
      <c r="P1173" s="25"/>
      <c r="Q1173" s="25"/>
      <c r="R1173" s="25"/>
      <c r="S1173" s="25"/>
      <c r="T1173" s="141"/>
      <c r="U1173" s="28"/>
    </row>
    <row r="1174" ht="15.75" customHeight="1">
      <c r="P1174" s="25"/>
      <c r="Q1174" s="25"/>
      <c r="R1174" s="25"/>
      <c r="S1174" s="25"/>
      <c r="T1174" s="141"/>
      <c r="U1174" s="28"/>
    </row>
    <row r="1175" ht="15.75" customHeight="1">
      <c r="P1175" s="25"/>
      <c r="Q1175" s="25"/>
      <c r="R1175" s="25"/>
      <c r="S1175" s="25"/>
      <c r="T1175" s="141"/>
      <c r="U1175" s="28"/>
    </row>
    <row r="1176" ht="15.75" customHeight="1">
      <c r="P1176" s="25"/>
      <c r="Q1176" s="25"/>
      <c r="R1176" s="25"/>
      <c r="S1176" s="25"/>
      <c r="T1176" s="141"/>
      <c r="U1176" s="28"/>
    </row>
    <row r="1177" ht="15.75" customHeight="1">
      <c r="P1177" s="25"/>
      <c r="Q1177" s="25"/>
      <c r="R1177" s="25"/>
      <c r="S1177" s="25"/>
      <c r="T1177" s="141"/>
      <c r="U1177" s="28"/>
    </row>
    <row r="1178" ht="15.75" customHeight="1">
      <c r="P1178" s="25"/>
      <c r="Q1178" s="25"/>
      <c r="R1178" s="25"/>
      <c r="S1178" s="25"/>
      <c r="T1178" s="141"/>
      <c r="U1178" s="28"/>
    </row>
    <row r="1179" ht="15.75" customHeight="1">
      <c r="P1179" s="25"/>
      <c r="Q1179" s="25"/>
      <c r="R1179" s="25"/>
      <c r="S1179" s="25"/>
      <c r="T1179" s="141"/>
      <c r="U1179" s="28"/>
    </row>
    <row r="1180" ht="15.75" customHeight="1">
      <c r="P1180" s="25"/>
      <c r="Q1180" s="25"/>
      <c r="R1180" s="25"/>
      <c r="S1180" s="25"/>
      <c r="T1180" s="141"/>
      <c r="U1180" s="28"/>
    </row>
    <row r="1181" ht="15.75" customHeight="1">
      <c r="P1181" s="25"/>
      <c r="Q1181" s="25"/>
      <c r="R1181" s="25"/>
      <c r="S1181" s="25"/>
      <c r="T1181" s="141"/>
      <c r="U1181" s="28"/>
    </row>
    <row r="1182" ht="15.75" customHeight="1">
      <c r="P1182" s="25"/>
      <c r="Q1182" s="25"/>
      <c r="R1182" s="25"/>
      <c r="S1182" s="25"/>
      <c r="T1182" s="141"/>
      <c r="U1182" s="28"/>
    </row>
    <row r="1183" ht="15.75" customHeight="1">
      <c r="P1183" s="25"/>
      <c r="Q1183" s="25"/>
      <c r="R1183" s="25"/>
      <c r="S1183" s="25"/>
      <c r="T1183" s="141"/>
      <c r="U1183" s="28"/>
    </row>
    <row r="1184" ht="15.75" customHeight="1">
      <c r="P1184" s="25"/>
      <c r="Q1184" s="25"/>
      <c r="R1184" s="25"/>
      <c r="S1184" s="25"/>
      <c r="T1184" s="141"/>
      <c r="U1184" s="28"/>
    </row>
    <row r="1185" ht="15.75" customHeight="1">
      <c r="P1185" s="25"/>
      <c r="Q1185" s="25"/>
      <c r="R1185" s="25"/>
      <c r="S1185" s="25"/>
      <c r="T1185" s="141"/>
      <c r="U1185" s="28"/>
    </row>
    <row r="1186" ht="15.75" customHeight="1">
      <c r="P1186" s="25"/>
      <c r="Q1186" s="25"/>
      <c r="R1186" s="25"/>
      <c r="S1186" s="25"/>
      <c r="T1186" s="141"/>
      <c r="U1186" s="28"/>
    </row>
    <row r="1187" ht="15.75" customHeight="1">
      <c r="P1187" s="25"/>
      <c r="Q1187" s="25"/>
      <c r="R1187" s="25"/>
      <c r="S1187" s="25"/>
      <c r="T1187" s="141"/>
      <c r="U1187" s="28"/>
    </row>
    <row r="1188" ht="15.75" customHeight="1">
      <c r="P1188" s="25"/>
      <c r="Q1188" s="25"/>
      <c r="R1188" s="25"/>
      <c r="S1188" s="25"/>
      <c r="T1188" s="141"/>
      <c r="U1188" s="28"/>
    </row>
    <row r="1189" ht="15.75" customHeight="1">
      <c r="P1189" s="25"/>
      <c r="Q1189" s="25"/>
      <c r="R1189" s="25"/>
      <c r="S1189" s="25"/>
      <c r="T1189" s="141"/>
      <c r="U1189" s="28"/>
    </row>
    <row r="1190" ht="15.75" customHeight="1">
      <c r="P1190" s="25"/>
      <c r="Q1190" s="25"/>
      <c r="R1190" s="25"/>
      <c r="S1190" s="25"/>
      <c r="T1190" s="141"/>
      <c r="U1190" s="28"/>
    </row>
    <row r="1191" ht="15.75" customHeight="1">
      <c r="P1191" s="25"/>
      <c r="Q1191" s="25"/>
      <c r="R1191" s="25"/>
      <c r="S1191" s="25"/>
      <c r="T1191" s="141"/>
      <c r="U1191" s="28"/>
    </row>
    <row r="1192" ht="15.75" customHeight="1">
      <c r="P1192" s="25"/>
      <c r="Q1192" s="25"/>
      <c r="R1192" s="25"/>
      <c r="S1192" s="25"/>
      <c r="T1192" s="141"/>
      <c r="U1192" s="28"/>
    </row>
    <row r="1193" ht="15.75" customHeight="1">
      <c r="P1193" s="25"/>
      <c r="Q1193" s="25"/>
      <c r="R1193" s="25"/>
      <c r="S1193" s="25"/>
      <c r="T1193" s="141"/>
      <c r="U1193" s="28"/>
    </row>
    <row r="1194" ht="15.75" customHeight="1">
      <c r="P1194" s="25"/>
      <c r="Q1194" s="25"/>
      <c r="R1194" s="25"/>
      <c r="S1194" s="25"/>
      <c r="T1194" s="141"/>
      <c r="U1194" s="28"/>
    </row>
    <row r="1195" ht="15.75" customHeight="1">
      <c r="P1195" s="25"/>
      <c r="Q1195" s="25"/>
      <c r="R1195" s="25"/>
      <c r="S1195" s="25"/>
      <c r="T1195" s="141"/>
      <c r="U1195" s="28"/>
    </row>
    <row r="1196" ht="15.75" customHeight="1">
      <c r="P1196" s="25"/>
      <c r="Q1196" s="25"/>
      <c r="R1196" s="25"/>
      <c r="S1196" s="25"/>
      <c r="T1196" s="141"/>
      <c r="U1196" s="28"/>
    </row>
    <row r="1197" ht="15.75" customHeight="1">
      <c r="P1197" s="25"/>
      <c r="Q1197" s="25"/>
      <c r="R1197" s="25"/>
      <c r="S1197" s="25"/>
      <c r="T1197" s="141"/>
      <c r="U1197" s="28"/>
    </row>
    <row r="1198" ht="15.75" customHeight="1">
      <c r="P1198" s="25"/>
      <c r="Q1198" s="25"/>
      <c r="R1198" s="25"/>
      <c r="S1198" s="25"/>
      <c r="T1198" s="141"/>
      <c r="U1198" s="28"/>
    </row>
    <row r="1199" ht="15.75" customHeight="1">
      <c r="P1199" s="25"/>
      <c r="Q1199" s="25"/>
      <c r="R1199" s="25"/>
      <c r="S1199" s="25"/>
      <c r="T1199" s="141"/>
      <c r="U1199" s="28"/>
    </row>
    <row r="1200" ht="15.75" customHeight="1">
      <c r="P1200" s="25"/>
      <c r="Q1200" s="25"/>
      <c r="R1200" s="25"/>
      <c r="S1200" s="25"/>
      <c r="T1200" s="141"/>
      <c r="U1200" s="28"/>
    </row>
    <row r="1201" ht="15.75" customHeight="1">
      <c r="P1201" s="25"/>
      <c r="Q1201" s="25"/>
      <c r="R1201" s="25"/>
      <c r="S1201" s="25"/>
      <c r="T1201" s="141"/>
      <c r="U1201" s="28"/>
    </row>
    <row r="1202" ht="15.75" customHeight="1">
      <c r="P1202" s="25"/>
      <c r="Q1202" s="25"/>
      <c r="R1202" s="25"/>
      <c r="S1202" s="25"/>
      <c r="T1202" s="141"/>
      <c r="U1202" s="28"/>
    </row>
    <row r="1203" ht="15.75" customHeight="1">
      <c r="P1203" s="25"/>
      <c r="Q1203" s="25"/>
      <c r="R1203" s="25"/>
      <c r="S1203" s="25"/>
      <c r="T1203" s="141"/>
      <c r="U1203" s="28"/>
    </row>
    <row r="1204" ht="15.75" customHeight="1">
      <c r="P1204" s="25"/>
      <c r="Q1204" s="25"/>
      <c r="R1204" s="25"/>
      <c r="S1204" s="25"/>
      <c r="T1204" s="141"/>
      <c r="U1204" s="28"/>
    </row>
    <row r="1205" ht="15.75" customHeight="1">
      <c r="P1205" s="25"/>
      <c r="Q1205" s="25"/>
      <c r="R1205" s="25"/>
      <c r="S1205" s="25"/>
      <c r="T1205" s="141"/>
      <c r="U1205" s="28"/>
    </row>
    <row r="1206" ht="15.75" customHeight="1">
      <c r="P1206" s="25"/>
      <c r="Q1206" s="25"/>
      <c r="R1206" s="25"/>
      <c r="S1206" s="25"/>
      <c r="T1206" s="141"/>
      <c r="U1206" s="28"/>
    </row>
    <row r="1207" ht="15.75" customHeight="1">
      <c r="P1207" s="25"/>
      <c r="Q1207" s="25"/>
      <c r="R1207" s="25"/>
      <c r="S1207" s="25"/>
      <c r="T1207" s="141"/>
      <c r="U1207" s="28"/>
    </row>
    <row r="1208" ht="15.75" customHeight="1">
      <c r="P1208" s="25"/>
      <c r="Q1208" s="25"/>
      <c r="R1208" s="25"/>
      <c r="S1208" s="25"/>
      <c r="T1208" s="141"/>
      <c r="U1208" s="28"/>
    </row>
    <row r="1209" ht="15.75" customHeight="1">
      <c r="P1209" s="25"/>
      <c r="Q1209" s="25"/>
      <c r="R1209" s="25"/>
      <c r="S1209" s="25"/>
      <c r="T1209" s="141"/>
      <c r="U1209" s="28"/>
    </row>
    <row r="1210" ht="15.75" customHeight="1">
      <c r="P1210" s="25"/>
      <c r="Q1210" s="25"/>
      <c r="R1210" s="25"/>
      <c r="S1210" s="25"/>
      <c r="T1210" s="141"/>
      <c r="U1210" s="28"/>
    </row>
    <row r="1211" ht="15.75" customHeight="1">
      <c r="P1211" s="25"/>
      <c r="Q1211" s="25"/>
      <c r="R1211" s="25"/>
      <c r="S1211" s="25"/>
      <c r="T1211" s="141"/>
      <c r="U1211" s="28"/>
    </row>
    <row r="1212" ht="15.75" customHeight="1">
      <c r="P1212" s="25"/>
      <c r="Q1212" s="25"/>
      <c r="R1212" s="25"/>
      <c r="S1212" s="25"/>
      <c r="T1212" s="141"/>
      <c r="U1212" s="28"/>
    </row>
    <row r="1213" ht="15.75" customHeight="1">
      <c r="P1213" s="25"/>
      <c r="Q1213" s="25"/>
      <c r="R1213" s="25"/>
      <c r="S1213" s="25"/>
      <c r="T1213" s="141"/>
      <c r="U1213" s="28"/>
    </row>
    <row r="1214" ht="15.75" customHeight="1">
      <c r="P1214" s="25"/>
      <c r="Q1214" s="25"/>
      <c r="R1214" s="25"/>
      <c r="S1214" s="25"/>
      <c r="T1214" s="141"/>
      <c r="U1214" s="28"/>
    </row>
    <row r="1215" ht="15.75" customHeight="1">
      <c r="P1215" s="25"/>
      <c r="Q1215" s="25"/>
      <c r="R1215" s="25"/>
      <c r="S1215" s="25"/>
      <c r="T1215" s="141"/>
      <c r="U1215" s="28"/>
    </row>
    <row r="1216" ht="15.75" customHeight="1">
      <c r="P1216" s="25"/>
      <c r="Q1216" s="25"/>
      <c r="R1216" s="25"/>
      <c r="S1216" s="25"/>
      <c r="T1216" s="141"/>
      <c r="U1216" s="28"/>
    </row>
    <row r="1217" ht="15.75" customHeight="1">
      <c r="P1217" s="25"/>
      <c r="Q1217" s="25"/>
      <c r="R1217" s="25"/>
      <c r="S1217" s="25"/>
      <c r="T1217" s="141"/>
      <c r="U1217" s="28"/>
    </row>
    <row r="1218" ht="15.75" customHeight="1">
      <c r="P1218" s="25"/>
      <c r="Q1218" s="25"/>
      <c r="R1218" s="25"/>
      <c r="S1218" s="25"/>
      <c r="T1218" s="141"/>
      <c r="U1218" s="28"/>
    </row>
    <row r="1219" ht="15.75" customHeight="1">
      <c r="P1219" s="25"/>
      <c r="Q1219" s="25"/>
      <c r="R1219" s="25"/>
      <c r="S1219" s="25"/>
      <c r="T1219" s="141"/>
      <c r="U1219" s="28"/>
    </row>
    <row r="1220" ht="15.75" customHeight="1">
      <c r="P1220" s="25"/>
      <c r="Q1220" s="25"/>
      <c r="R1220" s="25"/>
      <c r="S1220" s="25"/>
      <c r="T1220" s="141"/>
      <c r="U1220" s="28"/>
    </row>
    <row r="1221" ht="15.75" customHeight="1">
      <c r="P1221" s="25"/>
      <c r="Q1221" s="25"/>
      <c r="R1221" s="25"/>
      <c r="S1221" s="25"/>
      <c r="T1221" s="141"/>
      <c r="U1221" s="28"/>
    </row>
    <row r="1222" ht="15.75" customHeight="1">
      <c r="P1222" s="25"/>
      <c r="Q1222" s="25"/>
      <c r="R1222" s="25"/>
      <c r="S1222" s="25"/>
      <c r="T1222" s="141"/>
      <c r="U1222" s="28"/>
    </row>
    <row r="1223" ht="15.75" customHeight="1">
      <c r="P1223" s="25"/>
      <c r="Q1223" s="25"/>
      <c r="R1223" s="25"/>
      <c r="S1223" s="25"/>
      <c r="T1223" s="141"/>
      <c r="U1223" s="28"/>
    </row>
    <row r="1224" ht="15.75" customHeight="1">
      <c r="P1224" s="25"/>
      <c r="Q1224" s="25"/>
      <c r="R1224" s="25"/>
      <c r="S1224" s="25"/>
      <c r="T1224" s="141"/>
      <c r="U1224" s="28"/>
    </row>
    <row r="1225" ht="15.75" customHeight="1">
      <c r="P1225" s="25"/>
      <c r="Q1225" s="25"/>
      <c r="R1225" s="25"/>
      <c r="S1225" s="25"/>
      <c r="T1225" s="141"/>
      <c r="U1225" s="28"/>
    </row>
    <row r="1226" ht="15.75" customHeight="1">
      <c r="P1226" s="25"/>
      <c r="Q1226" s="25"/>
      <c r="R1226" s="25"/>
      <c r="S1226" s="25"/>
      <c r="T1226" s="141"/>
      <c r="U1226" s="28"/>
    </row>
    <row r="1227" ht="15.75" customHeight="1">
      <c r="P1227" s="25"/>
      <c r="Q1227" s="25"/>
      <c r="R1227" s="25"/>
      <c r="S1227" s="25"/>
      <c r="T1227" s="141"/>
      <c r="U1227" s="28"/>
    </row>
    <row r="1228" ht="15.75" customHeight="1">
      <c r="P1228" s="25"/>
      <c r="Q1228" s="25"/>
      <c r="R1228" s="25"/>
      <c r="S1228" s="25"/>
      <c r="T1228" s="141"/>
      <c r="U1228" s="28"/>
    </row>
    <row r="1229" ht="15.75" customHeight="1">
      <c r="P1229" s="25"/>
      <c r="Q1229" s="25"/>
      <c r="R1229" s="25"/>
      <c r="S1229" s="25"/>
      <c r="T1229" s="141"/>
      <c r="U1229" s="28"/>
    </row>
    <row r="1230" ht="15.75" customHeight="1">
      <c r="P1230" s="25"/>
      <c r="Q1230" s="25"/>
      <c r="R1230" s="25"/>
      <c r="S1230" s="25"/>
      <c r="T1230" s="141"/>
      <c r="U1230" s="28"/>
    </row>
    <row r="1231" ht="15.75" customHeight="1">
      <c r="P1231" s="25"/>
      <c r="Q1231" s="25"/>
      <c r="R1231" s="25"/>
      <c r="S1231" s="25"/>
      <c r="T1231" s="141"/>
      <c r="U1231" s="28"/>
    </row>
    <row r="1232" ht="15.75" customHeight="1">
      <c r="P1232" s="25"/>
      <c r="Q1232" s="25"/>
      <c r="R1232" s="25"/>
      <c r="S1232" s="25"/>
      <c r="T1232" s="141"/>
      <c r="U1232" s="28"/>
    </row>
    <row r="1233" ht="15.75" customHeight="1">
      <c r="P1233" s="25"/>
      <c r="Q1233" s="25"/>
      <c r="R1233" s="25"/>
      <c r="S1233" s="25"/>
      <c r="T1233" s="141"/>
      <c r="U1233" s="28"/>
    </row>
    <row r="1234" ht="15.75" customHeight="1">
      <c r="P1234" s="25"/>
      <c r="Q1234" s="25"/>
      <c r="R1234" s="25"/>
      <c r="S1234" s="25"/>
      <c r="T1234" s="141"/>
      <c r="U1234" s="28"/>
    </row>
    <row r="1235" ht="15.75" customHeight="1">
      <c r="P1235" s="25"/>
      <c r="Q1235" s="25"/>
      <c r="R1235" s="25"/>
      <c r="S1235" s="25"/>
      <c r="T1235" s="141"/>
      <c r="U1235" s="28"/>
    </row>
    <row r="1236" ht="15.75" customHeight="1">
      <c r="P1236" s="25"/>
      <c r="Q1236" s="25"/>
      <c r="R1236" s="25"/>
      <c r="S1236" s="25"/>
      <c r="T1236" s="141"/>
      <c r="U1236" s="28"/>
    </row>
    <row r="1237" ht="15.75" customHeight="1">
      <c r="P1237" s="25"/>
      <c r="Q1237" s="25"/>
      <c r="R1237" s="25"/>
      <c r="S1237" s="25"/>
      <c r="T1237" s="141"/>
      <c r="U1237" s="28"/>
    </row>
    <row r="1238" ht="15.75" customHeight="1">
      <c r="P1238" s="25"/>
      <c r="Q1238" s="25"/>
      <c r="R1238" s="25"/>
      <c r="S1238" s="25"/>
      <c r="T1238" s="141"/>
      <c r="U1238" s="28"/>
    </row>
    <row r="1239" ht="15.75" customHeight="1">
      <c r="P1239" s="25"/>
      <c r="Q1239" s="25"/>
      <c r="R1239" s="25"/>
      <c r="S1239" s="25"/>
      <c r="T1239" s="141"/>
      <c r="U1239" s="28"/>
    </row>
    <row r="1240" ht="15.75" customHeight="1">
      <c r="P1240" s="25"/>
      <c r="Q1240" s="25"/>
      <c r="R1240" s="25"/>
      <c r="S1240" s="25"/>
      <c r="T1240" s="141"/>
      <c r="U1240" s="28"/>
    </row>
    <row r="1241" ht="15.75" customHeight="1">
      <c r="P1241" s="25"/>
      <c r="Q1241" s="25"/>
      <c r="R1241" s="25"/>
      <c r="S1241" s="25"/>
      <c r="T1241" s="141"/>
      <c r="U1241" s="28"/>
    </row>
    <row r="1242" ht="15.75" customHeight="1">
      <c r="P1242" s="25"/>
      <c r="Q1242" s="25"/>
      <c r="R1242" s="25"/>
      <c r="S1242" s="25"/>
      <c r="T1242" s="141"/>
      <c r="U1242" s="28"/>
    </row>
    <row r="1243" ht="15.75" customHeight="1">
      <c r="P1243" s="25"/>
      <c r="Q1243" s="25"/>
      <c r="R1243" s="25"/>
      <c r="S1243" s="25"/>
      <c r="T1243" s="141"/>
      <c r="U1243" s="28"/>
    </row>
    <row r="1244" ht="15.75" customHeight="1">
      <c r="P1244" s="25"/>
      <c r="Q1244" s="25"/>
      <c r="R1244" s="25"/>
      <c r="S1244" s="25"/>
      <c r="T1244" s="141"/>
      <c r="U1244" s="28"/>
    </row>
    <row r="1245" ht="15.75" customHeight="1">
      <c r="P1245" s="25"/>
      <c r="Q1245" s="25"/>
      <c r="R1245" s="25"/>
      <c r="S1245" s="25"/>
      <c r="T1245" s="141"/>
      <c r="U1245" s="28"/>
    </row>
    <row r="1246" ht="15.75" customHeight="1">
      <c r="P1246" s="25"/>
      <c r="Q1246" s="25"/>
      <c r="R1246" s="25"/>
      <c r="S1246" s="25"/>
      <c r="T1246" s="141"/>
      <c r="U1246" s="28"/>
    </row>
    <row r="1247" ht="15.75" customHeight="1">
      <c r="P1247" s="25"/>
      <c r="Q1247" s="25"/>
      <c r="R1247" s="25"/>
      <c r="S1247" s="25"/>
      <c r="T1247" s="141"/>
      <c r="U1247" s="28"/>
    </row>
    <row r="1248" ht="15.75" customHeight="1">
      <c r="P1248" s="25"/>
      <c r="Q1248" s="25"/>
      <c r="R1248" s="25"/>
      <c r="S1248" s="25"/>
      <c r="T1248" s="141"/>
      <c r="U1248" s="28"/>
    </row>
    <row r="1249" ht="15.75" customHeight="1">
      <c r="P1249" s="25"/>
      <c r="Q1249" s="25"/>
      <c r="R1249" s="25"/>
      <c r="S1249" s="25"/>
      <c r="T1249" s="141"/>
      <c r="U1249" s="28"/>
    </row>
    <row r="1250" ht="15.75" customHeight="1">
      <c r="P1250" s="25"/>
      <c r="Q1250" s="25"/>
      <c r="R1250" s="25"/>
      <c r="S1250" s="25"/>
      <c r="T1250" s="141"/>
      <c r="U1250" s="28"/>
    </row>
    <row r="1251" ht="15.75" customHeight="1">
      <c r="P1251" s="25"/>
      <c r="Q1251" s="25"/>
      <c r="R1251" s="25"/>
      <c r="S1251" s="25"/>
      <c r="T1251" s="141"/>
      <c r="U1251" s="28"/>
    </row>
    <row r="1252" ht="15.75" customHeight="1">
      <c r="P1252" s="25"/>
      <c r="Q1252" s="25"/>
      <c r="R1252" s="25"/>
      <c r="S1252" s="25"/>
      <c r="T1252" s="141"/>
      <c r="U1252" s="28"/>
    </row>
    <row r="1253" ht="15.75" customHeight="1">
      <c r="P1253" s="25"/>
      <c r="Q1253" s="25"/>
      <c r="R1253" s="25"/>
      <c r="S1253" s="25"/>
      <c r="T1253" s="141"/>
      <c r="U1253" s="28"/>
    </row>
    <row r="1254" ht="15.75" customHeight="1">
      <c r="P1254" s="25"/>
      <c r="Q1254" s="25"/>
      <c r="R1254" s="25"/>
      <c r="S1254" s="25"/>
      <c r="T1254" s="141"/>
      <c r="U1254" s="28"/>
    </row>
    <row r="1255" ht="15.75" customHeight="1">
      <c r="P1255" s="25"/>
      <c r="Q1255" s="25"/>
      <c r="R1255" s="25"/>
      <c r="S1255" s="25"/>
      <c r="T1255" s="141"/>
      <c r="U1255" s="28"/>
    </row>
    <row r="1256" ht="15.75" customHeight="1">
      <c r="P1256" s="25"/>
      <c r="Q1256" s="25"/>
      <c r="R1256" s="25"/>
      <c r="S1256" s="25"/>
      <c r="T1256" s="141"/>
      <c r="U1256" s="28"/>
    </row>
    <row r="1257" ht="15.75" customHeight="1">
      <c r="P1257" s="25"/>
      <c r="Q1257" s="25"/>
      <c r="R1257" s="25"/>
      <c r="S1257" s="25"/>
      <c r="T1257" s="141"/>
      <c r="U1257" s="28"/>
    </row>
    <row r="1258" ht="15.75" customHeight="1">
      <c r="P1258" s="25"/>
      <c r="Q1258" s="25"/>
      <c r="R1258" s="25"/>
      <c r="S1258" s="25"/>
      <c r="T1258" s="141"/>
      <c r="U1258" s="28"/>
    </row>
    <row r="1259" ht="15.75" customHeight="1">
      <c r="P1259" s="25"/>
      <c r="Q1259" s="25"/>
      <c r="R1259" s="25"/>
      <c r="S1259" s="25"/>
      <c r="T1259" s="141"/>
      <c r="U1259" s="28"/>
    </row>
    <row r="1260" ht="15.75" customHeight="1">
      <c r="P1260" s="25"/>
      <c r="Q1260" s="25"/>
      <c r="R1260" s="25"/>
      <c r="S1260" s="25"/>
      <c r="T1260" s="141"/>
      <c r="U1260" s="28"/>
    </row>
    <row r="1261" ht="15.75" customHeight="1">
      <c r="P1261" s="25"/>
      <c r="Q1261" s="25"/>
      <c r="R1261" s="25"/>
      <c r="S1261" s="25"/>
      <c r="T1261" s="141"/>
      <c r="U1261" s="28"/>
    </row>
    <row r="1262" ht="15.75" customHeight="1">
      <c r="P1262" s="25"/>
      <c r="Q1262" s="25"/>
      <c r="R1262" s="25"/>
      <c r="S1262" s="25"/>
      <c r="T1262" s="141"/>
      <c r="U1262" s="28"/>
    </row>
    <row r="1263" ht="15.75" customHeight="1">
      <c r="P1263" s="25"/>
      <c r="Q1263" s="25"/>
      <c r="R1263" s="25"/>
      <c r="S1263" s="25"/>
      <c r="T1263" s="141"/>
      <c r="U1263" s="28"/>
    </row>
    <row r="1264" ht="15.75" customHeight="1">
      <c r="P1264" s="25"/>
      <c r="Q1264" s="25"/>
      <c r="R1264" s="25"/>
      <c r="S1264" s="25"/>
      <c r="T1264" s="141"/>
      <c r="U1264" s="28"/>
    </row>
    <row r="1265" ht="15.75" customHeight="1">
      <c r="P1265" s="25"/>
      <c r="Q1265" s="25"/>
      <c r="R1265" s="25"/>
      <c r="S1265" s="25"/>
      <c r="T1265" s="141"/>
      <c r="U1265" s="28"/>
    </row>
    <row r="1266" ht="15.75" customHeight="1">
      <c r="P1266" s="25"/>
      <c r="Q1266" s="25"/>
      <c r="R1266" s="25"/>
      <c r="S1266" s="25"/>
      <c r="T1266" s="141"/>
      <c r="U1266" s="28"/>
    </row>
    <row r="1267" ht="15.75" customHeight="1">
      <c r="P1267" s="25"/>
      <c r="Q1267" s="25"/>
      <c r="R1267" s="25"/>
      <c r="S1267" s="25"/>
      <c r="T1267" s="141"/>
      <c r="U1267" s="28"/>
    </row>
    <row r="1268" ht="15.75" customHeight="1">
      <c r="P1268" s="25"/>
      <c r="Q1268" s="25"/>
      <c r="R1268" s="25"/>
      <c r="S1268" s="25"/>
      <c r="T1268" s="141"/>
      <c r="U1268" s="28"/>
    </row>
    <row r="1269" ht="15.75" customHeight="1">
      <c r="P1269" s="25"/>
      <c r="Q1269" s="25"/>
      <c r="R1269" s="25"/>
      <c r="S1269" s="25"/>
      <c r="T1269" s="141"/>
      <c r="U1269" s="28"/>
    </row>
    <row r="1270" ht="15.75" customHeight="1">
      <c r="P1270" s="25"/>
      <c r="Q1270" s="25"/>
      <c r="R1270" s="25"/>
      <c r="S1270" s="25"/>
      <c r="T1270" s="141"/>
      <c r="U1270" s="28"/>
    </row>
    <row r="1271" ht="15.75" customHeight="1">
      <c r="P1271" s="25"/>
      <c r="Q1271" s="25"/>
      <c r="R1271" s="25"/>
      <c r="S1271" s="25"/>
      <c r="T1271" s="141"/>
      <c r="U1271" s="28"/>
    </row>
    <row r="1272" ht="15.75" customHeight="1">
      <c r="P1272" s="25"/>
      <c r="Q1272" s="25"/>
      <c r="R1272" s="25"/>
      <c r="S1272" s="25"/>
      <c r="T1272" s="141"/>
      <c r="U1272" s="28"/>
    </row>
    <row r="1273" ht="15.75" customHeight="1">
      <c r="P1273" s="25"/>
      <c r="Q1273" s="25"/>
      <c r="R1273" s="25"/>
      <c r="S1273" s="25"/>
      <c r="T1273" s="141"/>
      <c r="U1273" s="28"/>
    </row>
    <row r="1274" ht="15.75" customHeight="1">
      <c r="P1274" s="25"/>
      <c r="Q1274" s="25"/>
      <c r="R1274" s="25"/>
      <c r="S1274" s="25"/>
      <c r="T1274" s="141"/>
      <c r="U1274" s="28"/>
    </row>
    <row r="1275" ht="15.75" customHeight="1">
      <c r="P1275" s="25"/>
      <c r="Q1275" s="25"/>
      <c r="R1275" s="25"/>
      <c r="S1275" s="25"/>
      <c r="T1275" s="141"/>
      <c r="U1275" s="28"/>
    </row>
    <row r="1276" ht="15.75" customHeight="1">
      <c r="P1276" s="25"/>
      <c r="Q1276" s="25"/>
      <c r="R1276" s="25"/>
      <c r="S1276" s="25"/>
      <c r="T1276" s="141"/>
      <c r="U1276" s="28"/>
    </row>
    <row r="1277" ht="15.75" customHeight="1">
      <c r="P1277" s="25"/>
      <c r="Q1277" s="25"/>
      <c r="R1277" s="25"/>
      <c r="S1277" s="25"/>
      <c r="T1277" s="141"/>
      <c r="U1277" s="28"/>
    </row>
    <row r="1278" ht="15.75" customHeight="1">
      <c r="P1278" s="25"/>
      <c r="Q1278" s="25"/>
      <c r="R1278" s="25"/>
      <c r="S1278" s="25"/>
      <c r="T1278" s="141"/>
      <c r="U1278" s="28"/>
    </row>
    <row r="1279" ht="15.75" customHeight="1">
      <c r="P1279" s="25"/>
      <c r="Q1279" s="25"/>
      <c r="R1279" s="25"/>
      <c r="S1279" s="25"/>
      <c r="T1279" s="141"/>
      <c r="U1279" s="28"/>
    </row>
    <row r="1280" ht="15.75" customHeight="1">
      <c r="P1280" s="25"/>
      <c r="Q1280" s="25"/>
      <c r="R1280" s="25"/>
      <c r="S1280" s="25"/>
      <c r="T1280" s="141"/>
      <c r="U1280" s="28"/>
    </row>
    <row r="1281" ht="15.75" customHeight="1">
      <c r="P1281" s="25"/>
      <c r="Q1281" s="25"/>
      <c r="R1281" s="25"/>
      <c r="S1281" s="25"/>
      <c r="T1281" s="141"/>
      <c r="U1281" s="28"/>
    </row>
    <row r="1282" ht="15.75" customHeight="1">
      <c r="P1282" s="25"/>
      <c r="Q1282" s="25"/>
      <c r="R1282" s="25"/>
      <c r="S1282" s="25"/>
      <c r="T1282" s="141"/>
      <c r="U1282" s="28"/>
    </row>
    <row r="1283" ht="15.75" customHeight="1">
      <c r="P1283" s="25"/>
      <c r="Q1283" s="25"/>
      <c r="R1283" s="25"/>
      <c r="S1283" s="25"/>
      <c r="T1283" s="141"/>
      <c r="U1283" s="28"/>
    </row>
    <row r="1284" ht="15.75" customHeight="1">
      <c r="P1284" s="25"/>
      <c r="Q1284" s="25"/>
      <c r="R1284" s="25"/>
      <c r="S1284" s="25"/>
      <c r="T1284" s="141"/>
      <c r="U1284" s="28"/>
    </row>
    <row r="1285" ht="15.75" customHeight="1">
      <c r="P1285" s="25"/>
      <c r="Q1285" s="25"/>
      <c r="R1285" s="25"/>
      <c r="S1285" s="25"/>
      <c r="T1285" s="141"/>
      <c r="U1285" s="28"/>
    </row>
    <row r="1286" ht="15.75" customHeight="1">
      <c r="P1286" s="25"/>
      <c r="Q1286" s="25"/>
      <c r="R1286" s="25"/>
      <c r="S1286" s="25"/>
      <c r="T1286" s="141"/>
      <c r="U1286" s="28"/>
    </row>
    <row r="1287" ht="15.75" customHeight="1">
      <c r="P1287" s="25"/>
      <c r="Q1287" s="25"/>
      <c r="R1287" s="25"/>
      <c r="S1287" s="25"/>
      <c r="T1287" s="141"/>
      <c r="U1287" s="28"/>
    </row>
    <row r="1288" ht="15.75" customHeight="1">
      <c r="P1288" s="25"/>
      <c r="Q1288" s="25"/>
      <c r="R1288" s="25"/>
      <c r="S1288" s="25"/>
      <c r="T1288" s="141"/>
      <c r="U1288" s="28"/>
    </row>
    <row r="1289" ht="15.75" customHeight="1">
      <c r="P1289" s="25"/>
      <c r="Q1289" s="25"/>
      <c r="R1289" s="25"/>
      <c r="S1289" s="25"/>
      <c r="T1289" s="141"/>
      <c r="U1289" s="28"/>
    </row>
    <row r="1290" ht="15.75" customHeight="1">
      <c r="P1290" s="25"/>
      <c r="Q1290" s="25"/>
      <c r="R1290" s="25"/>
      <c r="S1290" s="25"/>
      <c r="T1290" s="141"/>
      <c r="U1290" s="28"/>
    </row>
    <row r="1291" ht="15.75" customHeight="1">
      <c r="P1291" s="25"/>
      <c r="Q1291" s="25"/>
      <c r="R1291" s="25"/>
      <c r="S1291" s="25"/>
      <c r="T1291" s="141"/>
      <c r="U1291" s="28"/>
    </row>
    <row r="1292" ht="15.75" customHeight="1">
      <c r="P1292" s="25"/>
      <c r="Q1292" s="25"/>
      <c r="R1292" s="25"/>
      <c r="S1292" s="25"/>
      <c r="T1292" s="141"/>
      <c r="U1292" s="28"/>
    </row>
    <row r="1293" ht="15.75" customHeight="1">
      <c r="P1293" s="25"/>
      <c r="Q1293" s="25"/>
      <c r="R1293" s="25"/>
      <c r="S1293" s="25"/>
      <c r="T1293" s="141"/>
      <c r="U1293" s="28"/>
    </row>
    <row r="1294" ht="15.75" customHeight="1">
      <c r="P1294" s="25"/>
      <c r="Q1294" s="25"/>
      <c r="R1294" s="25"/>
      <c r="S1294" s="25"/>
      <c r="T1294" s="141"/>
      <c r="U1294" s="28"/>
    </row>
    <row r="1295" ht="15.75" customHeight="1">
      <c r="P1295" s="25"/>
      <c r="Q1295" s="25"/>
      <c r="R1295" s="25"/>
      <c r="S1295" s="25"/>
      <c r="T1295" s="141"/>
      <c r="U1295" s="28"/>
    </row>
    <row r="1296" ht="15.75" customHeight="1">
      <c r="P1296" s="25"/>
      <c r="Q1296" s="25"/>
      <c r="R1296" s="25"/>
      <c r="S1296" s="25"/>
      <c r="T1296" s="141"/>
      <c r="U1296" s="28"/>
    </row>
    <row r="1297" ht="15.75" customHeight="1">
      <c r="P1297" s="25"/>
      <c r="Q1297" s="25"/>
      <c r="R1297" s="25"/>
      <c r="S1297" s="25"/>
      <c r="T1297" s="141"/>
      <c r="U1297" s="28"/>
    </row>
    <row r="1298" ht="15.75" customHeight="1">
      <c r="P1298" s="25"/>
      <c r="Q1298" s="25"/>
      <c r="R1298" s="25"/>
      <c r="S1298" s="25"/>
      <c r="T1298" s="141"/>
      <c r="U1298" s="28"/>
    </row>
    <row r="1299" ht="15.75" customHeight="1">
      <c r="P1299" s="25"/>
      <c r="Q1299" s="25"/>
      <c r="R1299" s="25"/>
      <c r="S1299" s="25"/>
      <c r="T1299" s="141"/>
      <c r="U1299" s="28"/>
    </row>
    <row r="1300" ht="15.75" customHeight="1">
      <c r="P1300" s="25"/>
      <c r="Q1300" s="25"/>
      <c r="R1300" s="25"/>
      <c r="S1300" s="25"/>
      <c r="T1300" s="141"/>
      <c r="U1300" s="28"/>
    </row>
    <row r="1301" ht="15.75" customHeight="1">
      <c r="P1301" s="25"/>
      <c r="Q1301" s="25"/>
      <c r="R1301" s="25"/>
      <c r="S1301" s="25"/>
      <c r="T1301" s="141"/>
      <c r="U1301" s="28"/>
    </row>
    <row r="1302" ht="15.75" customHeight="1">
      <c r="P1302" s="25"/>
      <c r="Q1302" s="25"/>
      <c r="R1302" s="25"/>
      <c r="S1302" s="25"/>
      <c r="T1302" s="141"/>
      <c r="U1302" s="28"/>
    </row>
    <row r="1303" ht="15.75" customHeight="1">
      <c r="P1303" s="25"/>
      <c r="Q1303" s="25"/>
      <c r="R1303" s="25"/>
      <c r="S1303" s="25"/>
      <c r="T1303" s="141"/>
      <c r="U1303" s="28"/>
    </row>
    <row r="1304" ht="15.75" customHeight="1">
      <c r="P1304" s="25"/>
      <c r="Q1304" s="25"/>
      <c r="R1304" s="25"/>
      <c r="S1304" s="25"/>
      <c r="T1304" s="141"/>
      <c r="U1304" s="28"/>
    </row>
    <row r="1305" ht="15.75" customHeight="1">
      <c r="P1305" s="25"/>
      <c r="Q1305" s="25"/>
      <c r="R1305" s="25"/>
      <c r="S1305" s="25"/>
      <c r="T1305" s="141"/>
      <c r="U1305" s="28"/>
    </row>
    <row r="1306" ht="15.75" customHeight="1">
      <c r="P1306" s="25"/>
      <c r="Q1306" s="25"/>
      <c r="R1306" s="25"/>
      <c r="S1306" s="25"/>
      <c r="T1306" s="141"/>
      <c r="U1306" s="28"/>
    </row>
    <row r="1307" ht="15.75" customHeight="1">
      <c r="P1307" s="25"/>
      <c r="Q1307" s="25"/>
      <c r="R1307" s="25"/>
      <c r="S1307" s="25"/>
      <c r="T1307" s="141"/>
      <c r="U1307" s="28"/>
    </row>
    <row r="1308" ht="15.75" customHeight="1">
      <c r="P1308" s="25"/>
      <c r="Q1308" s="25"/>
      <c r="R1308" s="25"/>
      <c r="S1308" s="25"/>
      <c r="T1308" s="141"/>
      <c r="U1308" s="28"/>
    </row>
    <row r="1309" ht="15.75" customHeight="1">
      <c r="P1309" s="25"/>
      <c r="Q1309" s="25"/>
      <c r="R1309" s="25"/>
      <c r="S1309" s="25"/>
      <c r="T1309" s="141"/>
      <c r="U1309" s="28"/>
    </row>
    <row r="1310" ht="15.75" customHeight="1">
      <c r="P1310" s="25"/>
      <c r="Q1310" s="25"/>
      <c r="R1310" s="25"/>
      <c r="S1310" s="25"/>
      <c r="T1310" s="141"/>
      <c r="U1310" s="28"/>
    </row>
    <row r="1311" ht="15.75" customHeight="1">
      <c r="P1311" s="25"/>
      <c r="Q1311" s="25"/>
      <c r="R1311" s="25"/>
      <c r="S1311" s="25"/>
      <c r="T1311" s="141"/>
      <c r="U1311" s="28"/>
    </row>
    <row r="1312" ht="15.75" customHeight="1">
      <c r="P1312" s="25"/>
      <c r="Q1312" s="25"/>
      <c r="R1312" s="25"/>
      <c r="S1312" s="25"/>
      <c r="T1312" s="141"/>
      <c r="U1312" s="28"/>
    </row>
    <row r="1313" ht="15.75" customHeight="1">
      <c r="P1313" s="25"/>
      <c r="Q1313" s="25"/>
      <c r="R1313" s="25"/>
      <c r="S1313" s="25"/>
      <c r="T1313" s="141"/>
      <c r="U1313" s="28"/>
    </row>
    <row r="1314" ht="15.75" customHeight="1">
      <c r="P1314" s="25"/>
      <c r="Q1314" s="25"/>
      <c r="R1314" s="25"/>
      <c r="S1314" s="25"/>
      <c r="T1314" s="141"/>
      <c r="U1314" s="28"/>
    </row>
    <row r="1315" ht="15.75" customHeight="1">
      <c r="P1315" s="25"/>
      <c r="Q1315" s="25"/>
      <c r="R1315" s="25"/>
      <c r="S1315" s="25"/>
      <c r="T1315" s="141"/>
      <c r="U1315" s="28"/>
    </row>
    <row r="1316" ht="15.75" customHeight="1">
      <c r="P1316" s="25"/>
      <c r="Q1316" s="25"/>
      <c r="R1316" s="25"/>
      <c r="S1316" s="25"/>
      <c r="T1316" s="141"/>
      <c r="U1316" s="28"/>
    </row>
    <row r="1317" ht="15.75" customHeight="1">
      <c r="P1317" s="25"/>
      <c r="Q1317" s="25"/>
      <c r="R1317" s="25"/>
      <c r="S1317" s="25"/>
      <c r="T1317" s="141"/>
      <c r="U1317" s="28"/>
    </row>
    <row r="1318" ht="15.75" customHeight="1">
      <c r="P1318" s="25"/>
      <c r="Q1318" s="25"/>
      <c r="R1318" s="25"/>
      <c r="S1318" s="25"/>
      <c r="T1318" s="141"/>
      <c r="U1318" s="28"/>
    </row>
    <row r="1319" ht="15.75" customHeight="1">
      <c r="P1319" s="25"/>
      <c r="Q1319" s="25"/>
      <c r="R1319" s="25"/>
      <c r="S1319" s="25"/>
      <c r="T1319" s="141"/>
      <c r="U1319" s="28"/>
    </row>
    <row r="1320" ht="15.75" customHeight="1">
      <c r="P1320" s="25"/>
      <c r="Q1320" s="25"/>
      <c r="R1320" s="25"/>
      <c r="S1320" s="25"/>
      <c r="T1320" s="141"/>
      <c r="U1320" s="28"/>
    </row>
    <row r="1321" ht="15.75" customHeight="1">
      <c r="P1321" s="25"/>
      <c r="Q1321" s="25"/>
      <c r="R1321" s="25"/>
      <c r="S1321" s="25"/>
      <c r="T1321" s="141"/>
      <c r="U1321" s="28"/>
    </row>
    <row r="1322" ht="15.75" customHeight="1">
      <c r="P1322" s="25"/>
      <c r="Q1322" s="25"/>
      <c r="R1322" s="25"/>
      <c r="S1322" s="25"/>
      <c r="T1322" s="141"/>
      <c r="U1322" s="28"/>
    </row>
    <row r="1323" ht="15.75" customHeight="1">
      <c r="P1323" s="25"/>
      <c r="Q1323" s="25"/>
      <c r="R1323" s="25"/>
      <c r="S1323" s="25"/>
      <c r="T1323" s="141"/>
      <c r="U1323" s="28"/>
    </row>
    <row r="1324" ht="15.75" customHeight="1">
      <c r="P1324" s="25"/>
      <c r="Q1324" s="25"/>
      <c r="R1324" s="25"/>
      <c r="S1324" s="25"/>
      <c r="T1324" s="141"/>
      <c r="U1324" s="28"/>
    </row>
    <row r="1325" ht="15.75" customHeight="1">
      <c r="P1325" s="25"/>
      <c r="Q1325" s="25"/>
      <c r="R1325" s="25"/>
      <c r="S1325" s="25"/>
      <c r="T1325" s="141"/>
      <c r="U1325" s="28"/>
    </row>
    <row r="1326" ht="15.75" customHeight="1">
      <c r="P1326" s="25"/>
      <c r="Q1326" s="25"/>
      <c r="R1326" s="25"/>
      <c r="S1326" s="25"/>
      <c r="T1326" s="141"/>
      <c r="U1326" s="28"/>
    </row>
    <row r="1327" ht="15.75" customHeight="1">
      <c r="P1327" s="25"/>
      <c r="Q1327" s="25"/>
      <c r="R1327" s="25"/>
      <c r="S1327" s="25"/>
      <c r="T1327" s="141"/>
      <c r="U1327" s="28"/>
    </row>
    <row r="1328" ht="15.75" customHeight="1">
      <c r="P1328" s="25"/>
      <c r="Q1328" s="25"/>
      <c r="R1328" s="25"/>
      <c r="S1328" s="25"/>
      <c r="T1328" s="141"/>
      <c r="U1328" s="28"/>
    </row>
    <row r="1329" ht="15.75" customHeight="1">
      <c r="P1329" s="25"/>
      <c r="Q1329" s="25"/>
      <c r="R1329" s="25"/>
      <c r="S1329" s="25"/>
      <c r="T1329" s="141"/>
      <c r="U1329" s="28"/>
    </row>
    <row r="1330" ht="15.75" customHeight="1">
      <c r="P1330" s="25"/>
      <c r="Q1330" s="25"/>
      <c r="R1330" s="25"/>
      <c r="S1330" s="25"/>
      <c r="T1330" s="141"/>
      <c r="U1330" s="28"/>
    </row>
    <row r="1331" ht="15.75" customHeight="1">
      <c r="P1331" s="25"/>
      <c r="Q1331" s="25"/>
      <c r="R1331" s="25"/>
      <c r="S1331" s="25"/>
      <c r="T1331" s="141"/>
      <c r="U1331" s="28"/>
    </row>
    <row r="1332" ht="15.75" customHeight="1">
      <c r="P1332" s="25"/>
      <c r="Q1332" s="25"/>
      <c r="R1332" s="25"/>
      <c r="S1332" s="25"/>
      <c r="T1332" s="141"/>
      <c r="U1332" s="28"/>
    </row>
    <row r="1333" ht="15.75" customHeight="1">
      <c r="P1333" s="25"/>
      <c r="Q1333" s="25"/>
      <c r="R1333" s="25"/>
      <c r="S1333" s="25"/>
      <c r="T1333" s="141"/>
      <c r="U1333" s="28"/>
    </row>
    <row r="1334" ht="15.75" customHeight="1">
      <c r="P1334" s="25"/>
      <c r="Q1334" s="25"/>
      <c r="R1334" s="25"/>
      <c r="S1334" s="25"/>
      <c r="T1334" s="141"/>
      <c r="U1334" s="28"/>
    </row>
    <row r="1335" ht="15.75" customHeight="1">
      <c r="P1335" s="25"/>
      <c r="Q1335" s="25"/>
      <c r="R1335" s="25"/>
      <c r="S1335" s="25"/>
      <c r="T1335" s="141"/>
      <c r="U1335" s="28"/>
    </row>
    <row r="1336" ht="15.75" customHeight="1">
      <c r="P1336" s="25"/>
      <c r="Q1336" s="25"/>
      <c r="R1336" s="25"/>
      <c r="S1336" s="25"/>
      <c r="T1336" s="141"/>
      <c r="U1336" s="28"/>
    </row>
    <row r="1337" ht="15.75" customHeight="1">
      <c r="P1337" s="25"/>
      <c r="Q1337" s="25"/>
      <c r="R1337" s="25"/>
      <c r="S1337" s="25"/>
      <c r="T1337" s="141"/>
      <c r="U1337" s="28"/>
    </row>
    <row r="1338" ht="15.75" customHeight="1">
      <c r="P1338" s="25"/>
      <c r="Q1338" s="25"/>
      <c r="R1338" s="25"/>
      <c r="S1338" s="25"/>
      <c r="T1338" s="141"/>
      <c r="U1338" s="28"/>
    </row>
    <row r="1339" ht="15.75" customHeight="1">
      <c r="P1339" s="25"/>
      <c r="Q1339" s="25"/>
      <c r="R1339" s="25"/>
      <c r="S1339" s="25"/>
      <c r="T1339" s="141"/>
      <c r="U1339" s="28"/>
    </row>
    <row r="1340" ht="15.75" customHeight="1">
      <c r="P1340" s="25"/>
      <c r="Q1340" s="25"/>
      <c r="R1340" s="25"/>
      <c r="S1340" s="25"/>
      <c r="T1340" s="141"/>
      <c r="U1340" s="28"/>
    </row>
    <row r="1341" ht="15.75" customHeight="1">
      <c r="P1341" s="25"/>
      <c r="Q1341" s="25"/>
      <c r="R1341" s="25"/>
      <c r="S1341" s="25"/>
      <c r="T1341" s="141"/>
      <c r="U1341" s="28"/>
    </row>
    <row r="1342" ht="15.75" customHeight="1">
      <c r="P1342" s="25"/>
      <c r="Q1342" s="25"/>
      <c r="R1342" s="25"/>
      <c r="S1342" s="25"/>
      <c r="T1342" s="141"/>
      <c r="U1342" s="28"/>
    </row>
    <row r="1343" ht="15.75" customHeight="1">
      <c r="P1343" s="25"/>
      <c r="Q1343" s="25"/>
      <c r="R1343" s="25"/>
      <c r="S1343" s="25"/>
      <c r="T1343" s="141"/>
      <c r="U1343" s="28"/>
    </row>
    <row r="1344" ht="15.75" customHeight="1">
      <c r="P1344" s="25"/>
      <c r="Q1344" s="25"/>
      <c r="R1344" s="25"/>
      <c r="S1344" s="25"/>
      <c r="T1344" s="141"/>
      <c r="U1344" s="28"/>
    </row>
    <row r="1345" ht="15.75" customHeight="1">
      <c r="P1345" s="25"/>
      <c r="Q1345" s="25"/>
      <c r="R1345" s="25"/>
      <c r="S1345" s="25"/>
      <c r="T1345" s="141"/>
      <c r="U1345" s="28"/>
    </row>
    <row r="1346" ht="15.75" customHeight="1">
      <c r="P1346" s="25"/>
      <c r="Q1346" s="25"/>
      <c r="R1346" s="25"/>
      <c r="S1346" s="25"/>
      <c r="T1346" s="141"/>
      <c r="U1346" s="28"/>
    </row>
    <row r="1347" ht="15.75" customHeight="1">
      <c r="P1347" s="25"/>
      <c r="Q1347" s="25"/>
      <c r="R1347" s="25"/>
      <c r="S1347" s="25"/>
      <c r="T1347" s="141"/>
      <c r="U1347" s="28"/>
    </row>
    <row r="1348" ht="15.75" customHeight="1">
      <c r="P1348" s="25"/>
      <c r="Q1348" s="25"/>
      <c r="R1348" s="25"/>
      <c r="S1348" s="25"/>
      <c r="T1348" s="141"/>
      <c r="U1348" s="28"/>
    </row>
    <row r="1349" ht="15.75" customHeight="1">
      <c r="P1349" s="25"/>
      <c r="Q1349" s="25"/>
      <c r="R1349" s="25"/>
      <c r="S1349" s="25"/>
      <c r="T1349" s="141"/>
      <c r="U1349" s="28"/>
    </row>
    <row r="1350" ht="15.75" customHeight="1">
      <c r="P1350" s="25"/>
      <c r="Q1350" s="25"/>
      <c r="R1350" s="25"/>
      <c r="S1350" s="25"/>
      <c r="T1350" s="141"/>
      <c r="U1350" s="28"/>
    </row>
    <row r="1351" ht="15.75" customHeight="1">
      <c r="P1351" s="25"/>
      <c r="Q1351" s="25"/>
      <c r="R1351" s="25"/>
      <c r="S1351" s="25"/>
      <c r="T1351" s="141"/>
      <c r="U1351" s="28"/>
    </row>
    <row r="1352" ht="15.75" customHeight="1">
      <c r="P1352" s="25"/>
      <c r="Q1352" s="25"/>
      <c r="R1352" s="25"/>
      <c r="S1352" s="25"/>
      <c r="T1352" s="141"/>
      <c r="U1352" s="28"/>
    </row>
    <row r="1353" ht="15.75" customHeight="1">
      <c r="P1353" s="25"/>
      <c r="Q1353" s="25"/>
      <c r="R1353" s="25"/>
      <c r="S1353" s="25"/>
      <c r="T1353" s="141"/>
      <c r="U1353" s="28"/>
    </row>
    <row r="1354" ht="15.75" customHeight="1">
      <c r="P1354" s="25"/>
      <c r="Q1354" s="25"/>
      <c r="R1354" s="25"/>
      <c r="S1354" s="25"/>
      <c r="T1354" s="141"/>
      <c r="U1354" s="28"/>
    </row>
    <row r="1355" ht="15.75" customHeight="1">
      <c r="P1355" s="25"/>
      <c r="Q1355" s="25"/>
      <c r="R1355" s="25"/>
      <c r="S1355" s="25"/>
      <c r="T1355" s="141"/>
      <c r="U1355" s="28"/>
    </row>
    <row r="1356" ht="15.75" customHeight="1">
      <c r="P1356" s="25"/>
      <c r="Q1356" s="25"/>
      <c r="R1356" s="25"/>
      <c r="S1356" s="25"/>
      <c r="T1356" s="141"/>
      <c r="U1356" s="28"/>
    </row>
    <row r="1357" ht="15.75" customHeight="1">
      <c r="P1357" s="25"/>
      <c r="Q1357" s="25"/>
      <c r="R1357" s="25"/>
      <c r="S1357" s="25"/>
      <c r="T1357" s="141"/>
      <c r="U1357" s="28"/>
    </row>
    <row r="1358" ht="15.75" customHeight="1">
      <c r="P1358" s="25"/>
      <c r="Q1358" s="25"/>
      <c r="R1358" s="25"/>
      <c r="S1358" s="25"/>
      <c r="T1358" s="141"/>
      <c r="U1358" s="28"/>
    </row>
    <row r="1359" ht="15.75" customHeight="1">
      <c r="P1359" s="25"/>
      <c r="Q1359" s="25"/>
      <c r="R1359" s="25"/>
      <c r="S1359" s="25"/>
      <c r="T1359" s="141"/>
      <c r="U1359" s="28"/>
    </row>
    <row r="1360" ht="15.75" customHeight="1">
      <c r="P1360" s="25"/>
      <c r="Q1360" s="25"/>
      <c r="R1360" s="25"/>
      <c r="S1360" s="25"/>
      <c r="T1360" s="141"/>
      <c r="U1360" s="28"/>
    </row>
    <row r="1361" ht="15.75" customHeight="1">
      <c r="P1361" s="25"/>
      <c r="Q1361" s="25"/>
      <c r="R1361" s="25"/>
      <c r="S1361" s="25"/>
      <c r="T1361" s="141"/>
      <c r="U1361" s="28"/>
    </row>
    <row r="1362" ht="15.75" customHeight="1">
      <c r="P1362" s="25"/>
      <c r="Q1362" s="25"/>
      <c r="R1362" s="25"/>
      <c r="S1362" s="25"/>
      <c r="T1362" s="141"/>
      <c r="U1362" s="28"/>
    </row>
    <row r="1363" ht="15.75" customHeight="1">
      <c r="P1363" s="25"/>
      <c r="Q1363" s="25"/>
      <c r="R1363" s="25"/>
      <c r="S1363" s="25"/>
      <c r="T1363" s="141"/>
      <c r="U1363" s="28"/>
    </row>
    <row r="1364" ht="15.75" customHeight="1">
      <c r="P1364" s="25"/>
      <c r="Q1364" s="25"/>
      <c r="R1364" s="25"/>
      <c r="S1364" s="25"/>
      <c r="T1364" s="141"/>
      <c r="U1364" s="28"/>
    </row>
    <row r="1365" ht="15.75" customHeight="1">
      <c r="P1365" s="25"/>
      <c r="Q1365" s="25"/>
      <c r="R1365" s="25"/>
      <c r="S1365" s="25"/>
      <c r="T1365" s="141"/>
      <c r="U1365" s="28"/>
    </row>
    <row r="1366" ht="15.75" customHeight="1">
      <c r="P1366" s="25"/>
      <c r="Q1366" s="25"/>
      <c r="R1366" s="25"/>
      <c r="S1366" s="25"/>
      <c r="T1366" s="141"/>
      <c r="U1366" s="28"/>
    </row>
    <row r="1367" ht="15.75" customHeight="1">
      <c r="P1367" s="25"/>
      <c r="Q1367" s="25"/>
      <c r="R1367" s="25"/>
      <c r="S1367" s="25"/>
      <c r="T1367" s="141"/>
      <c r="U1367" s="28"/>
    </row>
    <row r="1368" ht="15.75" customHeight="1">
      <c r="P1368" s="25"/>
      <c r="Q1368" s="25"/>
      <c r="R1368" s="25"/>
      <c r="S1368" s="25"/>
      <c r="T1368" s="141"/>
      <c r="U1368" s="28"/>
    </row>
    <row r="1369" ht="15.75" customHeight="1">
      <c r="P1369" s="25"/>
      <c r="Q1369" s="25"/>
      <c r="R1369" s="25"/>
      <c r="S1369" s="25"/>
      <c r="T1369" s="141"/>
      <c r="U1369" s="28"/>
    </row>
    <row r="1370" ht="15.75" customHeight="1">
      <c r="P1370" s="25"/>
      <c r="Q1370" s="25"/>
      <c r="R1370" s="25"/>
      <c r="S1370" s="25"/>
      <c r="T1370" s="141"/>
      <c r="U1370" s="28"/>
    </row>
    <row r="1371" ht="15.75" customHeight="1">
      <c r="P1371" s="25"/>
      <c r="Q1371" s="25"/>
      <c r="R1371" s="25"/>
      <c r="S1371" s="25"/>
      <c r="T1371" s="141"/>
      <c r="U1371" s="28"/>
    </row>
    <row r="1372" ht="15.75" customHeight="1">
      <c r="P1372" s="25"/>
      <c r="Q1372" s="25"/>
      <c r="R1372" s="25"/>
      <c r="S1372" s="25"/>
      <c r="T1372" s="141"/>
      <c r="U1372" s="28"/>
    </row>
    <row r="1373" ht="15.75" customHeight="1">
      <c r="P1373" s="25"/>
      <c r="Q1373" s="25"/>
      <c r="R1373" s="25"/>
      <c r="S1373" s="25"/>
      <c r="T1373" s="141"/>
      <c r="U1373" s="28"/>
    </row>
    <row r="1374" ht="15.75" customHeight="1">
      <c r="P1374" s="25"/>
      <c r="Q1374" s="25"/>
      <c r="R1374" s="25"/>
      <c r="S1374" s="25"/>
      <c r="T1374" s="141"/>
      <c r="U1374" s="28"/>
    </row>
    <row r="1375" ht="15.75" customHeight="1">
      <c r="P1375" s="25"/>
      <c r="Q1375" s="25"/>
      <c r="R1375" s="25"/>
      <c r="S1375" s="25"/>
      <c r="T1375" s="141"/>
      <c r="U1375" s="28"/>
    </row>
    <row r="1376" ht="15.75" customHeight="1">
      <c r="P1376" s="25"/>
      <c r="Q1376" s="25"/>
      <c r="R1376" s="25"/>
      <c r="S1376" s="25"/>
      <c r="T1376" s="141"/>
      <c r="U1376" s="28"/>
    </row>
    <row r="1377" ht="15.75" customHeight="1">
      <c r="P1377" s="25"/>
      <c r="Q1377" s="25"/>
      <c r="R1377" s="25"/>
      <c r="S1377" s="25"/>
      <c r="T1377" s="141"/>
      <c r="U1377" s="28"/>
    </row>
    <row r="1378" ht="15.75" customHeight="1">
      <c r="P1378" s="25"/>
      <c r="Q1378" s="25"/>
      <c r="R1378" s="25"/>
      <c r="S1378" s="25"/>
      <c r="T1378" s="141"/>
      <c r="U1378" s="28"/>
    </row>
    <row r="1379" ht="15.75" customHeight="1">
      <c r="P1379" s="25"/>
      <c r="Q1379" s="25"/>
      <c r="R1379" s="25"/>
      <c r="S1379" s="25"/>
      <c r="T1379" s="141"/>
      <c r="U1379" s="28"/>
    </row>
    <row r="1380" ht="15.75" customHeight="1">
      <c r="P1380" s="25"/>
      <c r="Q1380" s="25"/>
      <c r="R1380" s="25"/>
      <c r="S1380" s="25"/>
      <c r="T1380" s="141"/>
      <c r="U1380" s="28"/>
    </row>
    <row r="1381" ht="15.75" customHeight="1">
      <c r="P1381" s="25"/>
      <c r="Q1381" s="25"/>
      <c r="R1381" s="25"/>
      <c r="S1381" s="25"/>
      <c r="T1381" s="141"/>
      <c r="U1381" s="28"/>
    </row>
    <row r="1382" ht="15.75" customHeight="1">
      <c r="P1382" s="25"/>
      <c r="Q1382" s="25"/>
      <c r="R1382" s="25"/>
      <c r="S1382" s="25"/>
      <c r="T1382" s="141"/>
      <c r="U1382" s="28"/>
    </row>
    <row r="1383" ht="15.75" customHeight="1">
      <c r="P1383" s="25"/>
      <c r="Q1383" s="25"/>
      <c r="R1383" s="25"/>
      <c r="S1383" s="25"/>
      <c r="T1383" s="141"/>
      <c r="U1383" s="28"/>
    </row>
    <row r="1384" ht="15.75" customHeight="1">
      <c r="P1384" s="25"/>
      <c r="Q1384" s="25"/>
      <c r="R1384" s="25"/>
      <c r="S1384" s="25"/>
      <c r="T1384" s="141"/>
      <c r="U1384" s="28"/>
    </row>
    <row r="1385" ht="15.75" customHeight="1">
      <c r="P1385" s="25"/>
      <c r="Q1385" s="25"/>
      <c r="R1385" s="25"/>
      <c r="S1385" s="25"/>
      <c r="T1385" s="141"/>
      <c r="U1385" s="28"/>
    </row>
    <row r="1386" ht="15.75" customHeight="1">
      <c r="P1386" s="25"/>
      <c r="Q1386" s="25"/>
      <c r="R1386" s="25"/>
      <c r="S1386" s="25"/>
      <c r="T1386" s="141"/>
      <c r="U1386" s="28"/>
    </row>
    <row r="1387" ht="15.75" customHeight="1">
      <c r="P1387" s="25"/>
      <c r="Q1387" s="25"/>
      <c r="R1387" s="25"/>
      <c r="S1387" s="25"/>
      <c r="T1387" s="141"/>
      <c r="U1387" s="28"/>
    </row>
    <row r="1388" ht="15.75" customHeight="1">
      <c r="P1388" s="25"/>
      <c r="Q1388" s="25"/>
      <c r="R1388" s="25"/>
      <c r="S1388" s="25"/>
      <c r="T1388" s="141"/>
      <c r="U1388" s="28"/>
    </row>
    <row r="1389" ht="15.75" customHeight="1">
      <c r="P1389" s="25"/>
      <c r="Q1389" s="25"/>
      <c r="R1389" s="25"/>
      <c r="S1389" s="25"/>
      <c r="T1389" s="141"/>
      <c r="U1389" s="28"/>
    </row>
    <row r="1390" ht="15.75" customHeight="1">
      <c r="P1390" s="25"/>
      <c r="Q1390" s="25"/>
      <c r="R1390" s="25"/>
      <c r="S1390" s="25"/>
      <c r="T1390" s="141"/>
      <c r="U1390" s="28"/>
    </row>
    <row r="1391" ht="15.75" customHeight="1">
      <c r="P1391" s="25"/>
      <c r="Q1391" s="25"/>
      <c r="R1391" s="25"/>
      <c r="S1391" s="25"/>
      <c r="T1391" s="141"/>
      <c r="U1391" s="28"/>
    </row>
    <row r="1392" ht="15.75" customHeight="1">
      <c r="P1392" s="25"/>
      <c r="Q1392" s="25"/>
      <c r="R1392" s="25"/>
      <c r="S1392" s="25"/>
      <c r="T1392" s="141"/>
      <c r="U1392" s="28"/>
    </row>
    <row r="1393" ht="15.75" customHeight="1">
      <c r="P1393" s="25"/>
      <c r="Q1393" s="25"/>
      <c r="R1393" s="25"/>
      <c r="S1393" s="25"/>
      <c r="T1393" s="141"/>
      <c r="U1393" s="28"/>
    </row>
    <row r="1394" ht="15.75" customHeight="1">
      <c r="P1394" s="25"/>
      <c r="Q1394" s="25"/>
      <c r="R1394" s="25"/>
      <c r="S1394" s="25"/>
      <c r="T1394" s="141"/>
      <c r="U1394" s="28"/>
    </row>
    <row r="1395" ht="15.75" customHeight="1">
      <c r="P1395" s="25"/>
      <c r="Q1395" s="25"/>
      <c r="R1395" s="25"/>
      <c r="S1395" s="25"/>
      <c r="T1395" s="141"/>
      <c r="U1395" s="28"/>
    </row>
    <row r="1396" ht="15.75" customHeight="1">
      <c r="P1396" s="25"/>
      <c r="Q1396" s="25"/>
      <c r="R1396" s="25"/>
      <c r="S1396" s="25"/>
      <c r="T1396" s="141"/>
      <c r="U1396" s="28"/>
    </row>
    <row r="1397" ht="15.75" customHeight="1">
      <c r="P1397" s="25"/>
      <c r="Q1397" s="25"/>
      <c r="R1397" s="25"/>
      <c r="S1397" s="25"/>
      <c r="T1397" s="141"/>
      <c r="U1397" s="28"/>
    </row>
    <row r="1398" ht="15.75" customHeight="1">
      <c r="P1398" s="25"/>
      <c r="Q1398" s="25"/>
      <c r="R1398" s="25"/>
      <c r="S1398" s="25"/>
      <c r="T1398" s="141"/>
      <c r="U1398" s="28"/>
    </row>
    <row r="1399" ht="15.75" customHeight="1">
      <c r="P1399" s="25"/>
      <c r="Q1399" s="25"/>
      <c r="R1399" s="25"/>
      <c r="S1399" s="25"/>
      <c r="T1399" s="141"/>
      <c r="U1399" s="28"/>
    </row>
    <row r="1400" ht="15.75" customHeight="1">
      <c r="P1400" s="25"/>
      <c r="Q1400" s="25"/>
      <c r="R1400" s="25"/>
      <c r="S1400" s="25"/>
      <c r="T1400" s="141"/>
      <c r="U1400" s="28"/>
    </row>
    <row r="1401" ht="15.75" customHeight="1">
      <c r="P1401" s="25"/>
      <c r="Q1401" s="25"/>
      <c r="R1401" s="25"/>
      <c r="S1401" s="25"/>
      <c r="T1401" s="141"/>
      <c r="U1401" s="28"/>
    </row>
    <row r="1402" ht="15.75" customHeight="1">
      <c r="P1402" s="25"/>
      <c r="Q1402" s="25"/>
      <c r="R1402" s="25"/>
      <c r="S1402" s="25"/>
      <c r="T1402" s="141"/>
      <c r="U1402" s="28"/>
    </row>
    <row r="1403" ht="15.75" customHeight="1">
      <c r="P1403" s="25"/>
      <c r="Q1403" s="25"/>
      <c r="R1403" s="25"/>
      <c r="S1403" s="25"/>
      <c r="T1403" s="141"/>
      <c r="U1403" s="28"/>
    </row>
    <row r="1404" ht="15.75" customHeight="1">
      <c r="P1404" s="25"/>
      <c r="Q1404" s="25"/>
      <c r="R1404" s="25"/>
      <c r="S1404" s="25"/>
      <c r="T1404" s="141"/>
      <c r="U1404" s="28"/>
    </row>
    <row r="1405" ht="15.75" customHeight="1">
      <c r="P1405" s="25"/>
      <c r="Q1405" s="25"/>
      <c r="R1405" s="25"/>
      <c r="S1405" s="25"/>
      <c r="T1405" s="141"/>
      <c r="U1405" s="28"/>
    </row>
    <row r="1406" ht="15.75" customHeight="1">
      <c r="P1406" s="25"/>
      <c r="Q1406" s="25"/>
      <c r="R1406" s="25"/>
      <c r="S1406" s="25"/>
      <c r="T1406" s="141"/>
      <c r="U1406" s="28"/>
    </row>
    <row r="1407" ht="15.75" customHeight="1">
      <c r="P1407" s="25"/>
      <c r="Q1407" s="25"/>
      <c r="R1407" s="25"/>
      <c r="S1407" s="25"/>
      <c r="T1407" s="141"/>
      <c r="U1407" s="28"/>
    </row>
    <row r="1408" ht="15.75" customHeight="1">
      <c r="P1408" s="25"/>
      <c r="Q1408" s="25"/>
      <c r="R1408" s="25"/>
      <c r="S1408" s="25"/>
      <c r="T1408" s="141"/>
      <c r="U1408" s="28"/>
    </row>
    <row r="1409" ht="15.75" customHeight="1">
      <c r="P1409" s="25"/>
      <c r="Q1409" s="25"/>
      <c r="R1409" s="25"/>
      <c r="S1409" s="25"/>
      <c r="T1409" s="141"/>
      <c r="U1409" s="28"/>
    </row>
    <row r="1410" ht="15.75" customHeight="1">
      <c r="P1410" s="25"/>
      <c r="Q1410" s="25"/>
      <c r="R1410" s="25"/>
      <c r="S1410" s="25"/>
      <c r="T1410" s="141"/>
      <c r="U1410" s="28"/>
    </row>
    <row r="1411" ht="15.75" customHeight="1">
      <c r="P1411" s="25"/>
      <c r="Q1411" s="25"/>
      <c r="R1411" s="25"/>
      <c r="S1411" s="25"/>
      <c r="T1411" s="141"/>
      <c r="U1411" s="28"/>
    </row>
    <row r="1412" ht="15.75" customHeight="1">
      <c r="P1412" s="25"/>
      <c r="Q1412" s="25"/>
      <c r="R1412" s="25"/>
      <c r="S1412" s="25"/>
      <c r="T1412" s="141"/>
      <c r="U1412" s="28"/>
    </row>
    <row r="1413" ht="15.75" customHeight="1">
      <c r="P1413" s="25"/>
      <c r="Q1413" s="25"/>
      <c r="R1413" s="25"/>
      <c r="S1413" s="25"/>
      <c r="T1413" s="141"/>
      <c r="U1413" s="28"/>
    </row>
    <row r="1414" ht="15.75" customHeight="1">
      <c r="P1414" s="25"/>
      <c r="Q1414" s="25"/>
      <c r="R1414" s="25"/>
      <c r="S1414" s="25"/>
      <c r="T1414" s="141"/>
      <c r="U1414" s="28"/>
    </row>
    <row r="1415" ht="15.75" customHeight="1">
      <c r="P1415" s="25"/>
      <c r="Q1415" s="25"/>
      <c r="R1415" s="25"/>
      <c r="S1415" s="25"/>
      <c r="T1415" s="141"/>
      <c r="U1415" s="28"/>
    </row>
    <row r="1416" ht="15.75" customHeight="1">
      <c r="P1416" s="25"/>
      <c r="Q1416" s="25"/>
      <c r="R1416" s="25"/>
      <c r="S1416" s="25"/>
      <c r="T1416" s="141"/>
      <c r="U1416" s="28"/>
    </row>
    <row r="1417" ht="15.75" customHeight="1">
      <c r="P1417" s="25"/>
      <c r="Q1417" s="25"/>
      <c r="R1417" s="25"/>
      <c r="S1417" s="25"/>
      <c r="T1417" s="141"/>
      <c r="U1417" s="28"/>
    </row>
    <row r="1418" ht="15.75" customHeight="1">
      <c r="P1418" s="25"/>
      <c r="Q1418" s="25"/>
      <c r="R1418" s="25"/>
      <c r="S1418" s="25"/>
      <c r="T1418" s="141"/>
      <c r="U1418" s="28"/>
    </row>
    <row r="1419" ht="15.75" customHeight="1">
      <c r="P1419" s="25"/>
      <c r="Q1419" s="25"/>
      <c r="R1419" s="25"/>
      <c r="S1419" s="25"/>
      <c r="T1419" s="141"/>
      <c r="U1419" s="28"/>
    </row>
    <row r="1420" ht="15.75" customHeight="1">
      <c r="P1420" s="25"/>
      <c r="Q1420" s="25"/>
      <c r="R1420" s="25"/>
      <c r="S1420" s="25"/>
      <c r="T1420" s="141"/>
      <c r="U1420" s="28"/>
    </row>
    <row r="1421" ht="15.75" customHeight="1">
      <c r="P1421" s="25"/>
      <c r="Q1421" s="25"/>
      <c r="R1421" s="25"/>
      <c r="S1421" s="25"/>
      <c r="T1421" s="141"/>
      <c r="U1421" s="28"/>
    </row>
    <row r="1422" ht="15.75" customHeight="1">
      <c r="P1422" s="25"/>
      <c r="Q1422" s="25"/>
      <c r="R1422" s="25"/>
      <c r="S1422" s="25"/>
      <c r="T1422" s="141"/>
      <c r="U1422" s="28"/>
    </row>
    <row r="1423" ht="15.75" customHeight="1">
      <c r="P1423" s="25"/>
      <c r="Q1423" s="25"/>
      <c r="R1423" s="25"/>
      <c r="S1423" s="25"/>
      <c r="T1423" s="141"/>
      <c r="U1423" s="28"/>
    </row>
    <row r="1424" ht="15.75" customHeight="1">
      <c r="P1424" s="25"/>
      <c r="Q1424" s="25"/>
      <c r="R1424" s="25"/>
      <c r="S1424" s="25"/>
      <c r="T1424" s="141"/>
      <c r="U1424" s="28"/>
    </row>
    <row r="1425" ht="15.75" customHeight="1">
      <c r="P1425" s="25"/>
      <c r="Q1425" s="25"/>
      <c r="R1425" s="25"/>
      <c r="S1425" s="25"/>
      <c r="T1425" s="141"/>
      <c r="U1425" s="28"/>
    </row>
    <row r="1426" ht="15.75" customHeight="1">
      <c r="P1426" s="25"/>
      <c r="Q1426" s="25"/>
      <c r="R1426" s="25"/>
      <c r="S1426" s="25"/>
      <c r="T1426" s="141"/>
      <c r="U1426" s="28"/>
    </row>
    <row r="1427" ht="15.75" customHeight="1">
      <c r="P1427" s="25"/>
      <c r="Q1427" s="25"/>
      <c r="R1427" s="25"/>
      <c r="S1427" s="25"/>
      <c r="T1427" s="141"/>
      <c r="U1427" s="28"/>
    </row>
    <row r="1428" ht="15.75" customHeight="1">
      <c r="P1428" s="25"/>
      <c r="Q1428" s="25"/>
      <c r="R1428" s="25"/>
      <c r="S1428" s="25"/>
      <c r="T1428" s="141"/>
      <c r="U1428" s="28"/>
    </row>
    <row r="1429" ht="15.75" customHeight="1">
      <c r="P1429" s="25"/>
      <c r="Q1429" s="25"/>
      <c r="R1429" s="25"/>
      <c r="S1429" s="25"/>
      <c r="T1429" s="141"/>
      <c r="U1429" s="28"/>
    </row>
    <row r="1430" ht="15.75" customHeight="1">
      <c r="P1430" s="25"/>
      <c r="Q1430" s="25"/>
      <c r="R1430" s="25"/>
      <c r="S1430" s="25"/>
      <c r="T1430" s="141"/>
      <c r="U1430" s="28"/>
    </row>
    <row r="1431" ht="15.75" customHeight="1">
      <c r="P1431" s="25"/>
      <c r="Q1431" s="25"/>
      <c r="R1431" s="25"/>
      <c r="S1431" s="25"/>
      <c r="T1431" s="141"/>
      <c r="U1431" s="28"/>
    </row>
    <row r="1432" ht="15.75" customHeight="1">
      <c r="P1432" s="25"/>
      <c r="Q1432" s="25"/>
      <c r="R1432" s="25"/>
      <c r="S1432" s="25"/>
      <c r="T1432" s="141"/>
      <c r="U1432" s="28"/>
    </row>
    <row r="1433" ht="15.75" customHeight="1">
      <c r="P1433" s="25"/>
      <c r="Q1433" s="25"/>
      <c r="R1433" s="25"/>
      <c r="S1433" s="25"/>
      <c r="T1433" s="141"/>
      <c r="U1433" s="28"/>
    </row>
    <row r="1434" ht="15.75" customHeight="1">
      <c r="P1434" s="25"/>
      <c r="Q1434" s="25"/>
      <c r="R1434" s="25"/>
      <c r="S1434" s="25"/>
      <c r="T1434" s="141"/>
      <c r="U1434" s="28"/>
    </row>
    <row r="1435" ht="15.75" customHeight="1">
      <c r="P1435" s="25"/>
      <c r="Q1435" s="25"/>
      <c r="R1435" s="25"/>
      <c r="S1435" s="25"/>
      <c r="T1435" s="141"/>
      <c r="U1435" s="28"/>
    </row>
    <row r="1436" ht="15.75" customHeight="1">
      <c r="P1436" s="25"/>
      <c r="Q1436" s="25"/>
      <c r="R1436" s="25"/>
      <c r="S1436" s="25"/>
      <c r="T1436" s="141"/>
      <c r="U1436" s="28"/>
    </row>
    <row r="1437" ht="15.75" customHeight="1">
      <c r="P1437" s="25"/>
      <c r="Q1437" s="25"/>
      <c r="R1437" s="25"/>
      <c r="S1437" s="25"/>
      <c r="T1437" s="141"/>
      <c r="U1437" s="28"/>
    </row>
    <row r="1438" ht="15.75" customHeight="1">
      <c r="P1438" s="25"/>
      <c r="Q1438" s="25"/>
      <c r="R1438" s="25"/>
      <c r="S1438" s="25"/>
      <c r="T1438" s="141"/>
      <c r="U1438" s="28"/>
    </row>
    <row r="1439" ht="15.75" customHeight="1">
      <c r="P1439" s="25"/>
      <c r="Q1439" s="25"/>
      <c r="R1439" s="25"/>
      <c r="S1439" s="25"/>
      <c r="T1439" s="141"/>
      <c r="U1439" s="28"/>
    </row>
    <row r="1440" ht="15.75" customHeight="1">
      <c r="P1440" s="25"/>
      <c r="Q1440" s="25"/>
      <c r="R1440" s="25"/>
      <c r="S1440" s="25"/>
      <c r="T1440" s="141"/>
      <c r="U1440" s="28"/>
    </row>
    <row r="1441" ht="15.75" customHeight="1">
      <c r="P1441" s="25"/>
      <c r="Q1441" s="25"/>
      <c r="R1441" s="25"/>
      <c r="S1441" s="25"/>
      <c r="T1441" s="141"/>
      <c r="U1441" s="28"/>
    </row>
    <row r="1442" ht="15.75" customHeight="1">
      <c r="P1442" s="25"/>
      <c r="Q1442" s="25"/>
      <c r="R1442" s="25"/>
      <c r="S1442" s="25"/>
      <c r="T1442" s="141"/>
      <c r="U1442" s="28"/>
    </row>
    <row r="1443" ht="15.75" customHeight="1">
      <c r="P1443" s="25"/>
      <c r="Q1443" s="25"/>
      <c r="R1443" s="25"/>
      <c r="S1443" s="25"/>
      <c r="T1443" s="141"/>
      <c r="U1443" s="28"/>
    </row>
    <row r="1444" ht="15.75" customHeight="1">
      <c r="P1444" s="25"/>
      <c r="Q1444" s="25"/>
      <c r="R1444" s="25"/>
      <c r="S1444" s="25"/>
      <c r="T1444" s="141"/>
      <c r="U1444" s="28"/>
    </row>
    <row r="1445" ht="15.75" customHeight="1">
      <c r="P1445" s="25"/>
      <c r="Q1445" s="25"/>
      <c r="R1445" s="25"/>
      <c r="S1445" s="25"/>
      <c r="T1445" s="141"/>
      <c r="U1445" s="28"/>
    </row>
    <row r="1446" ht="15.75" customHeight="1">
      <c r="P1446" s="25"/>
      <c r="Q1446" s="25"/>
      <c r="R1446" s="25"/>
      <c r="S1446" s="25"/>
      <c r="T1446" s="141"/>
      <c r="U1446" s="28"/>
    </row>
    <row r="1447" ht="15.75" customHeight="1">
      <c r="P1447" s="25"/>
      <c r="Q1447" s="25"/>
      <c r="R1447" s="25"/>
      <c r="S1447" s="25"/>
      <c r="T1447" s="141"/>
      <c r="U1447" s="28"/>
    </row>
    <row r="1448" ht="15.75" customHeight="1">
      <c r="P1448" s="25"/>
      <c r="Q1448" s="25"/>
      <c r="R1448" s="25"/>
      <c r="S1448" s="25"/>
      <c r="T1448" s="141"/>
      <c r="U1448" s="28"/>
    </row>
    <row r="1449" ht="15.75" customHeight="1">
      <c r="P1449" s="25"/>
      <c r="Q1449" s="25"/>
      <c r="R1449" s="25"/>
      <c r="S1449" s="25"/>
      <c r="T1449" s="141"/>
      <c r="U1449" s="28"/>
    </row>
    <row r="1450" ht="15.75" customHeight="1">
      <c r="P1450" s="25"/>
      <c r="Q1450" s="25"/>
      <c r="R1450" s="25"/>
      <c r="S1450" s="25"/>
      <c r="T1450" s="141"/>
      <c r="U1450" s="28"/>
    </row>
    <row r="1451" ht="15.75" customHeight="1">
      <c r="P1451" s="25"/>
      <c r="Q1451" s="25"/>
      <c r="R1451" s="25"/>
      <c r="S1451" s="25"/>
      <c r="T1451" s="141"/>
      <c r="U1451" s="28"/>
    </row>
    <row r="1452" ht="15.75" customHeight="1">
      <c r="P1452" s="25"/>
      <c r="Q1452" s="25"/>
      <c r="R1452" s="25"/>
      <c r="S1452" s="25"/>
      <c r="T1452" s="141"/>
      <c r="U1452" s="28"/>
    </row>
    <row r="1453" ht="15.75" customHeight="1">
      <c r="P1453" s="25"/>
      <c r="Q1453" s="25"/>
      <c r="R1453" s="25"/>
      <c r="S1453" s="25"/>
      <c r="T1453" s="141"/>
      <c r="U1453" s="28"/>
    </row>
    <row r="1454" ht="15.75" customHeight="1">
      <c r="P1454" s="25"/>
      <c r="Q1454" s="25"/>
      <c r="R1454" s="25"/>
      <c r="S1454" s="25"/>
      <c r="T1454" s="141"/>
      <c r="U1454" s="28"/>
    </row>
    <row r="1455" ht="15.75" customHeight="1">
      <c r="P1455" s="25"/>
      <c r="Q1455" s="25"/>
      <c r="R1455" s="25"/>
      <c r="S1455" s="25"/>
      <c r="T1455" s="141"/>
      <c r="U1455" s="28"/>
    </row>
    <row r="1456" ht="15.75" customHeight="1">
      <c r="P1456" s="25"/>
      <c r="Q1456" s="25"/>
      <c r="R1456" s="25"/>
      <c r="S1456" s="25"/>
      <c r="T1456" s="141"/>
      <c r="U1456" s="28"/>
    </row>
    <row r="1457" ht="15.75" customHeight="1">
      <c r="P1457" s="25"/>
      <c r="Q1457" s="25"/>
      <c r="R1457" s="25"/>
      <c r="S1457" s="25"/>
      <c r="T1457" s="141"/>
      <c r="U1457" s="28"/>
    </row>
    <row r="1458" ht="15.75" customHeight="1">
      <c r="P1458" s="25"/>
      <c r="Q1458" s="25"/>
      <c r="R1458" s="25"/>
      <c r="S1458" s="25"/>
      <c r="T1458" s="141"/>
      <c r="U1458" s="28"/>
    </row>
    <row r="1459" ht="15.75" customHeight="1">
      <c r="P1459" s="25"/>
      <c r="Q1459" s="25"/>
      <c r="R1459" s="25"/>
      <c r="S1459" s="25"/>
      <c r="T1459" s="141"/>
      <c r="U1459" s="28"/>
    </row>
    <row r="1460" ht="15.75" customHeight="1">
      <c r="P1460" s="25"/>
      <c r="Q1460" s="25"/>
      <c r="R1460" s="25"/>
      <c r="S1460" s="25"/>
      <c r="T1460" s="141"/>
      <c r="U1460" s="28"/>
    </row>
    <row r="1461" ht="15.75" customHeight="1">
      <c r="P1461" s="25"/>
      <c r="Q1461" s="25"/>
      <c r="R1461" s="25"/>
      <c r="S1461" s="25"/>
      <c r="T1461" s="141"/>
      <c r="U1461" s="28"/>
    </row>
    <row r="1462" ht="15.75" customHeight="1">
      <c r="P1462" s="25"/>
      <c r="Q1462" s="25"/>
      <c r="R1462" s="25"/>
      <c r="S1462" s="25"/>
      <c r="T1462" s="141"/>
      <c r="U1462" s="28"/>
    </row>
    <row r="1463" ht="15.75" customHeight="1">
      <c r="P1463" s="25"/>
      <c r="Q1463" s="25"/>
      <c r="R1463" s="25"/>
      <c r="S1463" s="25"/>
      <c r="T1463" s="141"/>
      <c r="U1463" s="28"/>
    </row>
    <row r="1464" ht="15.75" customHeight="1">
      <c r="P1464" s="25"/>
      <c r="Q1464" s="25"/>
      <c r="R1464" s="25"/>
      <c r="S1464" s="25"/>
      <c r="T1464" s="141"/>
      <c r="U1464" s="28"/>
    </row>
    <row r="1465" ht="15.75" customHeight="1">
      <c r="P1465" s="25"/>
      <c r="Q1465" s="25"/>
      <c r="R1465" s="25"/>
      <c r="S1465" s="25"/>
      <c r="T1465" s="141"/>
      <c r="U1465" s="28"/>
    </row>
    <row r="1466" ht="15.75" customHeight="1">
      <c r="P1466" s="25"/>
      <c r="Q1466" s="25"/>
      <c r="R1466" s="25"/>
      <c r="S1466" s="25"/>
      <c r="T1466" s="141"/>
      <c r="U1466" s="28"/>
    </row>
    <row r="1467" ht="15.75" customHeight="1">
      <c r="P1467" s="25"/>
      <c r="Q1467" s="25"/>
      <c r="R1467" s="25"/>
      <c r="S1467" s="25"/>
      <c r="T1467" s="141"/>
      <c r="U1467" s="28"/>
    </row>
    <row r="1468" ht="15.75" customHeight="1">
      <c r="P1468" s="25"/>
      <c r="Q1468" s="25"/>
      <c r="R1468" s="25"/>
      <c r="S1468" s="25"/>
      <c r="T1468" s="141"/>
      <c r="U1468" s="28"/>
    </row>
    <row r="1469" ht="15.75" customHeight="1">
      <c r="P1469" s="25"/>
      <c r="Q1469" s="25"/>
      <c r="R1469" s="25"/>
      <c r="S1469" s="25"/>
      <c r="T1469" s="141"/>
      <c r="U1469" s="28"/>
    </row>
    <row r="1470" ht="15.75" customHeight="1">
      <c r="P1470" s="25"/>
      <c r="Q1470" s="25"/>
      <c r="R1470" s="25"/>
      <c r="S1470" s="25"/>
      <c r="T1470" s="141"/>
      <c r="U1470" s="28"/>
    </row>
    <row r="1471" ht="15.75" customHeight="1">
      <c r="P1471" s="25"/>
      <c r="Q1471" s="25"/>
      <c r="R1471" s="25"/>
      <c r="S1471" s="25"/>
      <c r="T1471" s="141"/>
      <c r="U1471" s="28"/>
    </row>
    <row r="1472" ht="15.75" customHeight="1">
      <c r="P1472" s="25"/>
      <c r="Q1472" s="25"/>
      <c r="R1472" s="25"/>
      <c r="S1472" s="25"/>
      <c r="T1472" s="141"/>
      <c r="U1472" s="28"/>
    </row>
    <row r="1473" ht="15.75" customHeight="1">
      <c r="P1473" s="25"/>
      <c r="Q1473" s="25"/>
      <c r="R1473" s="25"/>
      <c r="S1473" s="25"/>
      <c r="T1473" s="141"/>
      <c r="U1473" s="28"/>
    </row>
    <row r="1474" ht="15.75" customHeight="1">
      <c r="P1474" s="25"/>
      <c r="Q1474" s="25"/>
      <c r="R1474" s="25"/>
      <c r="S1474" s="25"/>
      <c r="T1474" s="141"/>
      <c r="U1474" s="28"/>
    </row>
    <row r="1475" ht="15.75" customHeight="1">
      <c r="P1475" s="25"/>
      <c r="Q1475" s="25"/>
      <c r="R1475" s="25"/>
      <c r="S1475" s="25"/>
      <c r="T1475" s="141"/>
      <c r="U1475" s="28"/>
    </row>
    <row r="1476" ht="15.75" customHeight="1">
      <c r="P1476" s="25"/>
      <c r="Q1476" s="25"/>
      <c r="R1476" s="25"/>
      <c r="S1476" s="25"/>
      <c r="T1476" s="141"/>
      <c r="U1476" s="28"/>
    </row>
    <row r="1477" ht="15.75" customHeight="1">
      <c r="P1477" s="25"/>
      <c r="Q1477" s="25"/>
      <c r="R1477" s="25"/>
      <c r="S1477" s="25"/>
      <c r="T1477" s="141"/>
      <c r="U1477" s="28"/>
    </row>
    <row r="1478" ht="15.75" customHeight="1">
      <c r="P1478" s="25"/>
      <c r="Q1478" s="25"/>
      <c r="R1478" s="25"/>
      <c r="S1478" s="25"/>
      <c r="T1478" s="141"/>
      <c r="U1478" s="28"/>
    </row>
    <row r="1479" ht="15.75" customHeight="1">
      <c r="P1479" s="25"/>
      <c r="Q1479" s="25"/>
      <c r="R1479" s="25"/>
      <c r="S1479" s="25"/>
      <c r="T1479" s="141"/>
      <c r="U1479" s="28"/>
    </row>
    <row r="1480" ht="15.75" customHeight="1">
      <c r="P1480" s="25"/>
      <c r="Q1480" s="25"/>
      <c r="R1480" s="25"/>
      <c r="S1480" s="25"/>
      <c r="T1480" s="141"/>
      <c r="U1480" s="28"/>
    </row>
    <row r="1481" ht="15.75" customHeight="1">
      <c r="P1481" s="25"/>
      <c r="Q1481" s="25"/>
      <c r="R1481" s="25"/>
      <c r="S1481" s="25"/>
      <c r="T1481" s="141"/>
      <c r="U1481" s="28"/>
    </row>
    <row r="1482" ht="15.75" customHeight="1">
      <c r="P1482" s="25"/>
      <c r="Q1482" s="25"/>
      <c r="R1482" s="25"/>
      <c r="S1482" s="25"/>
      <c r="T1482" s="141"/>
      <c r="U1482" s="28"/>
    </row>
    <row r="1483" ht="15.75" customHeight="1">
      <c r="P1483" s="25"/>
      <c r="Q1483" s="25"/>
      <c r="R1483" s="25"/>
      <c r="S1483" s="25"/>
      <c r="T1483" s="141"/>
      <c r="U1483" s="28"/>
    </row>
    <row r="1484" ht="15.75" customHeight="1">
      <c r="P1484" s="25"/>
      <c r="Q1484" s="25"/>
      <c r="R1484" s="25"/>
      <c r="S1484" s="25"/>
      <c r="T1484" s="141"/>
      <c r="U1484" s="28"/>
    </row>
    <row r="1485" ht="15.75" customHeight="1">
      <c r="P1485" s="25"/>
      <c r="Q1485" s="25"/>
      <c r="R1485" s="25"/>
      <c r="S1485" s="25"/>
      <c r="T1485" s="141"/>
      <c r="U1485" s="28"/>
    </row>
    <row r="1486" ht="15.75" customHeight="1">
      <c r="P1486" s="25"/>
      <c r="Q1486" s="25"/>
      <c r="R1486" s="25"/>
      <c r="S1486" s="25"/>
      <c r="T1486" s="141"/>
      <c r="U1486" s="28"/>
    </row>
    <row r="1487" ht="15.75" customHeight="1">
      <c r="P1487" s="25"/>
      <c r="Q1487" s="25"/>
      <c r="R1487" s="25"/>
      <c r="S1487" s="25"/>
      <c r="T1487" s="141"/>
      <c r="U1487" s="28"/>
    </row>
    <row r="1488" ht="15.75" customHeight="1">
      <c r="P1488" s="25"/>
      <c r="Q1488" s="25"/>
      <c r="R1488" s="25"/>
      <c r="S1488" s="25"/>
      <c r="T1488" s="141"/>
      <c r="U1488" s="28"/>
    </row>
    <row r="1489" ht="15.75" customHeight="1">
      <c r="P1489" s="25"/>
      <c r="Q1489" s="25"/>
      <c r="R1489" s="25"/>
      <c r="S1489" s="25"/>
      <c r="T1489" s="141"/>
      <c r="U1489" s="28"/>
    </row>
    <row r="1490" ht="15.75" customHeight="1">
      <c r="P1490" s="25"/>
      <c r="Q1490" s="25"/>
      <c r="R1490" s="25"/>
      <c r="S1490" s="25"/>
      <c r="T1490" s="141"/>
      <c r="U1490" s="28"/>
    </row>
    <row r="1491" ht="15.75" customHeight="1">
      <c r="P1491" s="25"/>
      <c r="Q1491" s="25"/>
      <c r="R1491" s="25"/>
      <c r="S1491" s="25"/>
      <c r="T1491" s="141"/>
      <c r="U1491" s="28"/>
    </row>
    <row r="1492" ht="15.75" customHeight="1">
      <c r="P1492" s="25"/>
      <c r="Q1492" s="25"/>
      <c r="R1492" s="25"/>
      <c r="S1492" s="25"/>
      <c r="T1492" s="141"/>
      <c r="U1492" s="28"/>
    </row>
    <row r="1493" ht="15.75" customHeight="1">
      <c r="P1493" s="25"/>
      <c r="Q1493" s="25"/>
      <c r="R1493" s="25"/>
      <c r="S1493" s="25"/>
      <c r="T1493" s="141"/>
      <c r="U1493" s="28"/>
    </row>
    <row r="1494" ht="15.75" customHeight="1">
      <c r="P1494" s="25"/>
      <c r="Q1494" s="25"/>
      <c r="R1494" s="25"/>
      <c r="S1494" s="25"/>
      <c r="T1494" s="141"/>
      <c r="U1494" s="28"/>
    </row>
    <row r="1495" ht="15.75" customHeight="1">
      <c r="P1495" s="25"/>
      <c r="Q1495" s="25"/>
      <c r="R1495" s="25"/>
      <c r="S1495" s="25"/>
      <c r="T1495" s="141"/>
      <c r="U1495" s="28"/>
    </row>
    <row r="1496" ht="15.75" customHeight="1">
      <c r="P1496" s="25"/>
      <c r="Q1496" s="25"/>
      <c r="R1496" s="25"/>
      <c r="S1496" s="25"/>
      <c r="T1496" s="141"/>
      <c r="U1496" s="28"/>
    </row>
    <row r="1497" ht="15.75" customHeight="1">
      <c r="P1497" s="25"/>
      <c r="Q1497" s="25"/>
      <c r="R1497" s="25"/>
      <c r="S1497" s="25"/>
      <c r="T1497" s="141"/>
      <c r="U1497" s="28"/>
    </row>
    <row r="1498" ht="15.75" customHeight="1">
      <c r="P1498" s="25"/>
      <c r="Q1498" s="25"/>
      <c r="R1498" s="25"/>
      <c r="S1498" s="25"/>
      <c r="T1498" s="141"/>
      <c r="U1498" s="28"/>
    </row>
    <row r="1499" ht="15.75" customHeight="1">
      <c r="P1499" s="25"/>
      <c r="Q1499" s="25"/>
      <c r="R1499" s="25"/>
      <c r="S1499" s="25"/>
      <c r="T1499" s="141"/>
      <c r="U1499" s="28"/>
    </row>
    <row r="1500" ht="15.75" customHeight="1">
      <c r="P1500" s="25"/>
      <c r="Q1500" s="25"/>
      <c r="R1500" s="25"/>
      <c r="S1500" s="25"/>
      <c r="T1500" s="141"/>
      <c r="U1500" s="28"/>
    </row>
    <row r="1501" ht="15.75" customHeight="1">
      <c r="P1501" s="25"/>
      <c r="Q1501" s="25"/>
      <c r="R1501" s="25"/>
      <c r="S1501" s="25"/>
      <c r="T1501" s="141"/>
      <c r="U1501" s="28"/>
    </row>
    <row r="1502" ht="15.75" customHeight="1">
      <c r="P1502" s="25"/>
      <c r="Q1502" s="25"/>
      <c r="R1502" s="25"/>
      <c r="S1502" s="25"/>
      <c r="T1502" s="141"/>
      <c r="U1502" s="28"/>
    </row>
    <row r="1503" ht="15.75" customHeight="1">
      <c r="P1503" s="25"/>
      <c r="Q1503" s="25"/>
      <c r="R1503" s="25"/>
      <c r="S1503" s="25"/>
      <c r="T1503" s="141"/>
      <c r="U1503" s="28"/>
    </row>
    <row r="1504" ht="15.75" customHeight="1">
      <c r="P1504" s="25"/>
      <c r="Q1504" s="25"/>
      <c r="R1504" s="25"/>
      <c r="S1504" s="25"/>
      <c r="T1504" s="141"/>
      <c r="U1504" s="28"/>
    </row>
    <row r="1505" ht="15.75" customHeight="1">
      <c r="P1505" s="25"/>
      <c r="Q1505" s="25"/>
      <c r="R1505" s="25"/>
      <c r="S1505" s="25"/>
      <c r="T1505" s="141"/>
      <c r="U1505" s="28"/>
    </row>
    <row r="1506" ht="15.75" customHeight="1">
      <c r="P1506" s="25"/>
      <c r="Q1506" s="25"/>
      <c r="R1506" s="25"/>
      <c r="S1506" s="25"/>
      <c r="T1506" s="141"/>
      <c r="U1506" s="28"/>
    </row>
    <row r="1507" ht="15.75" customHeight="1">
      <c r="P1507" s="25"/>
      <c r="Q1507" s="25"/>
      <c r="R1507" s="25"/>
      <c r="S1507" s="25"/>
      <c r="T1507" s="141"/>
      <c r="U1507" s="28"/>
    </row>
    <row r="1508" ht="15.75" customHeight="1">
      <c r="P1508" s="25"/>
      <c r="Q1508" s="25"/>
      <c r="R1508" s="25"/>
      <c r="S1508" s="25"/>
      <c r="T1508" s="141"/>
      <c r="U1508" s="28"/>
    </row>
    <row r="1509" ht="15.75" customHeight="1">
      <c r="P1509" s="25"/>
      <c r="Q1509" s="25"/>
      <c r="R1509" s="25"/>
      <c r="S1509" s="25"/>
      <c r="T1509" s="141"/>
      <c r="U1509" s="28"/>
    </row>
    <row r="1510" ht="15.75" customHeight="1">
      <c r="P1510" s="25"/>
      <c r="Q1510" s="25"/>
      <c r="R1510" s="25"/>
      <c r="S1510" s="25"/>
      <c r="T1510" s="141"/>
      <c r="U1510" s="28"/>
    </row>
    <row r="1511" ht="15.75" customHeight="1">
      <c r="P1511" s="25"/>
      <c r="Q1511" s="25"/>
      <c r="R1511" s="25"/>
      <c r="S1511" s="25"/>
      <c r="T1511" s="141"/>
      <c r="U1511" s="28"/>
    </row>
    <row r="1512" ht="15.75" customHeight="1">
      <c r="P1512" s="25"/>
      <c r="Q1512" s="25"/>
      <c r="R1512" s="25"/>
      <c r="S1512" s="25"/>
      <c r="T1512" s="141"/>
      <c r="U1512" s="28"/>
    </row>
    <row r="1513" ht="15.75" customHeight="1">
      <c r="P1513" s="25"/>
      <c r="Q1513" s="25"/>
      <c r="R1513" s="25"/>
      <c r="S1513" s="25"/>
      <c r="T1513" s="141"/>
      <c r="U1513" s="28"/>
    </row>
    <row r="1514" ht="15.75" customHeight="1">
      <c r="P1514" s="25"/>
      <c r="Q1514" s="25"/>
      <c r="R1514" s="25"/>
      <c r="S1514" s="25"/>
      <c r="T1514" s="141"/>
      <c r="U1514" s="28"/>
    </row>
    <row r="1515" ht="15.75" customHeight="1">
      <c r="P1515" s="25"/>
      <c r="Q1515" s="25"/>
      <c r="R1515" s="25"/>
      <c r="S1515" s="25"/>
      <c r="T1515" s="141"/>
      <c r="U1515" s="28"/>
    </row>
    <row r="1516" ht="15.75" customHeight="1">
      <c r="P1516" s="25"/>
      <c r="Q1516" s="25"/>
      <c r="R1516" s="25"/>
      <c r="S1516" s="25"/>
      <c r="T1516" s="141"/>
      <c r="U1516" s="28"/>
    </row>
    <row r="1517" ht="15.75" customHeight="1">
      <c r="P1517" s="25"/>
      <c r="Q1517" s="25"/>
      <c r="R1517" s="25"/>
      <c r="S1517" s="25"/>
      <c r="T1517" s="141"/>
      <c r="U1517" s="28"/>
    </row>
    <row r="1518" ht="15.75" customHeight="1">
      <c r="P1518" s="25"/>
      <c r="Q1518" s="25"/>
      <c r="R1518" s="25"/>
      <c r="S1518" s="25"/>
      <c r="T1518" s="141"/>
      <c r="U1518" s="28"/>
    </row>
    <row r="1519" ht="15.75" customHeight="1">
      <c r="P1519" s="25"/>
      <c r="Q1519" s="25"/>
      <c r="R1519" s="25"/>
      <c r="S1519" s="25"/>
      <c r="T1519" s="141"/>
      <c r="U1519" s="28"/>
    </row>
    <row r="1520" ht="15.75" customHeight="1">
      <c r="P1520" s="25"/>
      <c r="Q1520" s="25"/>
      <c r="R1520" s="25"/>
      <c r="S1520" s="25"/>
      <c r="T1520" s="141"/>
      <c r="U1520" s="28"/>
    </row>
    <row r="1521" ht="15.75" customHeight="1">
      <c r="P1521" s="25"/>
      <c r="Q1521" s="25"/>
      <c r="R1521" s="25"/>
      <c r="S1521" s="25"/>
      <c r="T1521" s="141"/>
      <c r="U1521" s="28"/>
    </row>
    <row r="1522" ht="15.75" customHeight="1">
      <c r="P1522" s="25"/>
      <c r="Q1522" s="25"/>
      <c r="R1522" s="25"/>
      <c r="S1522" s="25"/>
      <c r="T1522" s="141"/>
      <c r="U1522" s="28"/>
    </row>
    <row r="1523" ht="15.75" customHeight="1">
      <c r="P1523" s="25"/>
      <c r="Q1523" s="25"/>
      <c r="R1523" s="25"/>
      <c r="S1523" s="25"/>
      <c r="T1523" s="141"/>
      <c r="U1523" s="28"/>
    </row>
    <row r="1524" ht="15.75" customHeight="1">
      <c r="P1524" s="25"/>
      <c r="Q1524" s="25"/>
      <c r="R1524" s="25"/>
      <c r="S1524" s="25"/>
      <c r="T1524" s="141"/>
      <c r="U1524" s="28"/>
    </row>
    <row r="1525" ht="15.75" customHeight="1">
      <c r="P1525" s="25"/>
      <c r="Q1525" s="25"/>
      <c r="R1525" s="25"/>
      <c r="S1525" s="25"/>
      <c r="T1525" s="141"/>
      <c r="U1525" s="28"/>
    </row>
    <row r="1526" ht="15.75" customHeight="1">
      <c r="P1526" s="25"/>
      <c r="Q1526" s="25"/>
      <c r="R1526" s="25"/>
      <c r="S1526" s="25"/>
      <c r="T1526" s="141"/>
      <c r="U1526" s="28"/>
    </row>
    <row r="1527" ht="15.75" customHeight="1">
      <c r="P1527" s="25"/>
      <c r="Q1527" s="25"/>
      <c r="R1527" s="25"/>
      <c r="S1527" s="25"/>
      <c r="T1527" s="141"/>
      <c r="U1527" s="28"/>
    </row>
    <row r="1528" ht="15.75" customHeight="1">
      <c r="P1528" s="25"/>
      <c r="Q1528" s="25"/>
      <c r="R1528" s="25"/>
      <c r="S1528" s="25"/>
      <c r="T1528" s="141"/>
      <c r="U1528" s="28"/>
    </row>
    <row r="1529" ht="15.75" customHeight="1">
      <c r="P1529" s="25"/>
      <c r="Q1529" s="25"/>
      <c r="R1529" s="25"/>
      <c r="S1529" s="25"/>
      <c r="T1529" s="141"/>
      <c r="U1529" s="28"/>
    </row>
    <row r="1530" ht="15.75" customHeight="1">
      <c r="P1530" s="25"/>
      <c r="Q1530" s="25"/>
      <c r="R1530" s="25"/>
      <c r="S1530" s="25"/>
      <c r="T1530" s="141"/>
      <c r="U1530" s="28"/>
    </row>
    <row r="1531" ht="15.75" customHeight="1">
      <c r="P1531" s="25"/>
      <c r="Q1531" s="25"/>
      <c r="R1531" s="25"/>
      <c r="S1531" s="25"/>
      <c r="T1531" s="141"/>
      <c r="U1531" s="28"/>
    </row>
    <row r="1532" ht="15.75" customHeight="1">
      <c r="P1532" s="25"/>
      <c r="Q1532" s="25"/>
      <c r="R1532" s="25"/>
      <c r="S1532" s="25"/>
      <c r="T1532" s="141"/>
      <c r="U1532" s="28"/>
    </row>
    <row r="1533" ht="15.75" customHeight="1">
      <c r="P1533" s="25"/>
      <c r="Q1533" s="25"/>
      <c r="R1533" s="25"/>
      <c r="S1533" s="25"/>
      <c r="T1533" s="141"/>
      <c r="U1533" s="28"/>
    </row>
    <row r="1534" ht="15.75" customHeight="1">
      <c r="P1534" s="25"/>
      <c r="Q1534" s="25"/>
      <c r="R1534" s="25"/>
      <c r="S1534" s="25"/>
      <c r="T1534" s="141"/>
      <c r="U1534" s="28"/>
    </row>
    <row r="1535" ht="15.75" customHeight="1">
      <c r="P1535" s="25"/>
      <c r="Q1535" s="25"/>
      <c r="R1535" s="25"/>
      <c r="S1535" s="25"/>
      <c r="T1535" s="141"/>
      <c r="U1535" s="28"/>
    </row>
    <row r="1536" ht="15.75" customHeight="1">
      <c r="P1536" s="25"/>
      <c r="Q1536" s="25"/>
      <c r="R1536" s="25"/>
      <c r="S1536" s="25"/>
      <c r="T1536" s="141"/>
      <c r="U1536" s="28"/>
    </row>
    <row r="1537" ht="15.75" customHeight="1">
      <c r="P1537" s="25"/>
      <c r="Q1537" s="25"/>
      <c r="R1537" s="25"/>
      <c r="S1537" s="25"/>
      <c r="T1537" s="141"/>
      <c r="U1537" s="28"/>
    </row>
    <row r="1538" ht="15.75" customHeight="1">
      <c r="P1538" s="25"/>
      <c r="Q1538" s="25"/>
      <c r="R1538" s="25"/>
      <c r="S1538" s="25"/>
      <c r="T1538" s="141"/>
      <c r="U1538" s="28"/>
    </row>
    <row r="1539" ht="15.75" customHeight="1">
      <c r="P1539" s="25"/>
      <c r="Q1539" s="25"/>
      <c r="R1539" s="25"/>
      <c r="S1539" s="25"/>
      <c r="T1539" s="141"/>
      <c r="U1539" s="28"/>
    </row>
    <row r="1540" ht="15.75" customHeight="1">
      <c r="P1540" s="25"/>
      <c r="Q1540" s="25"/>
      <c r="R1540" s="25"/>
      <c r="S1540" s="25"/>
      <c r="T1540" s="141"/>
      <c r="U1540" s="28"/>
    </row>
    <row r="1541" ht="15.75" customHeight="1">
      <c r="P1541" s="25"/>
      <c r="Q1541" s="25"/>
      <c r="R1541" s="25"/>
      <c r="S1541" s="25"/>
      <c r="T1541" s="141"/>
      <c r="U1541" s="28"/>
    </row>
    <row r="1542" ht="15.75" customHeight="1">
      <c r="P1542" s="25"/>
      <c r="Q1542" s="25"/>
      <c r="R1542" s="25"/>
      <c r="S1542" s="25"/>
      <c r="T1542" s="141"/>
      <c r="U1542" s="28"/>
    </row>
    <row r="1543" ht="15.75" customHeight="1">
      <c r="P1543" s="25"/>
      <c r="Q1543" s="25"/>
      <c r="R1543" s="25"/>
      <c r="S1543" s="25"/>
      <c r="T1543" s="141"/>
      <c r="U1543" s="28"/>
    </row>
    <row r="1544" ht="15.75" customHeight="1">
      <c r="P1544" s="25"/>
      <c r="Q1544" s="25"/>
      <c r="R1544" s="25"/>
      <c r="S1544" s="25"/>
      <c r="T1544" s="141"/>
      <c r="U1544" s="28"/>
    </row>
    <row r="1545" ht="15.75" customHeight="1">
      <c r="P1545" s="25"/>
      <c r="Q1545" s="25"/>
      <c r="R1545" s="25"/>
      <c r="S1545" s="25"/>
      <c r="T1545" s="141"/>
      <c r="U1545" s="28"/>
    </row>
    <row r="1546" ht="15.75" customHeight="1">
      <c r="P1546" s="25"/>
      <c r="Q1546" s="25"/>
      <c r="R1546" s="25"/>
      <c r="S1546" s="25"/>
      <c r="T1546" s="141"/>
      <c r="U1546" s="28"/>
    </row>
    <row r="1547" ht="15.75" customHeight="1">
      <c r="P1547" s="25"/>
      <c r="Q1547" s="25"/>
      <c r="R1547" s="25"/>
      <c r="S1547" s="25"/>
      <c r="T1547" s="141"/>
      <c r="U1547" s="28"/>
    </row>
    <row r="1548" ht="15.75" customHeight="1">
      <c r="P1548" s="25"/>
      <c r="Q1548" s="25"/>
      <c r="R1548" s="25"/>
      <c r="S1548" s="25"/>
      <c r="T1548" s="141"/>
      <c r="U1548" s="28"/>
    </row>
    <row r="1549" ht="15.75" customHeight="1">
      <c r="P1549" s="25"/>
      <c r="Q1549" s="25"/>
      <c r="R1549" s="25"/>
      <c r="S1549" s="25"/>
      <c r="T1549" s="141"/>
      <c r="U1549" s="28"/>
    </row>
    <row r="1550" ht="15.75" customHeight="1">
      <c r="P1550" s="25"/>
      <c r="Q1550" s="25"/>
      <c r="R1550" s="25"/>
      <c r="S1550" s="25"/>
      <c r="T1550" s="141"/>
      <c r="U1550" s="28"/>
    </row>
    <row r="1551" ht="15.75" customHeight="1">
      <c r="P1551" s="25"/>
      <c r="Q1551" s="25"/>
      <c r="R1551" s="25"/>
      <c r="S1551" s="25"/>
      <c r="T1551" s="141"/>
      <c r="U1551" s="28"/>
    </row>
    <row r="1552" ht="15.75" customHeight="1">
      <c r="P1552" s="25"/>
      <c r="Q1552" s="25"/>
      <c r="R1552" s="25"/>
      <c r="S1552" s="25"/>
      <c r="T1552" s="141"/>
      <c r="U1552" s="28"/>
    </row>
    <row r="1553" ht="15.75" customHeight="1">
      <c r="P1553" s="25"/>
      <c r="Q1553" s="25"/>
      <c r="R1553" s="25"/>
      <c r="S1553" s="25"/>
      <c r="T1553" s="141"/>
      <c r="U1553" s="28"/>
    </row>
    <row r="1554" ht="15.75" customHeight="1">
      <c r="P1554" s="25"/>
      <c r="Q1554" s="25"/>
      <c r="R1554" s="25"/>
      <c r="S1554" s="25"/>
      <c r="T1554" s="141"/>
      <c r="U1554" s="28"/>
    </row>
    <row r="1555" ht="15.75" customHeight="1">
      <c r="P1555" s="25"/>
      <c r="Q1555" s="25"/>
      <c r="R1555" s="25"/>
      <c r="S1555" s="25"/>
      <c r="T1555" s="141"/>
      <c r="U1555" s="28"/>
    </row>
    <row r="1556" ht="15.75" customHeight="1">
      <c r="P1556" s="25"/>
      <c r="Q1556" s="25"/>
      <c r="R1556" s="25"/>
      <c r="S1556" s="25"/>
      <c r="T1556" s="141"/>
      <c r="U1556" s="28"/>
    </row>
    <row r="1557" ht="15.75" customHeight="1">
      <c r="P1557" s="25"/>
      <c r="Q1557" s="25"/>
      <c r="R1557" s="25"/>
      <c r="S1557" s="25"/>
      <c r="T1557" s="141"/>
      <c r="U1557" s="28"/>
    </row>
    <row r="1558" ht="15.75" customHeight="1">
      <c r="P1558" s="25"/>
      <c r="Q1558" s="25"/>
      <c r="R1558" s="25"/>
      <c r="S1558" s="25"/>
      <c r="T1558" s="141"/>
      <c r="U1558" s="28"/>
    </row>
    <row r="1559" ht="15.75" customHeight="1">
      <c r="P1559" s="25"/>
      <c r="Q1559" s="25"/>
      <c r="R1559" s="25"/>
      <c r="S1559" s="25"/>
      <c r="T1559" s="141"/>
      <c r="U1559" s="28"/>
    </row>
    <row r="1560" ht="15.75" customHeight="1">
      <c r="P1560" s="25"/>
      <c r="Q1560" s="25"/>
      <c r="R1560" s="25"/>
      <c r="S1560" s="25"/>
      <c r="T1560" s="141"/>
      <c r="U1560" s="28"/>
    </row>
    <row r="1561" ht="15.75" customHeight="1">
      <c r="P1561" s="25"/>
      <c r="Q1561" s="25"/>
      <c r="R1561" s="25"/>
      <c r="S1561" s="25"/>
      <c r="T1561" s="141"/>
      <c r="U1561" s="28"/>
    </row>
    <row r="1562" ht="15.75" customHeight="1">
      <c r="P1562" s="25"/>
      <c r="Q1562" s="25"/>
      <c r="R1562" s="25"/>
      <c r="S1562" s="25"/>
      <c r="T1562" s="141"/>
      <c r="U1562" s="28"/>
    </row>
    <row r="1563" ht="15.75" customHeight="1">
      <c r="P1563" s="25"/>
      <c r="Q1563" s="25"/>
      <c r="R1563" s="25"/>
      <c r="S1563" s="25"/>
      <c r="T1563" s="141"/>
      <c r="U1563" s="28"/>
    </row>
    <row r="1564" ht="15.75" customHeight="1">
      <c r="P1564" s="25"/>
      <c r="Q1564" s="25"/>
      <c r="R1564" s="25"/>
      <c r="S1564" s="25"/>
      <c r="T1564" s="141"/>
      <c r="U1564" s="28"/>
    </row>
    <row r="1565" ht="15.75" customHeight="1">
      <c r="P1565" s="25"/>
      <c r="Q1565" s="25"/>
      <c r="R1565" s="25"/>
      <c r="S1565" s="25"/>
      <c r="T1565" s="141"/>
      <c r="U1565" s="28"/>
    </row>
    <row r="1566" ht="15.75" customHeight="1">
      <c r="P1566" s="25"/>
      <c r="Q1566" s="25"/>
      <c r="R1566" s="25"/>
      <c r="S1566" s="25"/>
      <c r="T1566" s="141"/>
      <c r="U1566" s="28"/>
    </row>
    <row r="1567" ht="15.75" customHeight="1">
      <c r="P1567" s="25"/>
      <c r="Q1567" s="25"/>
      <c r="R1567" s="25"/>
      <c r="S1567" s="25"/>
      <c r="T1567" s="141"/>
      <c r="U1567" s="28"/>
    </row>
    <row r="1568" ht="15.75" customHeight="1">
      <c r="P1568" s="25"/>
      <c r="Q1568" s="25"/>
      <c r="R1568" s="25"/>
      <c r="S1568" s="25"/>
      <c r="T1568" s="141"/>
      <c r="U1568" s="28"/>
    </row>
    <row r="1569" ht="15.75" customHeight="1">
      <c r="P1569" s="25"/>
      <c r="Q1569" s="25"/>
      <c r="R1569" s="25"/>
      <c r="S1569" s="25"/>
      <c r="T1569" s="141"/>
      <c r="U1569" s="28"/>
    </row>
    <row r="1570" ht="15.75" customHeight="1">
      <c r="P1570" s="25"/>
      <c r="Q1570" s="25"/>
      <c r="R1570" s="25"/>
      <c r="S1570" s="25"/>
      <c r="T1570" s="141"/>
      <c r="U1570" s="28"/>
    </row>
    <row r="1571" ht="15.75" customHeight="1">
      <c r="P1571" s="25"/>
      <c r="Q1571" s="25"/>
      <c r="R1571" s="25"/>
      <c r="S1571" s="25"/>
      <c r="T1571" s="141"/>
      <c r="U1571" s="28"/>
    </row>
    <row r="1572" ht="15.75" customHeight="1">
      <c r="P1572" s="25"/>
      <c r="Q1572" s="25"/>
      <c r="R1572" s="25"/>
      <c r="S1572" s="25"/>
      <c r="T1572" s="141"/>
      <c r="U1572" s="28"/>
    </row>
    <row r="1573" ht="15.75" customHeight="1">
      <c r="P1573" s="25"/>
      <c r="Q1573" s="25"/>
      <c r="R1573" s="25"/>
      <c r="S1573" s="25"/>
      <c r="T1573" s="141"/>
      <c r="U1573" s="28"/>
    </row>
    <row r="1574" ht="15.75" customHeight="1">
      <c r="P1574" s="25"/>
      <c r="Q1574" s="25"/>
      <c r="R1574" s="25"/>
      <c r="S1574" s="25"/>
      <c r="T1574" s="141"/>
      <c r="U1574" s="28"/>
    </row>
    <row r="1575" ht="15.75" customHeight="1">
      <c r="P1575" s="25"/>
      <c r="Q1575" s="25"/>
      <c r="R1575" s="25"/>
      <c r="S1575" s="25"/>
      <c r="T1575" s="141"/>
      <c r="U1575" s="28"/>
    </row>
    <row r="1576" ht="15.75" customHeight="1">
      <c r="P1576" s="25"/>
      <c r="Q1576" s="25"/>
      <c r="R1576" s="25"/>
      <c r="S1576" s="25"/>
      <c r="T1576" s="141"/>
      <c r="U1576" s="28"/>
    </row>
    <row r="1577" ht="15.75" customHeight="1">
      <c r="P1577" s="25"/>
      <c r="Q1577" s="25"/>
      <c r="R1577" s="25"/>
      <c r="S1577" s="25"/>
      <c r="T1577" s="141"/>
      <c r="U1577" s="28"/>
    </row>
    <row r="1578" ht="15.75" customHeight="1">
      <c r="P1578" s="25"/>
      <c r="Q1578" s="25"/>
      <c r="R1578" s="25"/>
      <c r="S1578" s="25"/>
      <c r="T1578" s="141"/>
      <c r="U1578" s="28"/>
    </row>
    <row r="1579" ht="15.75" customHeight="1">
      <c r="P1579" s="25"/>
      <c r="Q1579" s="25"/>
      <c r="R1579" s="25"/>
      <c r="S1579" s="25"/>
      <c r="T1579" s="141"/>
      <c r="U1579" s="28"/>
    </row>
    <row r="1580" ht="15.75" customHeight="1">
      <c r="P1580" s="25"/>
      <c r="Q1580" s="25"/>
      <c r="R1580" s="25"/>
      <c r="S1580" s="25"/>
      <c r="T1580" s="141"/>
      <c r="U1580" s="28"/>
    </row>
    <row r="1581" ht="15.75" customHeight="1">
      <c r="P1581" s="25"/>
      <c r="Q1581" s="25"/>
      <c r="R1581" s="25"/>
      <c r="S1581" s="25"/>
      <c r="T1581" s="141"/>
      <c r="U1581" s="28"/>
    </row>
    <row r="1582" ht="15.75" customHeight="1">
      <c r="P1582" s="25"/>
      <c r="Q1582" s="25"/>
      <c r="R1582" s="25"/>
      <c r="S1582" s="25"/>
      <c r="T1582" s="141"/>
      <c r="U1582" s="28"/>
    </row>
    <row r="1583" ht="15.75" customHeight="1">
      <c r="P1583" s="25"/>
      <c r="Q1583" s="25"/>
      <c r="R1583" s="25"/>
      <c r="S1583" s="25"/>
      <c r="T1583" s="141"/>
      <c r="U1583" s="28"/>
    </row>
    <row r="1584" ht="15.75" customHeight="1">
      <c r="P1584" s="25"/>
      <c r="Q1584" s="25"/>
      <c r="R1584" s="25"/>
      <c r="S1584" s="25"/>
      <c r="T1584" s="141"/>
      <c r="U1584" s="28"/>
    </row>
    <row r="1585" ht="15.75" customHeight="1">
      <c r="P1585" s="25"/>
      <c r="Q1585" s="25"/>
      <c r="R1585" s="25"/>
      <c r="S1585" s="25"/>
      <c r="T1585" s="141"/>
      <c r="U1585" s="28"/>
    </row>
    <row r="1586" ht="15.75" customHeight="1">
      <c r="P1586" s="25"/>
      <c r="Q1586" s="25"/>
      <c r="R1586" s="25"/>
      <c r="S1586" s="25"/>
      <c r="T1586" s="141"/>
      <c r="U1586" s="28"/>
    </row>
    <row r="1587" ht="15.75" customHeight="1">
      <c r="P1587" s="25"/>
      <c r="Q1587" s="25"/>
      <c r="R1587" s="25"/>
      <c r="S1587" s="25"/>
      <c r="T1587" s="141"/>
      <c r="U1587" s="28"/>
    </row>
    <row r="1588" ht="15.75" customHeight="1">
      <c r="P1588" s="25"/>
      <c r="Q1588" s="25"/>
      <c r="R1588" s="25"/>
      <c r="S1588" s="25"/>
      <c r="T1588" s="141"/>
      <c r="U1588" s="28"/>
    </row>
    <row r="1589" ht="15.75" customHeight="1">
      <c r="P1589" s="25"/>
      <c r="Q1589" s="25"/>
      <c r="R1589" s="25"/>
      <c r="S1589" s="25"/>
      <c r="T1589" s="141"/>
      <c r="U1589" s="28"/>
    </row>
    <row r="1590" ht="15.75" customHeight="1">
      <c r="P1590" s="25"/>
      <c r="Q1590" s="25"/>
      <c r="R1590" s="25"/>
      <c r="S1590" s="25"/>
      <c r="T1590" s="141"/>
      <c r="U1590" s="28"/>
    </row>
    <row r="1591" ht="15.75" customHeight="1">
      <c r="P1591" s="25"/>
      <c r="Q1591" s="25"/>
      <c r="R1591" s="25"/>
      <c r="S1591" s="25"/>
      <c r="T1591" s="141"/>
      <c r="U1591" s="28"/>
    </row>
    <row r="1592" ht="15.75" customHeight="1">
      <c r="P1592" s="25"/>
      <c r="Q1592" s="25"/>
      <c r="R1592" s="25"/>
      <c r="S1592" s="25"/>
      <c r="T1592" s="141"/>
      <c r="U1592" s="28"/>
    </row>
    <row r="1593" ht="15.75" customHeight="1">
      <c r="P1593" s="25"/>
      <c r="Q1593" s="25"/>
      <c r="R1593" s="25"/>
      <c r="S1593" s="25"/>
      <c r="T1593" s="141"/>
      <c r="U1593" s="28"/>
    </row>
    <row r="1594" ht="15.75" customHeight="1">
      <c r="P1594" s="25"/>
      <c r="Q1594" s="25"/>
      <c r="R1594" s="25"/>
      <c r="S1594" s="25"/>
      <c r="T1594" s="141"/>
      <c r="U1594" s="28"/>
    </row>
    <row r="1595" ht="15.75" customHeight="1">
      <c r="P1595" s="25"/>
      <c r="Q1595" s="25"/>
      <c r="R1595" s="25"/>
      <c r="S1595" s="25"/>
      <c r="T1595" s="141"/>
      <c r="U1595" s="28"/>
    </row>
    <row r="1596" ht="15.75" customHeight="1">
      <c r="P1596" s="25"/>
      <c r="Q1596" s="25"/>
      <c r="R1596" s="25"/>
      <c r="S1596" s="25"/>
      <c r="T1596" s="141"/>
      <c r="U1596" s="28"/>
    </row>
    <row r="1597" ht="15.75" customHeight="1">
      <c r="P1597" s="25"/>
      <c r="Q1597" s="25"/>
      <c r="R1597" s="25"/>
      <c r="S1597" s="25"/>
      <c r="T1597" s="141"/>
      <c r="U1597" s="28"/>
    </row>
    <row r="1598" ht="15.75" customHeight="1">
      <c r="P1598" s="25"/>
      <c r="Q1598" s="25"/>
      <c r="R1598" s="25"/>
      <c r="S1598" s="25"/>
      <c r="T1598" s="141"/>
      <c r="U1598" s="28"/>
    </row>
    <row r="1599" ht="15.75" customHeight="1">
      <c r="P1599" s="25"/>
      <c r="Q1599" s="25"/>
      <c r="R1599" s="25"/>
      <c r="S1599" s="25"/>
      <c r="T1599" s="141"/>
      <c r="U1599" s="28"/>
    </row>
    <row r="1600" ht="15.75" customHeight="1">
      <c r="P1600" s="25"/>
      <c r="Q1600" s="25"/>
      <c r="R1600" s="25"/>
      <c r="S1600" s="25"/>
      <c r="T1600" s="141"/>
      <c r="U1600" s="28"/>
    </row>
    <row r="1601" ht="15.75" customHeight="1">
      <c r="P1601" s="25"/>
      <c r="Q1601" s="25"/>
      <c r="R1601" s="25"/>
      <c r="S1601" s="25"/>
      <c r="T1601" s="141"/>
      <c r="U1601" s="28"/>
    </row>
    <row r="1602" ht="15.75" customHeight="1">
      <c r="P1602" s="25"/>
      <c r="Q1602" s="25"/>
      <c r="R1602" s="25"/>
      <c r="S1602" s="25"/>
      <c r="T1602" s="141"/>
      <c r="U1602" s="28"/>
    </row>
    <row r="1603" ht="15.75" customHeight="1">
      <c r="P1603" s="25"/>
      <c r="Q1603" s="25"/>
      <c r="R1603" s="25"/>
      <c r="S1603" s="25"/>
      <c r="T1603" s="141"/>
      <c r="U1603" s="28"/>
    </row>
    <row r="1604" ht="15.75" customHeight="1">
      <c r="P1604" s="25"/>
      <c r="Q1604" s="25"/>
      <c r="R1604" s="25"/>
      <c r="S1604" s="25"/>
      <c r="T1604" s="141"/>
      <c r="U1604" s="28"/>
    </row>
    <row r="1605" ht="15.75" customHeight="1">
      <c r="P1605" s="25"/>
      <c r="Q1605" s="25"/>
      <c r="R1605" s="25"/>
      <c r="S1605" s="25"/>
      <c r="T1605" s="141"/>
      <c r="U1605" s="28"/>
    </row>
    <row r="1606" ht="15.75" customHeight="1">
      <c r="P1606" s="25"/>
      <c r="Q1606" s="25"/>
      <c r="R1606" s="25"/>
      <c r="S1606" s="25"/>
      <c r="T1606" s="141"/>
      <c r="U1606" s="28"/>
    </row>
    <row r="1607" ht="15.75" customHeight="1">
      <c r="P1607" s="25"/>
      <c r="Q1607" s="25"/>
      <c r="R1607" s="25"/>
      <c r="S1607" s="25"/>
      <c r="T1607" s="141"/>
      <c r="U1607" s="28"/>
    </row>
    <row r="1608" ht="15.75" customHeight="1">
      <c r="P1608" s="25"/>
      <c r="Q1608" s="25"/>
      <c r="R1608" s="25"/>
      <c r="S1608" s="25"/>
      <c r="T1608" s="141"/>
      <c r="U1608" s="28"/>
    </row>
    <row r="1609" ht="15.75" customHeight="1">
      <c r="P1609" s="25"/>
      <c r="Q1609" s="25"/>
      <c r="R1609" s="25"/>
      <c r="S1609" s="25"/>
      <c r="T1609" s="141"/>
      <c r="U1609" s="28"/>
    </row>
    <row r="1610" ht="15.75" customHeight="1">
      <c r="P1610" s="25"/>
      <c r="Q1610" s="25"/>
      <c r="R1610" s="25"/>
      <c r="S1610" s="25"/>
      <c r="T1610" s="141"/>
      <c r="U1610" s="28"/>
    </row>
    <row r="1611" ht="15.75" customHeight="1">
      <c r="P1611" s="25"/>
      <c r="Q1611" s="25"/>
      <c r="R1611" s="25"/>
      <c r="S1611" s="25"/>
      <c r="T1611" s="141"/>
      <c r="U1611" s="28"/>
    </row>
    <row r="1612" ht="15.75" customHeight="1">
      <c r="P1612" s="25"/>
      <c r="Q1612" s="25"/>
      <c r="R1612" s="25"/>
      <c r="S1612" s="25"/>
      <c r="T1612" s="141"/>
      <c r="U1612" s="28"/>
    </row>
    <row r="1613" ht="15.75" customHeight="1">
      <c r="P1613" s="25"/>
      <c r="Q1613" s="25"/>
      <c r="R1613" s="25"/>
      <c r="S1613" s="25"/>
      <c r="T1613" s="141"/>
      <c r="U1613" s="28"/>
    </row>
    <row r="1614" ht="15.75" customHeight="1">
      <c r="P1614" s="25"/>
      <c r="Q1614" s="25"/>
      <c r="R1614" s="25"/>
      <c r="S1614" s="25"/>
      <c r="T1614" s="141"/>
      <c r="U1614" s="28"/>
    </row>
    <row r="1615" ht="15.75" customHeight="1">
      <c r="P1615" s="25"/>
      <c r="Q1615" s="25"/>
      <c r="R1615" s="25"/>
      <c r="S1615" s="25"/>
      <c r="T1615" s="141"/>
      <c r="U1615" s="28"/>
    </row>
    <row r="1616" ht="15.75" customHeight="1">
      <c r="P1616" s="25"/>
      <c r="Q1616" s="25"/>
      <c r="R1616" s="25"/>
      <c r="S1616" s="25"/>
      <c r="T1616" s="141"/>
      <c r="U1616" s="28"/>
    </row>
    <row r="1617" ht="15.75" customHeight="1">
      <c r="P1617" s="25"/>
      <c r="Q1617" s="25"/>
      <c r="R1617" s="25"/>
      <c r="S1617" s="25"/>
      <c r="T1617" s="141"/>
      <c r="U1617" s="28"/>
    </row>
    <row r="1618" ht="15.75" customHeight="1">
      <c r="P1618" s="25"/>
      <c r="Q1618" s="25"/>
      <c r="R1618" s="25"/>
      <c r="S1618" s="25"/>
      <c r="T1618" s="141"/>
      <c r="U1618" s="28"/>
    </row>
    <row r="1619" ht="15.75" customHeight="1">
      <c r="P1619" s="25"/>
      <c r="Q1619" s="25"/>
      <c r="R1619" s="25"/>
      <c r="S1619" s="25"/>
      <c r="T1619" s="141"/>
      <c r="U1619" s="28"/>
    </row>
    <row r="1620" ht="15.75" customHeight="1">
      <c r="P1620" s="25"/>
      <c r="Q1620" s="25"/>
      <c r="R1620" s="25"/>
      <c r="S1620" s="25"/>
      <c r="T1620" s="141"/>
      <c r="U1620" s="28"/>
    </row>
    <row r="1621" ht="15.75" customHeight="1">
      <c r="P1621" s="25"/>
      <c r="Q1621" s="25"/>
      <c r="R1621" s="25"/>
      <c r="S1621" s="25"/>
      <c r="T1621" s="141"/>
      <c r="U1621" s="28"/>
    </row>
    <row r="1622" ht="15.75" customHeight="1">
      <c r="P1622" s="25"/>
      <c r="Q1622" s="25"/>
      <c r="R1622" s="25"/>
      <c r="S1622" s="25"/>
      <c r="T1622" s="141"/>
      <c r="U1622" s="28"/>
    </row>
    <row r="1623" ht="15.75" customHeight="1">
      <c r="P1623" s="25"/>
      <c r="Q1623" s="25"/>
      <c r="R1623" s="25"/>
      <c r="S1623" s="25"/>
      <c r="T1623" s="141"/>
      <c r="U1623" s="28"/>
    </row>
    <row r="1624" ht="15.75" customHeight="1">
      <c r="P1624" s="25"/>
      <c r="Q1624" s="25"/>
      <c r="R1624" s="25"/>
      <c r="S1624" s="25"/>
      <c r="T1624" s="141"/>
      <c r="U1624" s="28"/>
    </row>
    <row r="1625" ht="15.75" customHeight="1">
      <c r="P1625" s="25"/>
      <c r="Q1625" s="25"/>
      <c r="R1625" s="25"/>
      <c r="S1625" s="25"/>
      <c r="T1625" s="141"/>
      <c r="U1625" s="28"/>
    </row>
    <row r="1626" ht="15.75" customHeight="1">
      <c r="P1626" s="25"/>
      <c r="Q1626" s="25"/>
      <c r="R1626" s="25"/>
      <c r="S1626" s="25"/>
      <c r="T1626" s="141"/>
      <c r="U1626" s="28"/>
    </row>
    <row r="1627" ht="15.75" customHeight="1">
      <c r="P1627" s="25"/>
      <c r="Q1627" s="25"/>
      <c r="R1627" s="25"/>
      <c r="S1627" s="25"/>
      <c r="T1627" s="141"/>
      <c r="U1627" s="28"/>
    </row>
    <row r="1628" ht="15.75" customHeight="1">
      <c r="P1628" s="25"/>
      <c r="Q1628" s="25"/>
      <c r="R1628" s="25"/>
      <c r="S1628" s="25"/>
      <c r="T1628" s="141"/>
      <c r="U1628" s="28"/>
    </row>
    <row r="1629" ht="15.75" customHeight="1">
      <c r="P1629" s="25"/>
      <c r="Q1629" s="25"/>
      <c r="R1629" s="25"/>
      <c r="S1629" s="25"/>
      <c r="T1629" s="141"/>
      <c r="U1629" s="28"/>
    </row>
    <row r="1630" ht="15.75" customHeight="1">
      <c r="P1630" s="25"/>
      <c r="Q1630" s="25"/>
      <c r="R1630" s="25"/>
      <c r="S1630" s="25"/>
      <c r="T1630" s="141"/>
      <c r="U1630" s="28"/>
    </row>
    <row r="1631" ht="15.75" customHeight="1">
      <c r="P1631" s="25"/>
      <c r="Q1631" s="25"/>
      <c r="R1631" s="25"/>
      <c r="S1631" s="25"/>
      <c r="T1631" s="141"/>
      <c r="U1631" s="28"/>
    </row>
    <row r="1632" ht="15.75" customHeight="1">
      <c r="P1632" s="25"/>
      <c r="Q1632" s="25"/>
      <c r="R1632" s="25"/>
      <c r="S1632" s="25"/>
      <c r="T1632" s="141"/>
      <c r="U1632" s="28"/>
    </row>
    <row r="1633" ht="15.75" customHeight="1">
      <c r="P1633" s="25"/>
      <c r="Q1633" s="25"/>
      <c r="R1633" s="25"/>
      <c r="S1633" s="25"/>
      <c r="T1633" s="141"/>
      <c r="U1633" s="28"/>
    </row>
    <row r="1634" ht="15.75" customHeight="1">
      <c r="P1634" s="25"/>
      <c r="Q1634" s="25"/>
      <c r="R1634" s="25"/>
      <c r="S1634" s="25"/>
      <c r="T1634" s="141"/>
      <c r="U1634" s="28"/>
    </row>
    <row r="1635" ht="15.75" customHeight="1">
      <c r="P1635" s="25"/>
      <c r="Q1635" s="25"/>
      <c r="R1635" s="25"/>
      <c r="S1635" s="25"/>
      <c r="T1635" s="141"/>
      <c r="U1635" s="28"/>
    </row>
    <row r="1636" ht="15.75" customHeight="1">
      <c r="P1636" s="25"/>
      <c r="Q1636" s="25"/>
      <c r="R1636" s="25"/>
      <c r="S1636" s="25"/>
      <c r="T1636" s="141"/>
      <c r="U1636" s="28"/>
    </row>
    <row r="1637" ht="15.75" customHeight="1">
      <c r="P1637" s="25"/>
      <c r="Q1637" s="25"/>
      <c r="R1637" s="25"/>
      <c r="S1637" s="25"/>
      <c r="T1637" s="141"/>
      <c r="U1637" s="28"/>
    </row>
    <row r="1638" ht="15.75" customHeight="1">
      <c r="P1638" s="25"/>
      <c r="Q1638" s="25"/>
      <c r="R1638" s="25"/>
      <c r="S1638" s="25"/>
      <c r="T1638" s="141"/>
      <c r="U1638" s="28"/>
    </row>
    <row r="1639" ht="15.75" customHeight="1">
      <c r="P1639" s="25"/>
      <c r="Q1639" s="25"/>
      <c r="R1639" s="25"/>
      <c r="S1639" s="25"/>
      <c r="T1639" s="141"/>
      <c r="U1639" s="28"/>
    </row>
    <row r="1640" ht="15.75" customHeight="1">
      <c r="P1640" s="25"/>
      <c r="Q1640" s="25"/>
      <c r="R1640" s="25"/>
      <c r="S1640" s="25"/>
      <c r="T1640" s="141"/>
      <c r="U1640" s="28"/>
    </row>
    <row r="1641" ht="15.75" customHeight="1">
      <c r="P1641" s="25"/>
      <c r="Q1641" s="25"/>
      <c r="R1641" s="25"/>
      <c r="S1641" s="25"/>
      <c r="T1641" s="141"/>
      <c r="U1641" s="28"/>
    </row>
    <row r="1642" ht="15.75" customHeight="1">
      <c r="P1642" s="25"/>
      <c r="Q1642" s="25"/>
      <c r="R1642" s="25"/>
      <c r="S1642" s="25"/>
      <c r="T1642" s="141"/>
      <c r="U1642" s="28"/>
    </row>
    <row r="1643" ht="15.75" customHeight="1">
      <c r="P1643" s="25"/>
      <c r="Q1643" s="25"/>
      <c r="R1643" s="25"/>
      <c r="S1643" s="25"/>
      <c r="T1643" s="141"/>
      <c r="U1643" s="28"/>
    </row>
    <row r="1644" ht="15.75" customHeight="1">
      <c r="P1644" s="25"/>
      <c r="Q1644" s="25"/>
      <c r="R1644" s="25"/>
      <c r="S1644" s="25"/>
      <c r="T1644" s="141"/>
      <c r="U1644" s="28"/>
    </row>
    <row r="1645" ht="15.75" customHeight="1">
      <c r="P1645" s="25"/>
      <c r="Q1645" s="25"/>
      <c r="R1645" s="25"/>
      <c r="S1645" s="25"/>
      <c r="T1645" s="141"/>
      <c r="U1645" s="28"/>
    </row>
    <row r="1646" ht="15.75" customHeight="1">
      <c r="P1646" s="25"/>
      <c r="Q1646" s="25"/>
      <c r="R1646" s="25"/>
      <c r="S1646" s="25"/>
      <c r="T1646" s="141"/>
      <c r="U1646" s="28"/>
    </row>
    <row r="1647" ht="15.75" customHeight="1">
      <c r="P1647" s="25"/>
      <c r="Q1647" s="25"/>
      <c r="R1647" s="25"/>
      <c r="S1647" s="25"/>
      <c r="T1647" s="141"/>
      <c r="U1647" s="28"/>
    </row>
    <row r="1648" ht="15.75" customHeight="1">
      <c r="P1648" s="25"/>
      <c r="Q1648" s="25"/>
      <c r="R1648" s="25"/>
      <c r="S1648" s="25"/>
      <c r="T1648" s="141"/>
      <c r="U1648" s="28"/>
    </row>
    <row r="1649" ht="15.75" customHeight="1">
      <c r="P1649" s="25"/>
      <c r="Q1649" s="25"/>
      <c r="R1649" s="25"/>
      <c r="S1649" s="25"/>
      <c r="T1649" s="141"/>
      <c r="U1649" s="28"/>
    </row>
    <row r="1650" ht="15.75" customHeight="1">
      <c r="P1650" s="25"/>
      <c r="Q1650" s="25"/>
      <c r="R1650" s="25"/>
      <c r="S1650" s="25"/>
      <c r="T1650" s="141"/>
      <c r="U1650" s="28"/>
    </row>
    <row r="1651" ht="15.75" customHeight="1">
      <c r="P1651" s="25"/>
      <c r="Q1651" s="25"/>
      <c r="R1651" s="25"/>
      <c r="S1651" s="25"/>
      <c r="T1651" s="141"/>
      <c r="U1651" s="28"/>
    </row>
    <row r="1652" ht="15.75" customHeight="1">
      <c r="P1652" s="25"/>
      <c r="Q1652" s="25"/>
      <c r="R1652" s="25"/>
      <c r="S1652" s="25"/>
      <c r="T1652" s="141"/>
      <c r="U1652" s="28"/>
    </row>
    <row r="1653" ht="15.75" customHeight="1">
      <c r="P1653" s="25"/>
      <c r="Q1653" s="25"/>
      <c r="R1653" s="25"/>
      <c r="S1653" s="25"/>
      <c r="T1653" s="141"/>
      <c r="U1653" s="28"/>
    </row>
    <row r="1654" ht="15.75" customHeight="1">
      <c r="P1654" s="25"/>
      <c r="Q1654" s="25"/>
      <c r="R1654" s="25"/>
      <c r="S1654" s="25"/>
      <c r="T1654" s="141"/>
      <c r="U1654" s="28"/>
    </row>
    <row r="1655" ht="15.75" customHeight="1">
      <c r="P1655" s="25"/>
      <c r="Q1655" s="25"/>
      <c r="R1655" s="25"/>
      <c r="S1655" s="25"/>
      <c r="T1655" s="141"/>
      <c r="U1655" s="28"/>
    </row>
    <row r="1656" ht="15.75" customHeight="1">
      <c r="P1656" s="25"/>
      <c r="Q1656" s="25"/>
      <c r="R1656" s="25"/>
      <c r="S1656" s="25"/>
      <c r="T1656" s="141"/>
      <c r="U1656" s="28"/>
    </row>
    <row r="1657" ht="15.75" customHeight="1">
      <c r="P1657" s="25"/>
      <c r="Q1657" s="25"/>
      <c r="R1657" s="25"/>
      <c r="S1657" s="25"/>
      <c r="T1657" s="141"/>
      <c r="U1657" s="28"/>
    </row>
    <row r="1658" ht="15.75" customHeight="1">
      <c r="P1658" s="25"/>
      <c r="Q1658" s="25"/>
      <c r="R1658" s="25"/>
      <c r="S1658" s="25"/>
      <c r="T1658" s="141"/>
      <c r="U1658" s="28"/>
    </row>
    <row r="1659" ht="15.75" customHeight="1">
      <c r="P1659" s="25"/>
      <c r="Q1659" s="25"/>
      <c r="R1659" s="25"/>
      <c r="S1659" s="25"/>
      <c r="T1659" s="141"/>
      <c r="U1659" s="28"/>
    </row>
    <row r="1660" ht="15.75" customHeight="1">
      <c r="P1660" s="25"/>
      <c r="Q1660" s="25"/>
      <c r="R1660" s="25"/>
      <c r="S1660" s="25"/>
      <c r="T1660" s="141"/>
      <c r="U1660" s="28"/>
    </row>
    <row r="1661" ht="15.75" customHeight="1">
      <c r="P1661" s="25"/>
      <c r="Q1661" s="25"/>
      <c r="R1661" s="25"/>
      <c r="S1661" s="25"/>
      <c r="T1661" s="141"/>
      <c r="U1661" s="28"/>
    </row>
    <row r="1662" ht="15.75" customHeight="1">
      <c r="P1662" s="25"/>
      <c r="Q1662" s="25"/>
      <c r="R1662" s="25"/>
      <c r="S1662" s="25"/>
      <c r="T1662" s="141"/>
      <c r="U1662" s="28"/>
    </row>
    <row r="1663" ht="15.75" customHeight="1">
      <c r="P1663" s="25"/>
      <c r="Q1663" s="25"/>
      <c r="R1663" s="25"/>
      <c r="S1663" s="25"/>
      <c r="T1663" s="141"/>
      <c r="U1663" s="28"/>
    </row>
    <row r="1664" ht="15.75" customHeight="1">
      <c r="P1664" s="25"/>
      <c r="Q1664" s="25"/>
      <c r="R1664" s="25"/>
      <c r="S1664" s="25"/>
      <c r="T1664" s="141"/>
      <c r="U1664" s="28"/>
    </row>
    <row r="1665" ht="15.75" customHeight="1">
      <c r="P1665" s="25"/>
      <c r="Q1665" s="25"/>
      <c r="R1665" s="25"/>
      <c r="S1665" s="25"/>
      <c r="T1665" s="141"/>
      <c r="U1665" s="28"/>
    </row>
    <row r="1666" ht="15.75" customHeight="1">
      <c r="P1666" s="25"/>
      <c r="Q1666" s="25"/>
      <c r="R1666" s="25"/>
      <c r="S1666" s="25"/>
      <c r="T1666" s="141"/>
      <c r="U1666" s="28"/>
    </row>
    <row r="1667" ht="15.75" customHeight="1">
      <c r="P1667" s="25"/>
      <c r="Q1667" s="25"/>
      <c r="R1667" s="25"/>
      <c r="S1667" s="25"/>
      <c r="T1667" s="141"/>
      <c r="U1667" s="28"/>
    </row>
    <row r="1668" ht="15.75" customHeight="1">
      <c r="P1668" s="25"/>
      <c r="Q1668" s="25"/>
      <c r="R1668" s="25"/>
      <c r="S1668" s="25"/>
      <c r="T1668" s="141"/>
      <c r="U1668" s="28"/>
    </row>
    <row r="1669" ht="15.75" customHeight="1">
      <c r="P1669" s="25"/>
      <c r="Q1669" s="25"/>
      <c r="R1669" s="25"/>
      <c r="S1669" s="25"/>
      <c r="T1669" s="141"/>
      <c r="U1669" s="28"/>
    </row>
    <row r="1670" ht="15.75" customHeight="1">
      <c r="P1670" s="25"/>
      <c r="Q1670" s="25"/>
      <c r="R1670" s="25"/>
      <c r="S1670" s="25"/>
      <c r="T1670" s="141"/>
      <c r="U1670" s="28"/>
    </row>
    <row r="1671" ht="15.75" customHeight="1">
      <c r="P1671" s="25"/>
      <c r="Q1671" s="25"/>
      <c r="R1671" s="25"/>
      <c r="S1671" s="25"/>
      <c r="T1671" s="141"/>
      <c r="U1671" s="28"/>
    </row>
    <row r="1672" ht="15.75" customHeight="1">
      <c r="P1672" s="25"/>
      <c r="Q1672" s="25"/>
      <c r="R1672" s="25"/>
      <c r="S1672" s="25"/>
      <c r="T1672" s="141"/>
      <c r="U1672" s="28"/>
    </row>
    <row r="1673" ht="15.75" customHeight="1">
      <c r="P1673" s="25"/>
      <c r="Q1673" s="25"/>
      <c r="R1673" s="25"/>
      <c r="S1673" s="25"/>
      <c r="T1673" s="141"/>
      <c r="U1673" s="28"/>
    </row>
    <row r="1674" ht="15.75" customHeight="1">
      <c r="P1674" s="25"/>
      <c r="Q1674" s="25"/>
      <c r="R1674" s="25"/>
      <c r="S1674" s="25"/>
      <c r="T1674" s="141"/>
      <c r="U1674" s="28"/>
    </row>
    <row r="1675" ht="15.75" customHeight="1">
      <c r="P1675" s="25"/>
      <c r="Q1675" s="25"/>
      <c r="R1675" s="25"/>
      <c r="S1675" s="25"/>
      <c r="T1675" s="141"/>
      <c r="U1675" s="28"/>
    </row>
    <row r="1676" ht="15.75" customHeight="1">
      <c r="P1676" s="25"/>
      <c r="Q1676" s="25"/>
      <c r="R1676" s="25"/>
      <c r="S1676" s="25"/>
      <c r="T1676" s="141"/>
      <c r="U1676" s="28"/>
    </row>
    <row r="1677" ht="15.75" customHeight="1">
      <c r="P1677" s="25"/>
      <c r="Q1677" s="25"/>
      <c r="R1677" s="25"/>
      <c r="S1677" s="25"/>
      <c r="T1677" s="141"/>
      <c r="U1677" s="28"/>
    </row>
    <row r="1678" ht="15.75" customHeight="1">
      <c r="P1678" s="25"/>
      <c r="Q1678" s="25"/>
      <c r="R1678" s="25"/>
      <c r="S1678" s="25"/>
      <c r="T1678" s="141"/>
      <c r="U1678" s="28"/>
    </row>
    <row r="1679" ht="15.75" customHeight="1">
      <c r="P1679" s="25"/>
      <c r="Q1679" s="25"/>
      <c r="R1679" s="25"/>
      <c r="S1679" s="25"/>
      <c r="T1679" s="141"/>
      <c r="U1679" s="28"/>
    </row>
    <row r="1680" ht="15.75" customHeight="1">
      <c r="P1680" s="25"/>
      <c r="Q1680" s="25"/>
      <c r="R1680" s="25"/>
      <c r="S1680" s="25"/>
      <c r="T1680" s="141"/>
      <c r="U1680" s="28"/>
    </row>
    <row r="1681" ht="15.75" customHeight="1">
      <c r="P1681" s="25"/>
      <c r="Q1681" s="25"/>
      <c r="R1681" s="25"/>
      <c r="S1681" s="25"/>
      <c r="T1681" s="141"/>
      <c r="U1681" s="28"/>
    </row>
    <row r="1682" ht="15.75" customHeight="1">
      <c r="P1682" s="25"/>
      <c r="Q1682" s="25"/>
      <c r="R1682" s="25"/>
      <c r="S1682" s="25"/>
      <c r="T1682" s="141"/>
      <c r="U1682" s="28"/>
    </row>
    <row r="1683" ht="15.75" customHeight="1">
      <c r="P1683" s="25"/>
      <c r="Q1683" s="25"/>
      <c r="R1683" s="25"/>
      <c r="S1683" s="25"/>
      <c r="T1683" s="141"/>
      <c r="U1683" s="28"/>
    </row>
    <row r="1684" ht="15.75" customHeight="1">
      <c r="P1684" s="25"/>
      <c r="Q1684" s="25"/>
      <c r="R1684" s="25"/>
      <c r="S1684" s="25"/>
      <c r="T1684" s="141"/>
      <c r="U1684" s="28"/>
    </row>
    <row r="1685" ht="15.75" customHeight="1">
      <c r="P1685" s="25"/>
      <c r="Q1685" s="25"/>
      <c r="R1685" s="25"/>
      <c r="S1685" s="25"/>
      <c r="T1685" s="141"/>
      <c r="U1685" s="28"/>
    </row>
    <row r="1686" ht="15.75" customHeight="1">
      <c r="P1686" s="25"/>
      <c r="Q1686" s="25"/>
      <c r="R1686" s="25"/>
      <c r="S1686" s="25"/>
      <c r="T1686" s="141"/>
      <c r="U1686" s="28"/>
    </row>
    <row r="1687" ht="15.75" customHeight="1">
      <c r="P1687" s="25"/>
      <c r="Q1687" s="25"/>
      <c r="R1687" s="25"/>
      <c r="S1687" s="25"/>
      <c r="T1687" s="141"/>
      <c r="U1687" s="28"/>
    </row>
    <row r="1688" ht="15.75" customHeight="1">
      <c r="P1688" s="25"/>
      <c r="Q1688" s="25"/>
      <c r="R1688" s="25"/>
      <c r="S1688" s="25"/>
      <c r="T1688" s="141"/>
      <c r="U1688" s="28"/>
    </row>
    <row r="1689" ht="15.75" customHeight="1">
      <c r="P1689" s="25"/>
      <c r="Q1689" s="25"/>
      <c r="R1689" s="25"/>
      <c r="S1689" s="25"/>
      <c r="T1689" s="141"/>
      <c r="U1689" s="28"/>
    </row>
    <row r="1690" ht="15.75" customHeight="1">
      <c r="P1690" s="25"/>
      <c r="Q1690" s="25"/>
      <c r="R1690" s="25"/>
      <c r="S1690" s="25"/>
      <c r="T1690" s="141"/>
      <c r="U1690" s="28"/>
    </row>
    <row r="1691" ht="15.75" customHeight="1">
      <c r="P1691" s="25"/>
      <c r="Q1691" s="25"/>
      <c r="R1691" s="25"/>
      <c r="S1691" s="25"/>
      <c r="T1691" s="141"/>
      <c r="U1691" s="28"/>
    </row>
    <row r="1692" ht="15.75" customHeight="1">
      <c r="P1692" s="25"/>
      <c r="Q1692" s="25"/>
      <c r="R1692" s="25"/>
      <c r="S1692" s="25"/>
      <c r="T1692" s="141"/>
      <c r="U1692" s="28"/>
    </row>
    <row r="1693" ht="15.75" customHeight="1">
      <c r="P1693" s="25"/>
      <c r="Q1693" s="25"/>
      <c r="R1693" s="25"/>
      <c r="S1693" s="25"/>
      <c r="T1693" s="141"/>
      <c r="U1693" s="28"/>
    </row>
    <row r="1694" ht="15.75" customHeight="1">
      <c r="P1694" s="25"/>
      <c r="Q1694" s="25"/>
      <c r="R1694" s="25"/>
      <c r="S1694" s="25"/>
      <c r="T1694" s="141"/>
      <c r="U1694" s="28"/>
    </row>
    <row r="1695" ht="15.75" customHeight="1">
      <c r="P1695" s="25"/>
      <c r="Q1695" s="25"/>
      <c r="R1695" s="25"/>
      <c r="S1695" s="25"/>
      <c r="T1695" s="141"/>
      <c r="U1695" s="28"/>
    </row>
    <row r="1696" ht="15.75" customHeight="1">
      <c r="P1696" s="25"/>
      <c r="Q1696" s="25"/>
      <c r="R1696" s="25"/>
      <c r="S1696" s="25"/>
      <c r="T1696" s="141"/>
      <c r="U1696" s="28"/>
    </row>
    <row r="1697" ht="15.75" customHeight="1">
      <c r="P1697" s="25"/>
      <c r="Q1697" s="25"/>
      <c r="R1697" s="25"/>
      <c r="S1697" s="25"/>
      <c r="T1697" s="141"/>
      <c r="U1697" s="28"/>
    </row>
    <row r="1698" ht="15.75" customHeight="1">
      <c r="P1698" s="25"/>
      <c r="Q1698" s="25"/>
      <c r="R1698" s="25"/>
      <c r="S1698" s="25"/>
      <c r="T1698" s="141"/>
      <c r="U1698" s="28"/>
    </row>
    <row r="1699" ht="15.75" customHeight="1">
      <c r="P1699" s="25"/>
      <c r="Q1699" s="25"/>
      <c r="R1699" s="25"/>
      <c r="S1699" s="25"/>
      <c r="T1699" s="141"/>
      <c r="U1699" s="28"/>
    </row>
    <row r="1700" ht="15.75" customHeight="1">
      <c r="P1700" s="25"/>
      <c r="Q1700" s="25"/>
      <c r="R1700" s="25"/>
      <c r="S1700" s="25"/>
      <c r="T1700" s="141"/>
      <c r="U1700" s="28"/>
    </row>
    <row r="1701" ht="15.75" customHeight="1">
      <c r="P1701" s="25"/>
      <c r="Q1701" s="25"/>
      <c r="R1701" s="25"/>
      <c r="S1701" s="25"/>
      <c r="T1701" s="141"/>
      <c r="U1701" s="28"/>
    </row>
    <row r="1702" ht="15.75" customHeight="1">
      <c r="P1702" s="25"/>
      <c r="Q1702" s="25"/>
      <c r="R1702" s="25"/>
      <c r="S1702" s="25"/>
      <c r="T1702" s="141"/>
      <c r="U1702" s="28"/>
    </row>
    <row r="1703" ht="15.75" customHeight="1">
      <c r="P1703" s="25"/>
      <c r="Q1703" s="25"/>
      <c r="R1703" s="25"/>
      <c r="S1703" s="25"/>
      <c r="T1703" s="141"/>
      <c r="U1703" s="28"/>
    </row>
    <row r="1704" ht="15.75" customHeight="1">
      <c r="P1704" s="25"/>
      <c r="Q1704" s="25"/>
      <c r="R1704" s="25"/>
      <c r="S1704" s="25"/>
      <c r="T1704" s="141"/>
      <c r="U1704" s="28"/>
    </row>
    <row r="1705" ht="15.75" customHeight="1">
      <c r="P1705" s="25"/>
      <c r="Q1705" s="25"/>
      <c r="R1705" s="25"/>
      <c r="S1705" s="25"/>
      <c r="T1705" s="141"/>
      <c r="U1705" s="28"/>
    </row>
    <row r="1706" ht="15.75" customHeight="1">
      <c r="P1706" s="25"/>
      <c r="Q1706" s="25"/>
      <c r="R1706" s="25"/>
      <c r="S1706" s="25"/>
      <c r="T1706" s="141"/>
      <c r="U1706" s="28"/>
    </row>
    <row r="1707" ht="15.75" customHeight="1">
      <c r="P1707" s="25"/>
      <c r="Q1707" s="25"/>
      <c r="R1707" s="25"/>
      <c r="S1707" s="25"/>
      <c r="T1707" s="141"/>
      <c r="U1707" s="28"/>
    </row>
    <row r="1708" ht="15.75" customHeight="1">
      <c r="P1708" s="25"/>
      <c r="Q1708" s="25"/>
      <c r="R1708" s="25"/>
      <c r="S1708" s="25"/>
      <c r="T1708" s="141"/>
      <c r="U1708" s="28"/>
    </row>
    <row r="1709" ht="15.75" customHeight="1">
      <c r="P1709" s="25"/>
      <c r="Q1709" s="25"/>
      <c r="R1709" s="25"/>
      <c r="S1709" s="25"/>
      <c r="T1709" s="141"/>
      <c r="U1709" s="28"/>
    </row>
    <row r="1710" ht="15.75" customHeight="1">
      <c r="P1710" s="25"/>
      <c r="Q1710" s="25"/>
      <c r="R1710" s="25"/>
      <c r="S1710" s="25"/>
      <c r="T1710" s="141"/>
      <c r="U1710" s="28"/>
    </row>
    <row r="1711" ht="15.75" customHeight="1">
      <c r="P1711" s="25"/>
      <c r="Q1711" s="25"/>
      <c r="R1711" s="25"/>
      <c r="S1711" s="25"/>
      <c r="T1711" s="141"/>
      <c r="U1711" s="28"/>
    </row>
    <row r="1712" ht="15.75" customHeight="1">
      <c r="P1712" s="25"/>
      <c r="Q1712" s="25"/>
      <c r="R1712" s="25"/>
      <c r="S1712" s="25"/>
      <c r="T1712" s="141"/>
      <c r="U1712" s="28"/>
    </row>
    <row r="1713" ht="15.75" customHeight="1">
      <c r="P1713" s="25"/>
      <c r="Q1713" s="25"/>
      <c r="R1713" s="25"/>
      <c r="S1713" s="25"/>
      <c r="T1713" s="141"/>
      <c r="U1713" s="28"/>
    </row>
    <row r="1714" ht="15.75" customHeight="1">
      <c r="P1714" s="25"/>
      <c r="Q1714" s="25"/>
      <c r="R1714" s="25"/>
      <c r="S1714" s="25"/>
      <c r="T1714" s="141"/>
      <c r="U1714" s="28"/>
    </row>
    <row r="1715" ht="15.75" customHeight="1">
      <c r="P1715" s="25"/>
      <c r="Q1715" s="25"/>
      <c r="R1715" s="25"/>
      <c r="S1715" s="25"/>
      <c r="T1715" s="141"/>
      <c r="U1715" s="28"/>
    </row>
    <row r="1716" ht="15.75" customHeight="1">
      <c r="P1716" s="25"/>
      <c r="Q1716" s="25"/>
      <c r="R1716" s="25"/>
      <c r="S1716" s="25"/>
      <c r="T1716" s="141"/>
      <c r="U1716" s="28"/>
    </row>
    <row r="1717" ht="15.75" customHeight="1">
      <c r="P1717" s="25"/>
      <c r="Q1717" s="25"/>
      <c r="R1717" s="25"/>
      <c r="S1717" s="25"/>
      <c r="T1717" s="141"/>
      <c r="U1717" s="28"/>
    </row>
    <row r="1718" ht="15.75" customHeight="1">
      <c r="P1718" s="25"/>
      <c r="Q1718" s="25"/>
      <c r="R1718" s="25"/>
      <c r="S1718" s="25"/>
      <c r="T1718" s="141"/>
      <c r="U1718" s="28"/>
    </row>
    <row r="1719" ht="15.75" customHeight="1">
      <c r="P1719" s="25"/>
      <c r="Q1719" s="25"/>
      <c r="R1719" s="25"/>
      <c r="S1719" s="25"/>
      <c r="T1719" s="141"/>
      <c r="U1719" s="28"/>
    </row>
    <row r="1720" ht="15.75" customHeight="1">
      <c r="P1720" s="25"/>
      <c r="Q1720" s="25"/>
      <c r="R1720" s="25"/>
      <c r="S1720" s="25"/>
      <c r="T1720" s="141"/>
      <c r="U1720" s="28"/>
    </row>
    <row r="1721" ht="15.75" customHeight="1">
      <c r="P1721" s="25"/>
      <c r="Q1721" s="25"/>
      <c r="R1721" s="25"/>
      <c r="S1721" s="25"/>
      <c r="T1721" s="141"/>
      <c r="U1721" s="28"/>
    </row>
    <row r="1722" ht="15.75" customHeight="1">
      <c r="P1722" s="25"/>
      <c r="Q1722" s="25"/>
      <c r="R1722" s="25"/>
      <c r="S1722" s="25"/>
      <c r="T1722" s="141"/>
      <c r="U1722" s="28"/>
    </row>
    <row r="1723" ht="15.75" customHeight="1">
      <c r="P1723" s="25"/>
      <c r="Q1723" s="25"/>
      <c r="R1723" s="25"/>
      <c r="S1723" s="25"/>
      <c r="T1723" s="141"/>
      <c r="U1723" s="28"/>
    </row>
    <row r="1724" ht="15.75" customHeight="1">
      <c r="P1724" s="25"/>
      <c r="Q1724" s="25"/>
      <c r="R1724" s="25"/>
      <c r="S1724" s="25"/>
      <c r="T1724" s="141"/>
      <c r="U1724" s="28"/>
    </row>
    <row r="1725" ht="15.75" customHeight="1">
      <c r="P1725" s="25"/>
      <c r="Q1725" s="25"/>
      <c r="R1725" s="25"/>
      <c r="S1725" s="25"/>
      <c r="T1725" s="141"/>
      <c r="U1725" s="28"/>
    </row>
    <row r="1726" ht="15.75" customHeight="1">
      <c r="P1726" s="25"/>
      <c r="Q1726" s="25"/>
      <c r="R1726" s="25"/>
      <c r="S1726" s="25"/>
      <c r="T1726" s="141"/>
      <c r="U1726" s="28"/>
    </row>
    <row r="1727" ht="15.75" customHeight="1">
      <c r="P1727" s="25"/>
      <c r="Q1727" s="25"/>
      <c r="R1727" s="25"/>
      <c r="S1727" s="25"/>
      <c r="T1727" s="141"/>
      <c r="U1727" s="28"/>
    </row>
    <row r="1728" ht="15.75" customHeight="1">
      <c r="P1728" s="25"/>
      <c r="Q1728" s="25"/>
      <c r="R1728" s="25"/>
      <c r="S1728" s="25"/>
      <c r="T1728" s="141"/>
      <c r="U1728" s="28"/>
    </row>
    <row r="1729" ht="15.75" customHeight="1">
      <c r="P1729" s="25"/>
      <c r="Q1729" s="25"/>
      <c r="R1729" s="25"/>
      <c r="S1729" s="25"/>
      <c r="T1729" s="141"/>
      <c r="U1729" s="28"/>
    </row>
    <row r="1730" ht="15.75" customHeight="1">
      <c r="P1730" s="25"/>
      <c r="Q1730" s="25"/>
      <c r="R1730" s="25"/>
      <c r="S1730" s="25"/>
      <c r="T1730" s="141"/>
      <c r="U1730" s="28"/>
    </row>
    <row r="1731" ht="15.75" customHeight="1">
      <c r="P1731" s="25"/>
      <c r="Q1731" s="25"/>
      <c r="R1731" s="25"/>
      <c r="S1731" s="25"/>
      <c r="T1731" s="141"/>
      <c r="U1731" s="28"/>
    </row>
    <row r="1732" ht="15.75" customHeight="1">
      <c r="P1732" s="25"/>
      <c r="Q1732" s="25"/>
      <c r="R1732" s="25"/>
      <c r="S1732" s="25"/>
      <c r="T1732" s="141"/>
      <c r="U1732" s="28"/>
    </row>
    <row r="1733" ht="15.75" customHeight="1">
      <c r="P1733" s="25"/>
      <c r="Q1733" s="25"/>
      <c r="R1733" s="25"/>
      <c r="S1733" s="25"/>
      <c r="T1733" s="141"/>
      <c r="U1733" s="28"/>
    </row>
    <row r="1734" ht="15.75" customHeight="1">
      <c r="P1734" s="25"/>
      <c r="Q1734" s="25"/>
      <c r="R1734" s="25"/>
      <c r="S1734" s="25"/>
      <c r="T1734" s="141"/>
      <c r="U1734" s="28"/>
    </row>
    <row r="1735" ht="15.75" customHeight="1">
      <c r="P1735" s="25"/>
      <c r="Q1735" s="25"/>
      <c r="R1735" s="25"/>
      <c r="S1735" s="25"/>
      <c r="T1735" s="141"/>
      <c r="U1735" s="28"/>
    </row>
    <row r="1736" ht="15.75" customHeight="1">
      <c r="P1736" s="25"/>
      <c r="Q1736" s="25"/>
      <c r="R1736" s="25"/>
      <c r="S1736" s="25"/>
      <c r="T1736" s="141"/>
      <c r="U1736" s="28"/>
    </row>
    <row r="1737" ht="15.75" customHeight="1">
      <c r="P1737" s="25"/>
      <c r="Q1737" s="25"/>
      <c r="R1737" s="25"/>
      <c r="S1737" s="25"/>
      <c r="T1737" s="141"/>
      <c r="U1737" s="28"/>
    </row>
    <row r="1738" ht="15.75" customHeight="1">
      <c r="P1738" s="25"/>
      <c r="Q1738" s="25"/>
      <c r="R1738" s="25"/>
      <c r="S1738" s="25"/>
      <c r="T1738" s="141"/>
      <c r="U1738" s="28"/>
    </row>
    <row r="1739" ht="15.75" customHeight="1">
      <c r="P1739" s="25"/>
      <c r="Q1739" s="25"/>
      <c r="R1739" s="25"/>
      <c r="S1739" s="25"/>
      <c r="T1739" s="141"/>
      <c r="U1739" s="28"/>
    </row>
    <row r="1740" ht="15.75" customHeight="1">
      <c r="P1740" s="25"/>
      <c r="Q1740" s="25"/>
      <c r="R1740" s="25"/>
      <c r="S1740" s="25"/>
      <c r="T1740" s="141"/>
      <c r="U1740" s="28"/>
    </row>
    <row r="1741" ht="15.75" customHeight="1">
      <c r="P1741" s="25"/>
      <c r="Q1741" s="25"/>
      <c r="R1741" s="25"/>
      <c r="S1741" s="25"/>
      <c r="T1741" s="141"/>
      <c r="U1741" s="28"/>
    </row>
    <row r="1742" ht="15.75" customHeight="1">
      <c r="P1742" s="25"/>
      <c r="Q1742" s="25"/>
      <c r="R1742" s="25"/>
      <c r="S1742" s="25"/>
      <c r="T1742" s="141"/>
      <c r="U1742" s="28"/>
    </row>
    <row r="1743" ht="15.75" customHeight="1">
      <c r="P1743" s="25"/>
      <c r="Q1743" s="25"/>
      <c r="R1743" s="25"/>
      <c r="S1743" s="25"/>
      <c r="T1743" s="141"/>
      <c r="U1743" s="28"/>
    </row>
    <row r="1744" ht="15.75" customHeight="1">
      <c r="P1744" s="25"/>
      <c r="Q1744" s="25"/>
      <c r="R1744" s="25"/>
      <c r="S1744" s="25"/>
      <c r="T1744" s="141"/>
      <c r="U1744" s="28"/>
    </row>
    <row r="1745" ht="15.75" customHeight="1">
      <c r="P1745" s="25"/>
      <c r="Q1745" s="25"/>
      <c r="R1745" s="25"/>
      <c r="S1745" s="25"/>
      <c r="T1745" s="141"/>
      <c r="U1745" s="28"/>
    </row>
    <row r="1746" ht="15.75" customHeight="1">
      <c r="P1746" s="25"/>
      <c r="Q1746" s="25"/>
      <c r="R1746" s="25"/>
      <c r="S1746" s="25"/>
      <c r="T1746" s="141"/>
      <c r="U1746" s="28"/>
    </row>
    <row r="1747" ht="15.75" customHeight="1">
      <c r="P1747" s="25"/>
      <c r="Q1747" s="25"/>
      <c r="R1747" s="25"/>
      <c r="S1747" s="25"/>
      <c r="T1747" s="141"/>
      <c r="U1747" s="28"/>
    </row>
    <row r="1748" ht="15.75" customHeight="1">
      <c r="P1748" s="25"/>
      <c r="Q1748" s="25"/>
      <c r="R1748" s="25"/>
      <c r="S1748" s="25"/>
      <c r="T1748" s="141"/>
      <c r="U1748" s="28"/>
    </row>
    <row r="1749" ht="15.75" customHeight="1">
      <c r="P1749" s="25"/>
      <c r="Q1749" s="25"/>
      <c r="R1749" s="25"/>
      <c r="S1749" s="25"/>
      <c r="T1749" s="141"/>
      <c r="U1749" s="28"/>
    </row>
    <row r="1750" ht="15.75" customHeight="1">
      <c r="P1750" s="25"/>
      <c r="Q1750" s="25"/>
      <c r="R1750" s="25"/>
      <c r="S1750" s="25"/>
      <c r="T1750" s="141"/>
      <c r="U1750" s="28"/>
    </row>
    <row r="1751" ht="15.75" customHeight="1">
      <c r="P1751" s="25"/>
      <c r="Q1751" s="25"/>
      <c r="R1751" s="25"/>
      <c r="S1751" s="25"/>
      <c r="T1751" s="141"/>
      <c r="U1751" s="28"/>
    </row>
    <row r="1752" ht="15.75" customHeight="1">
      <c r="P1752" s="25"/>
      <c r="Q1752" s="25"/>
      <c r="R1752" s="25"/>
      <c r="S1752" s="25"/>
      <c r="T1752" s="141"/>
      <c r="U1752" s="28"/>
    </row>
    <row r="1753" ht="15.75" customHeight="1">
      <c r="P1753" s="25"/>
      <c r="Q1753" s="25"/>
      <c r="R1753" s="25"/>
      <c r="S1753" s="25"/>
      <c r="T1753" s="141"/>
      <c r="U1753" s="28"/>
    </row>
    <row r="1754" ht="15.75" customHeight="1">
      <c r="P1754" s="25"/>
      <c r="Q1754" s="25"/>
      <c r="R1754" s="25"/>
      <c r="S1754" s="25"/>
      <c r="T1754" s="141"/>
      <c r="U1754" s="28"/>
    </row>
    <row r="1755" ht="15.75" customHeight="1">
      <c r="P1755" s="25"/>
      <c r="Q1755" s="25"/>
      <c r="R1755" s="25"/>
      <c r="S1755" s="25"/>
      <c r="T1755" s="141"/>
      <c r="U1755" s="28"/>
    </row>
    <row r="1756" ht="15.75" customHeight="1">
      <c r="P1756" s="25"/>
      <c r="Q1756" s="25"/>
      <c r="R1756" s="25"/>
      <c r="S1756" s="25"/>
      <c r="T1756" s="141"/>
      <c r="U1756" s="28"/>
    </row>
    <row r="1757" ht="15.75" customHeight="1">
      <c r="P1757" s="25"/>
      <c r="Q1757" s="25"/>
      <c r="R1757" s="25"/>
      <c r="S1757" s="25"/>
      <c r="T1757" s="141"/>
      <c r="U1757" s="28"/>
    </row>
    <row r="1758" ht="15.75" customHeight="1">
      <c r="P1758" s="25"/>
      <c r="Q1758" s="25"/>
      <c r="R1758" s="25"/>
      <c r="S1758" s="25"/>
      <c r="T1758" s="141"/>
      <c r="U1758" s="28"/>
    </row>
    <row r="1759" ht="15.75" customHeight="1">
      <c r="P1759" s="25"/>
      <c r="Q1759" s="25"/>
      <c r="R1759" s="25"/>
      <c r="S1759" s="25"/>
      <c r="T1759" s="141"/>
      <c r="U1759" s="28"/>
    </row>
    <row r="1760" ht="15.75" customHeight="1">
      <c r="P1760" s="25"/>
      <c r="Q1760" s="25"/>
      <c r="R1760" s="25"/>
      <c r="S1760" s="25"/>
      <c r="T1760" s="141"/>
      <c r="U1760" s="28"/>
    </row>
    <row r="1761" ht="15.75" customHeight="1">
      <c r="P1761" s="25"/>
      <c r="Q1761" s="25"/>
      <c r="R1761" s="25"/>
      <c r="S1761" s="25"/>
      <c r="T1761" s="141"/>
      <c r="U1761" s="28"/>
    </row>
    <row r="1762" ht="15.75" customHeight="1">
      <c r="P1762" s="25"/>
      <c r="Q1762" s="25"/>
      <c r="R1762" s="25"/>
      <c r="S1762" s="25"/>
      <c r="T1762" s="141"/>
      <c r="U1762" s="28"/>
    </row>
    <row r="1763" ht="15.75" customHeight="1">
      <c r="P1763" s="25"/>
      <c r="Q1763" s="25"/>
      <c r="R1763" s="25"/>
      <c r="S1763" s="25"/>
      <c r="T1763" s="141"/>
      <c r="U1763" s="28"/>
    </row>
    <row r="1764" ht="15.75" customHeight="1">
      <c r="P1764" s="25"/>
      <c r="Q1764" s="25"/>
      <c r="R1764" s="25"/>
      <c r="S1764" s="25"/>
      <c r="T1764" s="141"/>
      <c r="U1764" s="28"/>
    </row>
    <row r="1765" ht="15.75" customHeight="1">
      <c r="P1765" s="25"/>
      <c r="Q1765" s="25"/>
      <c r="R1765" s="25"/>
      <c r="S1765" s="25"/>
      <c r="T1765" s="141"/>
      <c r="U1765" s="28"/>
    </row>
    <row r="1766" ht="15.75" customHeight="1">
      <c r="P1766" s="25"/>
      <c r="Q1766" s="25"/>
      <c r="R1766" s="25"/>
      <c r="S1766" s="25"/>
      <c r="T1766" s="141"/>
      <c r="U1766" s="28"/>
    </row>
    <row r="1767" ht="15.75" customHeight="1">
      <c r="P1767" s="25"/>
      <c r="Q1767" s="25"/>
      <c r="R1767" s="25"/>
      <c r="S1767" s="25"/>
      <c r="T1767" s="141"/>
      <c r="U1767" s="28"/>
    </row>
    <row r="1768" ht="15.75" customHeight="1">
      <c r="P1768" s="25"/>
      <c r="Q1768" s="25"/>
      <c r="R1768" s="25"/>
      <c r="S1768" s="25"/>
      <c r="T1768" s="141"/>
      <c r="U1768" s="28"/>
    </row>
    <row r="1769" ht="15.75" customHeight="1">
      <c r="P1769" s="25"/>
      <c r="Q1769" s="25"/>
      <c r="R1769" s="25"/>
      <c r="S1769" s="25"/>
      <c r="T1769" s="141"/>
      <c r="U1769" s="28"/>
    </row>
    <row r="1770" ht="15.75" customHeight="1">
      <c r="P1770" s="25"/>
      <c r="Q1770" s="25"/>
      <c r="R1770" s="25"/>
      <c r="S1770" s="25"/>
      <c r="T1770" s="141"/>
      <c r="U1770" s="28"/>
    </row>
    <row r="1771" ht="15.75" customHeight="1">
      <c r="P1771" s="25"/>
      <c r="Q1771" s="25"/>
      <c r="R1771" s="25"/>
      <c r="S1771" s="25"/>
      <c r="T1771" s="141"/>
      <c r="U1771" s="28"/>
    </row>
    <row r="1772" ht="15.75" customHeight="1">
      <c r="P1772" s="25"/>
      <c r="Q1772" s="25"/>
      <c r="R1772" s="25"/>
      <c r="S1772" s="25"/>
      <c r="T1772" s="141"/>
      <c r="U1772" s="28"/>
    </row>
    <row r="1773" ht="15.75" customHeight="1">
      <c r="P1773" s="25"/>
      <c r="Q1773" s="25"/>
      <c r="R1773" s="25"/>
      <c r="S1773" s="25"/>
      <c r="T1773" s="141"/>
      <c r="U1773" s="28"/>
    </row>
    <row r="1774" ht="15.75" customHeight="1">
      <c r="P1774" s="25"/>
      <c r="Q1774" s="25"/>
      <c r="R1774" s="25"/>
      <c r="S1774" s="25"/>
      <c r="T1774" s="141"/>
      <c r="U1774" s="28"/>
    </row>
    <row r="1775" ht="15.75" customHeight="1">
      <c r="P1775" s="25"/>
      <c r="Q1775" s="25"/>
      <c r="R1775" s="25"/>
      <c r="S1775" s="25"/>
      <c r="T1775" s="141"/>
      <c r="U1775" s="28"/>
    </row>
    <row r="1776" ht="15.75" customHeight="1">
      <c r="P1776" s="25"/>
      <c r="Q1776" s="25"/>
      <c r="R1776" s="25"/>
      <c r="S1776" s="25"/>
      <c r="T1776" s="141"/>
      <c r="U1776" s="28"/>
    </row>
    <row r="1777" ht="15.75" customHeight="1">
      <c r="P1777" s="25"/>
      <c r="Q1777" s="25"/>
      <c r="R1777" s="25"/>
      <c r="S1777" s="25"/>
      <c r="T1777" s="141"/>
      <c r="U1777" s="28"/>
    </row>
    <row r="1778" ht="15.75" customHeight="1">
      <c r="P1778" s="25"/>
      <c r="Q1778" s="25"/>
      <c r="R1778" s="25"/>
      <c r="S1778" s="25"/>
      <c r="T1778" s="141"/>
      <c r="U1778" s="28"/>
    </row>
    <row r="1779" ht="15.75" customHeight="1">
      <c r="P1779" s="25"/>
      <c r="Q1779" s="25"/>
      <c r="R1779" s="25"/>
      <c r="S1779" s="25"/>
      <c r="T1779" s="141"/>
      <c r="U1779" s="28"/>
    </row>
    <row r="1780" ht="15.75" customHeight="1">
      <c r="P1780" s="25"/>
      <c r="Q1780" s="25"/>
      <c r="R1780" s="25"/>
      <c r="S1780" s="25"/>
      <c r="T1780" s="141"/>
      <c r="U1780" s="28"/>
    </row>
    <row r="1781" ht="15.75" customHeight="1">
      <c r="P1781" s="25"/>
      <c r="Q1781" s="25"/>
      <c r="R1781" s="25"/>
      <c r="S1781" s="25"/>
      <c r="T1781" s="141"/>
      <c r="U1781" s="28"/>
    </row>
    <row r="1782" ht="15.75" customHeight="1">
      <c r="P1782" s="25"/>
      <c r="Q1782" s="25"/>
      <c r="R1782" s="25"/>
      <c r="S1782" s="25"/>
      <c r="T1782" s="141"/>
      <c r="U1782" s="28"/>
    </row>
    <row r="1783" ht="15.75" customHeight="1">
      <c r="P1783" s="25"/>
      <c r="Q1783" s="25"/>
      <c r="R1783" s="25"/>
      <c r="S1783" s="25"/>
      <c r="T1783" s="141"/>
      <c r="U1783" s="28"/>
    </row>
    <row r="1784" ht="15.75" customHeight="1">
      <c r="P1784" s="25"/>
      <c r="Q1784" s="25"/>
      <c r="R1784" s="25"/>
      <c r="S1784" s="25"/>
      <c r="T1784" s="141"/>
      <c r="U1784" s="28"/>
    </row>
    <row r="1785" ht="15.75" customHeight="1">
      <c r="P1785" s="25"/>
      <c r="Q1785" s="25"/>
      <c r="R1785" s="25"/>
      <c r="S1785" s="25"/>
      <c r="T1785" s="141"/>
      <c r="U1785" s="28"/>
    </row>
    <row r="1786" ht="15.75" customHeight="1">
      <c r="P1786" s="25"/>
      <c r="Q1786" s="25"/>
      <c r="R1786" s="25"/>
      <c r="S1786" s="25"/>
      <c r="T1786" s="141"/>
      <c r="U1786" s="28"/>
    </row>
    <row r="1787" ht="15.75" customHeight="1">
      <c r="P1787" s="25"/>
      <c r="Q1787" s="25"/>
      <c r="R1787" s="25"/>
      <c r="S1787" s="25"/>
      <c r="T1787" s="141"/>
      <c r="U1787" s="28"/>
    </row>
    <row r="1788" ht="15.75" customHeight="1">
      <c r="P1788" s="25"/>
      <c r="Q1788" s="25"/>
      <c r="R1788" s="25"/>
      <c r="S1788" s="25"/>
      <c r="T1788" s="141"/>
      <c r="U1788" s="28"/>
    </row>
    <row r="1789" ht="15.75" customHeight="1">
      <c r="P1789" s="25"/>
      <c r="Q1789" s="25"/>
      <c r="R1789" s="25"/>
      <c r="S1789" s="25"/>
      <c r="T1789" s="141"/>
      <c r="U1789" s="28"/>
    </row>
    <row r="1790" ht="15.75" customHeight="1">
      <c r="P1790" s="25"/>
      <c r="Q1790" s="25"/>
      <c r="R1790" s="25"/>
      <c r="S1790" s="25"/>
      <c r="T1790" s="141"/>
      <c r="U1790" s="28"/>
    </row>
    <row r="1791" ht="15.75" customHeight="1">
      <c r="P1791" s="25"/>
      <c r="Q1791" s="25"/>
      <c r="R1791" s="25"/>
      <c r="S1791" s="25"/>
      <c r="T1791" s="141"/>
      <c r="U1791" s="28"/>
    </row>
    <row r="1792" ht="15.75" customHeight="1">
      <c r="P1792" s="25"/>
      <c r="Q1792" s="25"/>
      <c r="R1792" s="25"/>
      <c r="S1792" s="25"/>
      <c r="T1792" s="141"/>
      <c r="U1792" s="28"/>
    </row>
    <row r="1793" ht="15.75" customHeight="1">
      <c r="P1793" s="25"/>
      <c r="Q1793" s="25"/>
      <c r="R1793" s="25"/>
      <c r="S1793" s="25"/>
      <c r="T1793" s="141"/>
      <c r="U1793" s="28"/>
    </row>
    <row r="1794" ht="15.75" customHeight="1">
      <c r="P1794" s="25"/>
      <c r="Q1794" s="25"/>
      <c r="R1794" s="25"/>
      <c r="S1794" s="25"/>
      <c r="T1794" s="141"/>
      <c r="U1794" s="28"/>
    </row>
    <row r="1795" ht="15.75" customHeight="1">
      <c r="P1795" s="25"/>
      <c r="Q1795" s="25"/>
      <c r="R1795" s="25"/>
      <c r="S1795" s="25"/>
      <c r="T1795" s="141"/>
      <c r="U1795" s="28"/>
    </row>
    <row r="1796" ht="15.75" customHeight="1">
      <c r="P1796" s="25"/>
      <c r="Q1796" s="25"/>
      <c r="R1796" s="25"/>
      <c r="S1796" s="25"/>
      <c r="T1796" s="141"/>
      <c r="U1796" s="28"/>
    </row>
    <row r="1797" ht="15.75" customHeight="1">
      <c r="P1797" s="25"/>
      <c r="Q1797" s="25"/>
      <c r="R1797" s="25"/>
      <c r="S1797" s="25"/>
      <c r="T1797" s="141"/>
      <c r="U1797" s="28"/>
    </row>
    <row r="1798" ht="15.75" customHeight="1">
      <c r="P1798" s="25"/>
      <c r="Q1798" s="25"/>
      <c r="R1798" s="25"/>
      <c r="S1798" s="25"/>
      <c r="T1798" s="141"/>
      <c r="U1798" s="28"/>
    </row>
    <row r="1799" ht="15.75" customHeight="1">
      <c r="P1799" s="25"/>
      <c r="Q1799" s="25"/>
      <c r="R1799" s="25"/>
      <c r="S1799" s="25"/>
      <c r="T1799" s="141"/>
      <c r="U1799" s="28"/>
    </row>
    <row r="1800" ht="15.75" customHeight="1">
      <c r="P1800" s="25"/>
      <c r="Q1800" s="25"/>
      <c r="R1800" s="25"/>
      <c r="S1800" s="25"/>
      <c r="T1800" s="141"/>
      <c r="U1800" s="28"/>
    </row>
    <row r="1801" ht="15.75" customHeight="1">
      <c r="P1801" s="25"/>
      <c r="Q1801" s="25"/>
      <c r="R1801" s="25"/>
      <c r="S1801" s="25"/>
      <c r="T1801" s="141"/>
      <c r="U1801" s="28"/>
    </row>
    <row r="1802" ht="15.75" customHeight="1">
      <c r="P1802" s="25"/>
      <c r="Q1802" s="25"/>
      <c r="R1802" s="25"/>
      <c r="S1802" s="25"/>
      <c r="T1802" s="141"/>
      <c r="U1802" s="28"/>
    </row>
    <row r="1803" ht="15.75" customHeight="1">
      <c r="P1803" s="25"/>
      <c r="Q1803" s="25"/>
      <c r="R1803" s="25"/>
      <c r="S1803" s="25"/>
      <c r="T1803" s="141"/>
      <c r="U1803" s="28"/>
    </row>
    <row r="1804" ht="15.75" customHeight="1">
      <c r="P1804" s="25"/>
      <c r="Q1804" s="25"/>
      <c r="R1804" s="25"/>
      <c r="S1804" s="25"/>
      <c r="T1804" s="141"/>
      <c r="U1804" s="28"/>
    </row>
    <row r="1805" ht="15.75" customHeight="1">
      <c r="P1805" s="25"/>
      <c r="Q1805" s="25"/>
      <c r="R1805" s="25"/>
      <c r="S1805" s="25"/>
      <c r="T1805" s="141"/>
      <c r="U1805" s="28"/>
    </row>
    <row r="1806" ht="15.75" customHeight="1">
      <c r="P1806" s="25"/>
      <c r="Q1806" s="25"/>
      <c r="R1806" s="25"/>
      <c r="S1806" s="25"/>
      <c r="T1806" s="141"/>
      <c r="U1806" s="28"/>
    </row>
    <row r="1807" ht="15.75" customHeight="1">
      <c r="P1807" s="25"/>
      <c r="Q1807" s="25"/>
      <c r="R1807" s="25"/>
      <c r="S1807" s="25"/>
      <c r="T1807" s="141"/>
      <c r="U1807" s="28"/>
    </row>
    <row r="1808" ht="15.75" customHeight="1">
      <c r="P1808" s="25"/>
      <c r="Q1808" s="25"/>
      <c r="R1808" s="25"/>
      <c r="S1808" s="25"/>
      <c r="T1808" s="141"/>
      <c r="U1808" s="28"/>
    </row>
    <row r="1809" ht="15.75" customHeight="1">
      <c r="P1809" s="25"/>
      <c r="Q1809" s="25"/>
      <c r="R1809" s="25"/>
      <c r="S1809" s="25"/>
      <c r="T1809" s="141"/>
      <c r="U1809" s="28"/>
    </row>
    <row r="1810" ht="15.75" customHeight="1">
      <c r="P1810" s="25"/>
      <c r="Q1810" s="25"/>
      <c r="R1810" s="25"/>
      <c r="S1810" s="25"/>
      <c r="T1810" s="141"/>
      <c r="U1810" s="28"/>
    </row>
    <row r="1811" ht="15.75" customHeight="1">
      <c r="P1811" s="25"/>
      <c r="Q1811" s="25"/>
      <c r="R1811" s="25"/>
      <c r="S1811" s="25"/>
      <c r="T1811" s="141"/>
      <c r="U1811" s="28"/>
    </row>
    <row r="1812" ht="15.75" customHeight="1">
      <c r="P1812" s="25"/>
      <c r="Q1812" s="25"/>
      <c r="R1812" s="25"/>
      <c r="S1812" s="25"/>
      <c r="T1812" s="141"/>
      <c r="U1812" s="28"/>
    </row>
    <row r="1813" ht="15.75" customHeight="1">
      <c r="P1813" s="25"/>
      <c r="Q1813" s="25"/>
      <c r="R1813" s="25"/>
      <c r="S1813" s="25"/>
      <c r="T1813" s="141"/>
      <c r="U1813" s="28"/>
    </row>
    <row r="1814" ht="15.75" customHeight="1">
      <c r="P1814" s="25"/>
      <c r="Q1814" s="25"/>
      <c r="R1814" s="25"/>
      <c r="S1814" s="25"/>
      <c r="T1814" s="141"/>
      <c r="U1814" s="28"/>
    </row>
    <row r="1815" ht="15.75" customHeight="1">
      <c r="P1815" s="25"/>
      <c r="Q1815" s="25"/>
      <c r="R1815" s="25"/>
      <c r="S1815" s="25"/>
      <c r="T1815" s="141"/>
      <c r="U1815" s="28"/>
    </row>
    <row r="1816" ht="15.75" customHeight="1">
      <c r="P1816" s="25"/>
      <c r="Q1816" s="25"/>
      <c r="R1816" s="25"/>
      <c r="S1816" s="25"/>
      <c r="T1816" s="141"/>
      <c r="U1816" s="28"/>
    </row>
    <row r="1817" ht="15.75" customHeight="1">
      <c r="P1817" s="25"/>
      <c r="Q1817" s="25"/>
      <c r="R1817" s="25"/>
      <c r="S1817" s="25"/>
      <c r="T1817" s="141"/>
      <c r="U1817" s="28"/>
    </row>
    <row r="1818" ht="15.75" customHeight="1">
      <c r="P1818" s="25"/>
      <c r="Q1818" s="25"/>
      <c r="R1818" s="25"/>
      <c r="S1818" s="25"/>
      <c r="T1818" s="141"/>
      <c r="U1818" s="28"/>
    </row>
    <row r="1819" ht="15.75" customHeight="1">
      <c r="P1819" s="25"/>
      <c r="Q1819" s="25"/>
      <c r="R1819" s="25"/>
      <c r="S1819" s="25"/>
      <c r="T1819" s="141"/>
      <c r="U1819" s="28"/>
    </row>
    <row r="1820" ht="15.75" customHeight="1">
      <c r="P1820" s="25"/>
      <c r="Q1820" s="25"/>
      <c r="R1820" s="25"/>
      <c r="S1820" s="25"/>
      <c r="T1820" s="141"/>
      <c r="U1820" s="28"/>
    </row>
    <row r="1821" ht="15.75" customHeight="1">
      <c r="P1821" s="25"/>
      <c r="Q1821" s="25"/>
      <c r="R1821" s="25"/>
      <c r="S1821" s="25"/>
      <c r="T1821" s="141"/>
      <c r="U1821" s="28"/>
    </row>
    <row r="1822" ht="15.75" customHeight="1">
      <c r="P1822" s="25"/>
      <c r="Q1822" s="25"/>
      <c r="R1822" s="25"/>
      <c r="S1822" s="25"/>
      <c r="T1822" s="141"/>
      <c r="U1822" s="28"/>
    </row>
    <row r="1823" ht="15.75" customHeight="1">
      <c r="P1823" s="25"/>
      <c r="Q1823" s="25"/>
      <c r="R1823" s="25"/>
      <c r="S1823" s="25"/>
      <c r="T1823" s="141"/>
      <c r="U1823" s="28"/>
    </row>
    <row r="1824" ht="15.75" customHeight="1">
      <c r="P1824" s="25"/>
      <c r="Q1824" s="25"/>
      <c r="R1824" s="25"/>
      <c r="S1824" s="25"/>
      <c r="T1824" s="141"/>
      <c r="U1824" s="28"/>
    </row>
    <row r="1825" ht="15.75" customHeight="1">
      <c r="P1825" s="25"/>
      <c r="Q1825" s="25"/>
      <c r="R1825" s="25"/>
      <c r="S1825" s="25"/>
      <c r="T1825" s="141"/>
      <c r="U1825" s="28"/>
    </row>
    <row r="1826" ht="15.75" customHeight="1">
      <c r="P1826" s="25"/>
      <c r="Q1826" s="25"/>
      <c r="R1826" s="25"/>
      <c r="S1826" s="25"/>
      <c r="T1826" s="141"/>
      <c r="U1826" s="28"/>
    </row>
    <row r="1827" ht="15.75" customHeight="1">
      <c r="P1827" s="25"/>
      <c r="Q1827" s="25"/>
      <c r="R1827" s="25"/>
      <c r="S1827" s="25"/>
      <c r="T1827" s="141"/>
      <c r="U1827" s="28"/>
    </row>
    <row r="1828" ht="15.75" customHeight="1">
      <c r="P1828" s="25"/>
      <c r="Q1828" s="25"/>
      <c r="R1828" s="25"/>
      <c r="S1828" s="25"/>
      <c r="T1828" s="141"/>
      <c r="U1828" s="28"/>
    </row>
    <row r="1829" ht="15.75" customHeight="1">
      <c r="P1829" s="25"/>
      <c r="Q1829" s="25"/>
      <c r="R1829" s="25"/>
      <c r="S1829" s="25"/>
      <c r="T1829" s="141"/>
      <c r="U1829" s="28"/>
    </row>
    <row r="1830" ht="15.75" customHeight="1">
      <c r="P1830" s="25"/>
      <c r="Q1830" s="25"/>
      <c r="R1830" s="25"/>
      <c r="S1830" s="25"/>
      <c r="T1830" s="141"/>
      <c r="U1830" s="28"/>
    </row>
    <row r="1831" ht="15.75" customHeight="1">
      <c r="P1831" s="25"/>
      <c r="Q1831" s="25"/>
      <c r="R1831" s="25"/>
      <c r="S1831" s="25"/>
      <c r="T1831" s="141"/>
      <c r="U1831" s="28"/>
    </row>
    <row r="1832" ht="15.75" customHeight="1">
      <c r="P1832" s="25"/>
      <c r="Q1832" s="25"/>
      <c r="R1832" s="25"/>
      <c r="S1832" s="25"/>
      <c r="T1832" s="141"/>
      <c r="U1832" s="28"/>
    </row>
    <row r="1833" ht="15.75" customHeight="1">
      <c r="P1833" s="25"/>
      <c r="Q1833" s="25"/>
      <c r="R1833" s="25"/>
      <c r="S1833" s="25"/>
      <c r="T1833" s="141"/>
      <c r="U1833" s="28"/>
    </row>
    <row r="1834" ht="15.75" customHeight="1">
      <c r="P1834" s="25"/>
      <c r="Q1834" s="25"/>
      <c r="R1834" s="25"/>
      <c r="S1834" s="25"/>
      <c r="T1834" s="141"/>
      <c r="U1834" s="28"/>
    </row>
    <row r="1835" ht="15.75" customHeight="1">
      <c r="P1835" s="25"/>
      <c r="Q1835" s="25"/>
      <c r="R1835" s="25"/>
      <c r="S1835" s="25"/>
      <c r="T1835" s="141"/>
      <c r="U1835" s="28"/>
    </row>
    <row r="1836" ht="15.75" customHeight="1">
      <c r="P1836" s="25"/>
      <c r="Q1836" s="25"/>
      <c r="R1836" s="25"/>
      <c r="S1836" s="25"/>
      <c r="T1836" s="141"/>
      <c r="U1836" s="28"/>
    </row>
    <row r="1837" ht="15.75" customHeight="1">
      <c r="P1837" s="25"/>
      <c r="Q1837" s="25"/>
      <c r="R1837" s="25"/>
      <c r="S1837" s="25"/>
      <c r="T1837" s="141"/>
      <c r="U1837" s="28"/>
    </row>
    <row r="1838" ht="15.75" customHeight="1">
      <c r="P1838" s="25"/>
      <c r="Q1838" s="25"/>
      <c r="R1838" s="25"/>
      <c r="S1838" s="25"/>
      <c r="T1838" s="141"/>
      <c r="U1838" s="28"/>
    </row>
    <row r="1839" ht="15.75" customHeight="1">
      <c r="P1839" s="25"/>
      <c r="Q1839" s="25"/>
      <c r="R1839" s="25"/>
      <c r="S1839" s="25"/>
      <c r="T1839" s="141"/>
      <c r="U1839" s="28"/>
    </row>
    <row r="1840" ht="15.75" customHeight="1">
      <c r="P1840" s="25"/>
      <c r="Q1840" s="25"/>
      <c r="R1840" s="25"/>
      <c r="S1840" s="25"/>
      <c r="T1840" s="141"/>
      <c r="U1840" s="28"/>
    </row>
    <row r="1841" ht="15.75" customHeight="1">
      <c r="P1841" s="25"/>
      <c r="Q1841" s="25"/>
      <c r="R1841" s="25"/>
      <c r="S1841" s="25"/>
      <c r="T1841" s="141"/>
      <c r="U1841" s="28"/>
    </row>
    <row r="1842" ht="15.75" customHeight="1">
      <c r="P1842" s="25"/>
      <c r="Q1842" s="25"/>
      <c r="R1842" s="25"/>
      <c r="S1842" s="25"/>
      <c r="T1842" s="141"/>
      <c r="U1842" s="28"/>
    </row>
    <row r="1843" ht="15.75" customHeight="1">
      <c r="P1843" s="25"/>
      <c r="Q1843" s="25"/>
      <c r="R1843" s="25"/>
      <c r="S1843" s="25"/>
      <c r="T1843" s="141"/>
      <c r="U1843" s="28"/>
    </row>
    <row r="1844" ht="15.75" customHeight="1">
      <c r="P1844" s="25"/>
      <c r="Q1844" s="25"/>
      <c r="R1844" s="25"/>
      <c r="S1844" s="25"/>
      <c r="T1844" s="141"/>
      <c r="U1844" s="28"/>
    </row>
    <row r="1845" ht="15.75" customHeight="1">
      <c r="P1845" s="25"/>
      <c r="Q1845" s="25"/>
      <c r="R1845" s="25"/>
      <c r="S1845" s="25"/>
      <c r="T1845" s="141"/>
      <c r="U1845" s="28"/>
    </row>
    <row r="1846" ht="15.75" customHeight="1">
      <c r="P1846" s="25"/>
      <c r="Q1846" s="25"/>
      <c r="R1846" s="25"/>
      <c r="S1846" s="25"/>
      <c r="T1846" s="141"/>
      <c r="U1846" s="28"/>
    </row>
    <row r="1847" ht="15.75" customHeight="1">
      <c r="P1847" s="25"/>
      <c r="Q1847" s="25"/>
      <c r="R1847" s="25"/>
      <c r="S1847" s="25"/>
      <c r="T1847" s="141"/>
      <c r="U1847" s="28"/>
    </row>
    <row r="1848" ht="15.75" customHeight="1">
      <c r="P1848" s="25"/>
      <c r="Q1848" s="25"/>
      <c r="R1848" s="25"/>
      <c r="S1848" s="25"/>
      <c r="T1848" s="141"/>
      <c r="U1848" s="28"/>
    </row>
    <row r="1849" ht="15.75" customHeight="1">
      <c r="P1849" s="25"/>
      <c r="Q1849" s="25"/>
      <c r="R1849" s="25"/>
      <c r="S1849" s="25"/>
      <c r="T1849" s="141"/>
      <c r="U1849" s="28"/>
    </row>
    <row r="1850" ht="15.75" customHeight="1">
      <c r="P1850" s="25"/>
      <c r="Q1850" s="25"/>
      <c r="R1850" s="25"/>
      <c r="S1850" s="25"/>
      <c r="T1850" s="141"/>
      <c r="U1850" s="28"/>
    </row>
    <row r="1851" ht="15.75" customHeight="1">
      <c r="P1851" s="25"/>
      <c r="Q1851" s="25"/>
      <c r="R1851" s="25"/>
      <c r="S1851" s="25"/>
      <c r="T1851" s="141"/>
      <c r="U1851" s="28"/>
    </row>
    <row r="1852" ht="15.75" customHeight="1">
      <c r="P1852" s="25"/>
      <c r="Q1852" s="25"/>
      <c r="R1852" s="25"/>
      <c r="S1852" s="25"/>
      <c r="T1852" s="141"/>
      <c r="U1852" s="28"/>
    </row>
    <row r="1853" ht="15.75" customHeight="1">
      <c r="P1853" s="25"/>
      <c r="Q1853" s="25"/>
      <c r="R1853" s="25"/>
      <c r="S1853" s="25"/>
      <c r="T1853" s="141"/>
      <c r="U1853" s="28"/>
    </row>
    <row r="1854" ht="15.75" customHeight="1">
      <c r="P1854" s="25"/>
      <c r="Q1854" s="25"/>
      <c r="R1854" s="25"/>
      <c r="S1854" s="25"/>
      <c r="T1854" s="141"/>
      <c r="U1854" s="28"/>
    </row>
    <row r="1855" ht="15.75" customHeight="1">
      <c r="P1855" s="25"/>
      <c r="Q1855" s="25"/>
      <c r="R1855" s="25"/>
      <c r="S1855" s="25"/>
      <c r="T1855" s="141"/>
      <c r="U1855" s="28"/>
    </row>
    <row r="1856" ht="15.75" customHeight="1">
      <c r="P1856" s="25"/>
      <c r="Q1856" s="25"/>
      <c r="R1856" s="25"/>
      <c r="S1856" s="25"/>
      <c r="T1856" s="141"/>
      <c r="U1856" s="28"/>
    </row>
    <row r="1857" ht="15.75" customHeight="1">
      <c r="P1857" s="25"/>
      <c r="Q1857" s="25"/>
      <c r="R1857" s="25"/>
      <c r="S1857" s="25"/>
      <c r="T1857" s="141"/>
      <c r="U1857" s="28"/>
    </row>
    <row r="1858" ht="15.75" customHeight="1">
      <c r="P1858" s="25"/>
      <c r="Q1858" s="25"/>
      <c r="R1858" s="25"/>
      <c r="S1858" s="25"/>
      <c r="T1858" s="141"/>
      <c r="U1858" s="28"/>
    </row>
    <row r="1859" ht="15.75" customHeight="1">
      <c r="P1859" s="25"/>
      <c r="Q1859" s="25"/>
      <c r="R1859" s="25"/>
      <c r="S1859" s="25"/>
      <c r="T1859" s="141"/>
      <c r="U1859" s="28"/>
    </row>
    <row r="1860" ht="15.75" customHeight="1">
      <c r="P1860" s="25"/>
      <c r="Q1860" s="25"/>
      <c r="R1860" s="25"/>
      <c r="S1860" s="25"/>
      <c r="T1860" s="141"/>
      <c r="U1860" s="28"/>
    </row>
    <row r="1861" ht="15.75" customHeight="1">
      <c r="P1861" s="25"/>
      <c r="Q1861" s="25"/>
      <c r="R1861" s="25"/>
      <c r="S1861" s="25"/>
      <c r="T1861" s="141"/>
      <c r="U1861" s="28"/>
    </row>
    <row r="1862" ht="15.75" customHeight="1">
      <c r="P1862" s="25"/>
      <c r="Q1862" s="25"/>
      <c r="R1862" s="25"/>
      <c r="S1862" s="25"/>
      <c r="T1862" s="141"/>
      <c r="U1862" s="28"/>
    </row>
    <row r="1863" ht="15.75" customHeight="1">
      <c r="P1863" s="25"/>
      <c r="Q1863" s="25"/>
      <c r="R1863" s="25"/>
      <c r="S1863" s="25"/>
      <c r="T1863" s="141"/>
      <c r="U1863" s="28"/>
    </row>
    <row r="1864" ht="15.75" customHeight="1">
      <c r="P1864" s="25"/>
      <c r="Q1864" s="25"/>
      <c r="R1864" s="25"/>
      <c r="S1864" s="25"/>
      <c r="T1864" s="141"/>
      <c r="U1864" s="28"/>
    </row>
    <row r="1865" ht="15.75" customHeight="1">
      <c r="P1865" s="25"/>
      <c r="Q1865" s="25"/>
      <c r="R1865" s="25"/>
      <c r="S1865" s="25"/>
      <c r="T1865" s="141"/>
      <c r="U1865" s="28"/>
    </row>
    <row r="1866" ht="15.75" customHeight="1">
      <c r="P1866" s="25"/>
      <c r="Q1866" s="25"/>
      <c r="R1866" s="25"/>
      <c r="S1866" s="25"/>
      <c r="T1866" s="141"/>
      <c r="U1866" s="28"/>
    </row>
    <row r="1867" ht="15.75" customHeight="1">
      <c r="P1867" s="25"/>
      <c r="Q1867" s="25"/>
      <c r="R1867" s="25"/>
      <c r="S1867" s="25"/>
      <c r="T1867" s="141"/>
      <c r="U1867" s="28"/>
    </row>
    <row r="1868" ht="15.75" customHeight="1">
      <c r="P1868" s="25"/>
      <c r="Q1868" s="25"/>
      <c r="R1868" s="25"/>
      <c r="S1868" s="25"/>
      <c r="T1868" s="141"/>
      <c r="U1868" s="28"/>
    </row>
    <row r="1869" ht="15.75" customHeight="1">
      <c r="P1869" s="25"/>
      <c r="Q1869" s="25"/>
      <c r="R1869" s="25"/>
      <c r="S1869" s="25"/>
      <c r="T1869" s="141"/>
      <c r="U1869" s="28"/>
    </row>
    <row r="1870" ht="15.75" customHeight="1">
      <c r="P1870" s="25"/>
      <c r="Q1870" s="25"/>
      <c r="R1870" s="25"/>
      <c r="S1870" s="25"/>
      <c r="T1870" s="141"/>
      <c r="U1870" s="28"/>
    </row>
    <row r="1871" ht="15.75" customHeight="1">
      <c r="P1871" s="25"/>
      <c r="Q1871" s="25"/>
      <c r="R1871" s="25"/>
      <c r="S1871" s="25"/>
      <c r="T1871" s="141"/>
      <c r="U1871" s="28"/>
    </row>
    <row r="1872" ht="15.75" customHeight="1">
      <c r="P1872" s="25"/>
      <c r="Q1872" s="25"/>
      <c r="R1872" s="25"/>
      <c r="S1872" s="25"/>
      <c r="T1872" s="141"/>
      <c r="U1872" s="28"/>
    </row>
    <row r="1873" ht="15.75" customHeight="1">
      <c r="P1873" s="25"/>
      <c r="Q1873" s="25"/>
      <c r="R1873" s="25"/>
      <c r="S1873" s="25"/>
      <c r="T1873" s="141"/>
      <c r="U1873" s="28"/>
    </row>
    <row r="1874" ht="15.75" customHeight="1">
      <c r="P1874" s="25"/>
      <c r="Q1874" s="25"/>
      <c r="R1874" s="25"/>
      <c r="S1874" s="25"/>
      <c r="T1874" s="141"/>
      <c r="U1874" s="28"/>
    </row>
    <row r="1875" ht="15.75" customHeight="1">
      <c r="P1875" s="25"/>
      <c r="Q1875" s="25"/>
      <c r="R1875" s="25"/>
      <c r="S1875" s="25"/>
      <c r="T1875" s="141"/>
      <c r="U1875" s="28"/>
    </row>
    <row r="1876" ht="15.75" customHeight="1">
      <c r="P1876" s="25"/>
      <c r="Q1876" s="25"/>
      <c r="R1876" s="25"/>
      <c r="S1876" s="25"/>
      <c r="T1876" s="141"/>
      <c r="U1876" s="28"/>
    </row>
    <row r="1877" ht="15.75" customHeight="1">
      <c r="P1877" s="25"/>
      <c r="Q1877" s="25"/>
      <c r="R1877" s="25"/>
      <c r="S1877" s="25"/>
      <c r="T1877" s="141"/>
      <c r="U1877" s="28"/>
    </row>
    <row r="1878" ht="15.75" customHeight="1">
      <c r="P1878" s="25"/>
      <c r="Q1878" s="25"/>
      <c r="R1878" s="25"/>
      <c r="S1878" s="25"/>
      <c r="T1878" s="141"/>
      <c r="U1878" s="28"/>
    </row>
    <row r="1879" ht="15.75" customHeight="1">
      <c r="P1879" s="25"/>
      <c r="Q1879" s="25"/>
      <c r="R1879" s="25"/>
      <c r="S1879" s="25"/>
      <c r="T1879" s="141"/>
      <c r="U1879" s="28"/>
    </row>
    <row r="1880" ht="15.75" customHeight="1">
      <c r="P1880" s="25"/>
      <c r="Q1880" s="25"/>
      <c r="R1880" s="25"/>
      <c r="S1880" s="25"/>
      <c r="T1880" s="141"/>
      <c r="U1880" s="28"/>
    </row>
    <row r="1881" ht="15.75" customHeight="1">
      <c r="P1881" s="25"/>
      <c r="Q1881" s="25"/>
      <c r="R1881" s="25"/>
      <c r="S1881" s="25"/>
      <c r="T1881" s="141"/>
      <c r="U1881" s="28"/>
    </row>
    <row r="1882" ht="15.75" customHeight="1">
      <c r="P1882" s="25"/>
      <c r="Q1882" s="25"/>
      <c r="R1882" s="25"/>
      <c r="S1882" s="25"/>
      <c r="T1882" s="141"/>
      <c r="U1882" s="28"/>
    </row>
    <row r="1883" ht="15.75" customHeight="1">
      <c r="P1883" s="25"/>
      <c r="Q1883" s="25"/>
      <c r="R1883" s="25"/>
      <c r="S1883" s="25"/>
      <c r="T1883" s="141"/>
      <c r="U1883" s="28"/>
    </row>
    <row r="1884" ht="15.75" customHeight="1">
      <c r="P1884" s="25"/>
      <c r="Q1884" s="25"/>
      <c r="R1884" s="25"/>
      <c r="S1884" s="25"/>
      <c r="T1884" s="141"/>
      <c r="U1884" s="28"/>
    </row>
    <row r="1885" ht="15.75" customHeight="1">
      <c r="P1885" s="25"/>
      <c r="Q1885" s="25"/>
      <c r="R1885" s="25"/>
      <c r="S1885" s="25"/>
      <c r="T1885" s="141"/>
      <c r="U1885" s="28"/>
    </row>
    <row r="1886" ht="15.75" customHeight="1">
      <c r="P1886" s="25"/>
      <c r="Q1886" s="25"/>
      <c r="R1886" s="25"/>
      <c r="S1886" s="25"/>
      <c r="T1886" s="141"/>
      <c r="U1886" s="28"/>
    </row>
    <row r="1887" ht="15.75" customHeight="1">
      <c r="P1887" s="25"/>
      <c r="Q1887" s="25"/>
      <c r="R1887" s="25"/>
      <c r="S1887" s="25"/>
      <c r="T1887" s="141"/>
      <c r="U1887" s="28"/>
    </row>
    <row r="1888" ht="15.75" customHeight="1">
      <c r="P1888" s="25"/>
      <c r="Q1888" s="25"/>
      <c r="R1888" s="25"/>
      <c r="S1888" s="25"/>
      <c r="T1888" s="141"/>
      <c r="U1888" s="28"/>
    </row>
    <row r="1889" ht="15.75" customHeight="1">
      <c r="P1889" s="25"/>
      <c r="Q1889" s="25"/>
      <c r="R1889" s="25"/>
      <c r="S1889" s="25"/>
      <c r="T1889" s="141"/>
      <c r="U1889" s="28"/>
    </row>
    <row r="1890" ht="15.75" customHeight="1">
      <c r="P1890" s="25"/>
      <c r="Q1890" s="25"/>
      <c r="R1890" s="25"/>
      <c r="S1890" s="25"/>
      <c r="T1890" s="141"/>
      <c r="U1890" s="28"/>
    </row>
    <row r="1891" ht="15.75" customHeight="1">
      <c r="P1891" s="25"/>
      <c r="Q1891" s="25"/>
      <c r="R1891" s="25"/>
      <c r="S1891" s="25"/>
      <c r="T1891" s="141"/>
      <c r="U1891" s="28"/>
    </row>
    <row r="1892" ht="15.75" customHeight="1">
      <c r="P1892" s="25"/>
      <c r="Q1892" s="25"/>
      <c r="R1892" s="25"/>
      <c r="S1892" s="25"/>
      <c r="T1892" s="141"/>
      <c r="U1892" s="28"/>
    </row>
    <row r="1893" ht="15.75" customHeight="1">
      <c r="P1893" s="25"/>
      <c r="Q1893" s="25"/>
      <c r="R1893" s="25"/>
      <c r="S1893" s="25"/>
      <c r="T1893" s="141"/>
      <c r="U1893" s="28"/>
    </row>
    <row r="1894" ht="15.75" customHeight="1">
      <c r="P1894" s="25"/>
      <c r="Q1894" s="25"/>
      <c r="R1894" s="25"/>
      <c r="S1894" s="25"/>
      <c r="T1894" s="141"/>
      <c r="U1894" s="28"/>
    </row>
    <row r="1895" ht="15.75" customHeight="1">
      <c r="P1895" s="25"/>
      <c r="Q1895" s="25"/>
      <c r="R1895" s="25"/>
      <c r="S1895" s="25"/>
      <c r="T1895" s="141"/>
      <c r="U1895" s="28"/>
    </row>
    <row r="1896" ht="15.75" customHeight="1">
      <c r="P1896" s="25"/>
      <c r="Q1896" s="25"/>
      <c r="R1896" s="25"/>
      <c r="S1896" s="25"/>
      <c r="T1896" s="141"/>
      <c r="U1896" s="28"/>
    </row>
    <row r="1897" ht="15.75" customHeight="1">
      <c r="P1897" s="25"/>
      <c r="Q1897" s="25"/>
      <c r="R1897" s="25"/>
      <c r="S1897" s="25"/>
      <c r="T1897" s="141"/>
      <c r="U1897" s="28"/>
    </row>
    <row r="1898" ht="15.75" customHeight="1">
      <c r="P1898" s="25"/>
      <c r="Q1898" s="25"/>
      <c r="R1898" s="25"/>
      <c r="S1898" s="25"/>
      <c r="T1898" s="141"/>
      <c r="U1898" s="28"/>
    </row>
    <row r="1899" ht="15.75" customHeight="1">
      <c r="P1899" s="25"/>
      <c r="Q1899" s="25"/>
      <c r="R1899" s="25"/>
      <c r="S1899" s="25"/>
      <c r="T1899" s="141"/>
      <c r="U1899" s="28"/>
    </row>
    <row r="1900" ht="15.75" customHeight="1">
      <c r="P1900" s="25"/>
      <c r="Q1900" s="25"/>
      <c r="R1900" s="25"/>
      <c r="S1900" s="25"/>
      <c r="T1900" s="141"/>
      <c r="U1900" s="28"/>
    </row>
    <row r="1901" ht="15.75" customHeight="1">
      <c r="P1901" s="25"/>
      <c r="Q1901" s="25"/>
      <c r="R1901" s="25"/>
      <c r="S1901" s="25"/>
      <c r="T1901" s="141"/>
      <c r="U1901" s="28"/>
    </row>
    <row r="1902" ht="15.75" customHeight="1">
      <c r="P1902" s="25"/>
      <c r="Q1902" s="25"/>
      <c r="R1902" s="25"/>
      <c r="S1902" s="25"/>
      <c r="T1902" s="141"/>
      <c r="U1902" s="28"/>
    </row>
    <row r="1903" ht="15.75" customHeight="1">
      <c r="P1903" s="25"/>
      <c r="Q1903" s="25"/>
      <c r="R1903" s="25"/>
      <c r="S1903" s="25"/>
      <c r="T1903" s="141"/>
      <c r="U1903" s="28"/>
    </row>
    <row r="1904" ht="15.75" customHeight="1">
      <c r="P1904" s="25"/>
      <c r="Q1904" s="25"/>
      <c r="R1904" s="25"/>
      <c r="S1904" s="25"/>
      <c r="T1904" s="141"/>
      <c r="U1904" s="28"/>
    </row>
    <row r="1905" ht="15.75" customHeight="1">
      <c r="P1905" s="25"/>
      <c r="Q1905" s="25"/>
      <c r="R1905" s="25"/>
      <c r="S1905" s="25"/>
      <c r="T1905" s="141"/>
      <c r="U1905" s="28"/>
    </row>
    <row r="1906" ht="15.75" customHeight="1">
      <c r="P1906" s="25"/>
      <c r="Q1906" s="25"/>
      <c r="R1906" s="25"/>
      <c r="S1906" s="25"/>
      <c r="T1906" s="141"/>
      <c r="U1906" s="28"/>
    </row>
    <row r="1907" ht="15.75" customHeight="1">
      <c r="P1907" s="25"/>
      <c r="Q1907" s="25"/>
      <c r="R1907" s="25"/>
      <c r="S1907" s="25"/>
      <c r="T1907" s="141"/>
      <c r="U1907" s="28"/>
    </row>
    <row r="1908" ht="15.75" customHeight="1">
      <c r="P1908" s="25"/>
      <c r="Q1908" s="25"/>
      <c r="R1908" s="25"/>
      <c r="S1908" s="25"/>
      <c r="T1908" s="141"/>
      <c r="U1908" s="28"/>
    </row>
    <row r="1909" ht="15.75" customHeight="1">
      <c r="P1909" s="25"/>
      <c r="Q1909" s="25"/>
      <c r="R1909" s="25"/>
      <c r="S1909" s="25"/>
      <c r="T1909" s="141"/>
      <c r="U1909" s="28"/>
    </row>
    <row r="1910" ht="15.75" customHeight="1">
      <c r="P1910" s="25"/>
      <c r="Q1910" s="25"/>
      <c r="R1910" s="25"/>
      <c r="S1910" s="25"/>
      <c r="T1910" s="141"/>
      <c r="U1910" s="28"/>
    </row>
    <row r="1911" ht="15.75" customHeight="1">
      <c r="P1911" s="25"/>
      <c r="Q1911" s="25"/>
      <c r="R1911" s="25"/>
      <c r="S1911" s="25"/>
      <c r="T1911" s="141"/>
      <c r="U1911" s="28"/>
    </row>
    <row r="1912" ht="15.75" customHeight="1">
      <c r="P1912" s="25"/>
      <c r="Q1912" s="25"/>
      <c r="R1912" s="25"/>
      <c r="S1912" s="25"/>
      <c r="T1912" s="141"/>
      <c r="U1912" s="28"/>
    </row>
    <row r="1913" ht="15.75" customHeight="1">
      <c r="P1913" s="25"/>
      <c r="Q1913" s="25"/>
      <c r="R1913" s="25"/>
      <c r="S1913" s="25"/>
      <c r="T1913" s="141"/>
      <c r="U1913" s="28"/>
    </row>
    <row r="1914" ht="15.75" customHeight="1">
      <c r="P1914" s="25"/>
      <c r="Q1914" s="25"/>
      <c r="R1914" s="25"/>
      <c r="S1914" s="25"/>
      <c r="T1914" s="141"/>
      <c r="U1914" s="28"/>
    </row>
    <row r="1915" ht="15.75" customHeight="1">
      <c r="P1915" s="25"/>
      <c r="Q1915" s="25"/>
      <c r="R1915" s="25"/>
      <c r="S1915" s="25"/>
      <c r="T1915" s="141"/>
      <c r="U1915" s="28"/>
    </row>
    <row r="1916" ht="15.75" customHeight="1">
      <c r="P1916" s="25"/>
      <c r="Q1916" s="25"/>
      <c r="R1916" s="25"/>
      <c r="S1916" s="25"/>
      <c r="T1916" s="141"/>
      <c r="U1916" s="28"/>
    </row>
    <row r="1917" ht="15.75" customHeight="1">
      <c r="P1917" s="25"/>
      <c r="Q1917" s="25"/>
      <c r="R1917" s="25"/>
      <c r="S1917" s="25"/>
      <c r="T1917" s="141"/>
      <c r="U1917" s="28"/>
    </row>
    <row r="1918" ht="15.75" customHeight="1">
      <c r="P1918" s="25"/>
      <c r="Q1918" s="25"/>
      <c r="R1918" s="25"/>
      <c r="S1918" s="25"/>
      <c r="T1918" s="141"/>
      <c r="U1918" s="28"/>
    </row>
    <row r="1919" ht="15.75" customHeight="1">
      <c r="P1919" s="25"/>
      <c r="Q1919" s="25"/>
      <c r="R1919" s="25"/>
      <c r="S1919" s="25"/>
      <c r="T1919" s="141"/>
      <c r="U1919" s="28"/>
    </row>
    <row r="1920" ht="15.75" customHeight="1">
      <c r="P1920" s="25"/>
      <c r="Q1920" s="25"/>
      <c r="R1920" s="25"/>
      <c r="S1920" s="25"/>
      <c r="T1920" s="141"/>
      <c r="U1920" s="28"/>
    </row>
    <row r="1921" ht="15.75" customHeight="1">
      <c r="P1921" s="25"/>
      <c r="Q1921" s="25"/>
      <c r="R1921" s="25"/>
      <c r="S1921" s="25"/>
      <c r="T1921" s="141"/>
      <c r="U1921" s="28"/>
    </row>
    <row r="1922" ht="15.75" customHeight="1">
      <c r="P1922" s="25"/>
      <c r="Q1922" s="25"/>
      <c r="R1922" s="25"/>
      <c r="S1922" s="25"/>
      <c r="T1922" s="141"/>
      <c r="U1922" s="28"/>
    </row>
    <row r="1923" ht="15.75" customHeight="1">
      <c r="P1923" s="25"/>
      <c r="Q1923" s="25"/>
      <c r="R1923" s="25"/>
      <c r="S1923" s="25"/>
      <c r="T1923" s="141"/>
      <c r="U1923" s="28"/>
    </row>
    <row r="1924" ht="15.75" customHeight="1">
      <c r="P1924" s="25"/>
      <c r="Q1924" s="25"/>
      <c r="R1924" s="25"/>
      <c r="S1924" s="25"/>
      <c r="T1924" s="141"/>
      <c r="U1924" s="28"/>
    </row>
    <row r="1925" ht="15.75" customHeight="1">
      <c r="P1925" s="25"/>
      <c r="Q1925" s="25"/>
      <c r="R1925" s="25"/>
      <c r="S1925" s="25"/>
      <c r="T1925" s="141"/>
      <c r="U1925" s="28"/>
    </row>
    <row r="1926" ht="15.75" customHeight="1">
      <c r="P1926" s="25"/>
      <c r="Q1926" s="25"/>
      <c r="R1926" s="25"/>
      <c r="S1926" s="25"/>
      <c r="T1926" s="141"/>
      <c r="U1926" s="28"/>
    </row>
    <row r="1927" ht="15.75" customHeight="1">
      <c r="P1927" s="25"/>
      <c r="Q1927" s="25"/>
      <c r="R1927" s="25"/>
      <c r="S1927" s="25"/>
      <c r="T1927" s="141"/>
      <c r="U1927" s="28"/>
    </row>
    <row r="1928" ht="15.75" customHeight="1">
      <c r="P1928" s="25"/>
      <c r="Q1928" s="25"/>
      <c r="R1928" s="25"/>
      <c r="S1928" s="25"/>
      <c r="T1928" s="141"/>
      <c r="U1928" s="28"/>
    </row>
    <row r="1929" ht="15.75" customHeight="1">
      <c r="P1929" s="25"/>
      <c r="Q1929" s="25"/>
      <c r="R1929" s="25"/>
      <c r="S1929" s="25"/>
      <c r="T1929" s="141"/>
      <c r="U1929" s="28"/>
    </row>
    <row r="1930" ht="15.75" customHeight="1">
      <c r="P1930" s="25"/>
      <c r="Q1930" s="25"/>
      <c r="R1930" s="25"/>
      <c r="S1930" s="25"/>
      <c r="T1930" s="141"/>
      <c r="U1930" s="28"/>
    </row>
    <row r="1931" ht="15.75" customHeight="1">
      <c r="P1931" s="25"/>
      <c r="Q1931" s="25"/>
      <c r="R1931" s="25"/>
      <c r="S1931" s="25"/>
      <c r="T1931" s="141"/>
      <c r="U1931" s="28"/>
    </row>
    <row r="1932" ht="15.75" customHeight="1">
      <c r="P1932" s="25"/>
      <c r="Q1932" s="25"/>
      <c r="R1932" s="25"/>
      <c r="S1932" s="25"/>
      <c r="T1932" s="141"/>
      <c r="U1932" s="28"/>
    </row>
    <row r="1933" ht="15.75" customHeight="1">
      <c r="P1933" s="25"/>
      <c r="Q1933" s="25"/>
      <c r="R1933" s="25"/>
      <c r="S1933" s="25"/>
      <c r="T1933" s="141"/>
      <c r="U1933" s="28"/>
    </row>
    <row r="1934" ht="15.75" customHeight="1">
      <c r="P1934" s="25"/>
      <c r="Q1934" s="25"/>
      <c r="R1934" s="25"/>
      <c r="S1934" s="25"/>
      <c r="T1934" s="141"/>
      <c r="U1934" s="28"/>
    </row>
    <row r="1935" ht="15.75" customHeight="1">
      <c r="P1935" s="25"/>
      <c r="Q1935" s="25"/>
      <c r="R1935" s="25"/>
      <c r="S1935" s="25"/>
      <c r="T1935" s="141"/>
      <c r="U1935" s="28"/>
    </row>
    <row r="1936" ht="15.75" customHeight="1">
      <c r="P1936" s="25"/>
      <c r="Q1936" s="25"/>
      <c r="R1936" s="25"/>
      <c r="S1936" s="25"/>
      <c r="T1936" s="141"/>
      <c r="U1936" s="28"/>
    </row>
    <row r="1937" ht="15.75" customHeight="1">
      <c r="P1937" s="25"/>
      <c r="Q1937" s="25"/>
      <c r="R1937" s="25"/>
      <c r="S1937" s="25"/>
      <c r="T1937" s="141"/>
      <c r="U1937" s="28"/>
    </row>
    <row r="1938" ht="15.75" customHeight="1">
      <c r="P1938" s="25"/>
      <c r="Q1938" s="25"/>
      <c r="R1938" s="25"/>
      <c r="S1938" s="25"/>
      <c r="T1938" s="141"/>
      <c r="U1938" s="28"/>
    </row>
    <row r="1939" ht="15.75" customHeight="1">
      <c r="P1939" s="25"/>
      <c r="Q1939" s="25"/>
      <c r="R1939" s="25"/>
      <c r="S1939" s="25"/>
      <c r="T1939" s="141"/>
      <c r="U1939" s="28"/>
    </row>
    <row r="1940" ht="15.75" customHeight="1">
      <c r="P1940" s="25"/>
      <c r="Q1940" s="25"/>
      <c r="R1940" s="25"/>
      <c r="S1940" s="25"/>
      <c r="T1940" s="141"/>
      <c r="U1940" s="28"/>
    </row>
    <row r="1941" ht="15.75" customHeight="1">
      <c r="P1941" s="25"/>
      <c r="Q1941" s="25"/>
      <c r="R1941" s="25"/>
      <c r="S1941" s="25"/>
      <c r="T1941" s="141"/>
      <c r="U1941" s="28"/>
    </row>
    <row r="1942" ht="15.75" customHeight="1">
      <c r="P1942" s="25"/>
      <c r="Q1942" s="25"/>
      <c r="R1942" s="25"/>
      <c r="S1942" s="25"/>
      <c r="T1942" s="141"/>
      <c r="U1942" s="28"/>
    </row>
    <row r="1943" ht="15.75" customHeight="1">
      <c r="P1943" s="25"/>
      <c r="Q1943" s="25"/>
      <c r="R1943" s="25"/>
      <c r="S1943" s="25"/>
      <c r="T1943" s="141"/>
      <c r="U1943" s="28"/>
    </row>
    <row r="1944" ht="15.75" customHeight="1">
      <c r="P1944" s="25"/>
      <c r="Q1944" s="25"/>
      <c r="R1944" s="25"/>
      <c r="S1944" s="25"/>
      <c r="T1944" s="141"/>
      <c r="U1944" s="28"/>
    </row>
    <row r="1945" ht="15.75" customHeight="1">
      <c r="P1945" s="25"/>
      <c r="Q1945" s="25"/>
      <c r="R1945" s="25"/>
      <c r="S1945" s="25"/>
      <c r="T1945" s="141"/>
      <c r="U1945" s="28"/>
    </row>
    <row r="1946" ht="15.75" customHeight="1">
      <c r="P1946" s="25"/>
      <c r="Q1946" s="25"/>
      <c r="R1946" s="25"/>
      <c r="S1946" s="25"/>
      <c r="T1946" s="141"/>
      <c r="U1946" s="28"/>
    </row>
    <row r="1947" ht="15.75" customHeight="1">
      <c r="P1947" s="25"/>
      <c r="Q1947" s="25"/>
      <c r="R1947" s="25"/>
      <c r="S1947" s="25"/>
      <c r="T1947" s="141"/>
      <c r="U1947" s="28"/>
    </row>
    <row r="1948" ht="15.75" customHeight="1">
      <c r="P1948" s="25"/>
      <c r="Q1948" s="25"/>
      <c r="R1948" s="25"/>
      <c r="S1948" s="25"/>
      <c r="T1948" s="141"/>
      <c r="U1948" s="28"/>
    </row>
    <row r="1949" ht="15.75" customHeight="1">
      <c r="P1949" s="25"/>
      <c r="Q1949" s="25"/>
      <c r="R1949" s="25"/>
      <c r="S1949" s="25"/>
      <c r="T1949" s="141"/>
      <c r="U1949" s="28"/>
    </row>
    <row r="1950" ht="15.75" customHeight="1">
      <c r="P1950" s="25"/>
      <c r="Q1950" s="25"/>
      <c r="R1950" s="25"/>
      <c r="S1950" s="25"/>
      <c r="T1950" s="141"/>
      <c r="U1950" s="28"/>
    </row>
    <row r="1951" ht="15.75" customHeight="1">
      <c r="P1951" s="25"/>
      <c r="Q1951" s="25"/>
      <c r="R1951" s="25"/>
      <c r="S1951" s="25"/>
      <c r="T1951" s="141"/>
      <c r="U1951" s="28"/>
    </row>
    <row r="1952" ht="15.75" customHeight="1">
      <c r="P1952" s="25"/>
      <c r="Q1952" s="25"/>
      <c r="R1952" s="25"/>
      <c r="S1952" s="25"/>
      <c r="T1952" s="141"/>
      <c r="U1952" s="28"/>
    </row>
    <row r="1953" ht="15.75" customHeight="1">
      <c r="P1953" s="25"/>
      <c r="Q1953" s="25"/>
      <c r="R1953" s="25"/>
      <c r="S1953" s="25"/>
      <c r="T1953" s="141"/>
      <c r="U1953" s="28"/>
    </row>
    <row r="1954" ht="15.75" customHeight="1">
      <c r="P1954" s="25"/>
      <c r="Q1954" s="25"/>
      <c r="R1954" s="25"/>
      <c r="S1954" s="25"/>
      <c r="T1954" s="141"/>
      <c r="U1954" s="28"/>
    </row>
    <row r="1955" ht="15.75" customHeight="1">
      <c r="P1955" s="25"/>
      <c r="Q1955" s="25"/>
      <c r="R1955" s="25"/>
      <c r="S1955" s="25"/>
      <c r="T1955" s="141"/>
      <c r="U1955" s="28"/>
    </row>
    <row r="1956" ht="15.75" customHeight="1">
      <c r="P1956" s="25"/>
      <c r="Q1956" s="25"/>
      <c r="R1956" s="25"/>
      <c r="S1956" s="25"/>
      <c r="T1956" s="141"/>
      <c r="U1956" s="28"/>
    </row>
    <row r="1957" ht="15.75" customHeight="1">
      <c r="P1957" s="25"/>
      <c r="Q1957" s="25"/>
      <c r="R1957" s="25"/>
      <c r="S1957" s="25"/>
      <c r="T1957" s="141"/>
      <c r="U1957" s="28"/>
    </row>
    <row r="1958" ht="15.75" customHeight="1">
      <c r="P1958" s="25"/>
      <c r="Q1958" s="25"/>
      <c r="R1958" s="25"/>
      <c r="S1958" s="25"/>
      <c r="T1958" s="141"/>
      <c r="U1958" s="28"/>
    </row>
    <row r="1959" ht="15.75" customHeight="1">
      <c r="P1959" s="25"/>
      <c r="Q1959" s="25"/>
      <c r="R1959" s="25"/>
      <c r="S1959" s="25"/>
      <c r="T1959" s="141"/>
      <c r="U1959" s="28"/>
    </row>
    <row r="1960" ht="15.75" customHeight="1">
      <c r="P1960" s="25"/>
      <c r="Q1960" s="25"/>
      <c r="R1960" s="25"/>
      <c r="S1960" s="25"/>
      <c r="T1960" s="141"/>
      <c r="U1960" s="28"/>
    </row>
    <row r="1961" ht="15.75" customHeight="1">
      <c r="P1961" s="25"/>
      <c r="Q1961" s="25"/>
      <c r="R1961" s="25"/>
      <c r="S1961" s="25"/>
      <c r="T1961" s="141"/>
      <c r="U1961" s="28"/>
    </row>
    <row r="1962" ht="15.75" customHeight="1">
      <c r="P1962" s="25"/>
      <c r="Q1962" s="25"/>
      <c r="R1962" s="25"/>
      <c r="S1962" s="25"/>
      <c r="T1962" s="141"/>
      <c r="U1962" s="28"/>
    </row>
    <row r="1963" ht="15.75" customHeight="1">
      <c r="P1963" s="25"/>
      <c r="Q1963" s="25"/>
      <c r="R1963" s="25"/>
      <c r="S1963" s="25"/>
      <c r="T1963" s="141"/>
      <c r="U1963" s="28"/>
    </row>
    <row r="1964" ht="15.75" customHeight="1">
      <c r="P1964" s="25"/>
      <c r="Q1964" s="25"/>
      <c r="R1964" s="25"/>
      <c r="S1964" s="25"/>
      <c r="T1964" s="141"/>
      <c r="U1964" s="28"/>
    </row>
    <row r="1965" ht="15.75" customHeight="1">
      <c r="P1965" s="25"/>
      <c r="Q1965" s="25"/>
      <c r="R1965" s="25"/>
      <c r="S1965" s="25"/>
      <c r="T1965" s="141"/>
      <c r="U1965" s="28"/>
    </row>
    <row r="1966" ht="15.75" customHeight="1">
      <c r="P1966" s="25"/>
      <c r="Q1966" s="25"/>
      <c r="R1966" s="25"/>
      <c r="S1966" s="25"/>
      <c r="T1966" s="141"/>
      <c r="U1966" s="28"/>
    </row>
    <row r="1967" ht="15.75" customHeight="1">
      <c r="P1967" s="25"/>
      <c r="Q1967" s="25"/>
      <c r="R1967" s="25"/>
      <c r="S1967" s="25"/>
      <c r="T1967" s="141"/>
      <c r="U1967" s="28"/>
    </row>
    <row r="1968" ht="15.75" customHeight="1">
      <c r="P1968" s="25"/>
      <c r="Q1968" s="25"/>
      <c r="R1968" s="25"/>
      <c r="S1968" s="25"/>
      <c r="T1968" s="141"/>
      <c r="U1968" s="28"/>
    </row>
    <row r="1969" ht="15.75" customHeight="1">
      <c r="P1969" s="25"/>
      <c r="Q1969" s="25"/>
      <c r="R1969" s="25"/>
      <c r="S1969" s="25"/>
      <c r="T1969" s="141"/>
      <c r="U1969" s="28"/>
    </row>
    <row r="1970" ht="15.75" customHeight="1">
      <c r="P1970" s="25"/>
      <c r="Q1970" s="25"/>
      <c r="R1970" s="25"/>
      <c r="S1970" s="25"/>
      <c r="T1970" s="141"/>
      <c r="U1970" s="28"/>
    </row>
    <row r="1971" ht="15.75" customHeight="1">
      <c r="P1971" s="25"/>
      <c r="Q1971" s="25"/>
      <c r="R1971" s="25"/>
      <c r="S1971" s="25"/>
      <c r="T1971" s="141"/>
      <c r="U1971" s="28"/>
    </row>
    <row r="1972" ht="15.75" customHeight="1">
      <c r="P1972" s="25"/>
      <c r="Q1972" s="25"/>
      <c r="R1972" s="25"/>
      <c r="S1972" s="25"/>
      <c r="T1972" s="141"/>
      <c r="U1972" s="28"/>
    </row>
    <row r="1973" ht="15.75" customHeight="1">
      <c r="P1973" s="25"/>
      <c r="Q1973" s="25"/>
      <c r="R1973" s="25"/>
      <c r="S1973" s="25"/>
      <c r="T1973" s="141"/>
      <c r="U1973" s="28"/>
    </row>
    <row r="1974" ht="15.75" customHeight="1">
      <c r="P1974" s="25"/>
      <c r="Q1974" s="25"/>
      <c r="R1974" s="25"/>
      <c r="S1974" s="25"/>
      <c r="T1974" s="141"/>
      <c r="U1974" s="28"/>
    </row>
    <row r="1975" ht="15.75" customHeight="1">
      <c r="P1975" s="25"/>
      <c r="Q1975" s="25"/>
      <c r="R1975" s="25"/>
      <c r="S1975" s="25"/>
      <c r="T1975" s="141"/>
      <c r="U1975" s="28"/>
    </row>
    <row r="1976" ht="15.75" customHeight="1">
      <c r="P1976" s="25"/>
      <c r="Q1976" s="25"/>
      <c r="R1976" s="25"/>
      <c r="S1976" s="25"/>
      <c r="T1976" s="141"/>
      <c r="U1976" s="28"/>
    </row>
    <row r="1977" ht="15.75" customHeight="1">
      <c r="P1977" s="25"/>
      <c r="Q1977" s="25"/>
      <c r="R1977" s="25"/>
      <c r="S1977" s="25"/>
      <c r="T1977" s="141"/>
      <c r="U1977" s="28"/>
    </row>
    <row r="1978" ht="15.75" customHeight="1">
      <c r="P1978" s="25"/>
      <c r="Q1978" s="25"/>
      <c r="R1978" s="25"/>
      <c r="S1978" s="25"/>
      <c r="T1978" s="141"/>
      <c r="U1978" s="28"/>
    </row>
    <row r="1979" ht="15.75" customHeight="1">
      <c r="P1979" s="25"/>
      <c r="Q1979" s="25"/>
      <c r="R1979" s="25"/>
      <c r="S1979" s="25"/>
      <c r="T1979" s="141"/>
      <c r="U1979" s="28"/>
    </row>
    <row r="1980" ht="15.75" customHeight="1">
      <c r="P1980" s="25"/>
      <c r="Q1980" s="25"/>
      <c r="R1980" s="25"/>
      <c r="S1980" s="25"/>
      <c r="T1980" s="141"/>
      <c r="U1980" s="28"/>
    </row>
    <row r="1981" ht="15.75" customHeight="1">
      <c r="P1981" s="25"/>
      <c r="Q1981" s="25"/>
      <c r="R1981" s="25"/>
      <c r="S1981" s="25"/>
      <c r="T1981" s="141"/>
      <c r="U1981" s="28"/>
    </row>
    <row r="1982" ht="15.75" customHeight="1">
      <c r="P1982" s="25"/>
      <c r="Q1982" s="25"/>
      <c r="R1982" s="25"/>
      <c r="S1982" s="25"/>
      <c r="T1982" s="141"/>
      <c r="U1982" s="28"/>
    </row>
    <row r="1983" ht="15.75" customHeight="1">
      <c r="P1983" s="25"/>
      <c r="Q1983" s="25"/>
      <c r="R1983" s="25"/>
      <c r="S1983" s="25"/>
      <c r="T1983" s="141"/>
      <c r="U1983" s="28"/>
    </row>
    <row r="1984" ht="15.75" customHeight="1">
      <c r="P1984" s="25"/>
      <c r="Q1984" s="25"/>
      <c r="R1984" s="25"/>
      <c r="S1984" s="25"/>
      <c r="T1984" s="141"/>
      <c r="U1984" s="28"/>
    </row>
    <row r="1985" ht="15.75" customHeight="1">
      <c r="P1985" s="25"/>
      <c r="Q1985" s="25"/>
      <c r="R1985" s="25"/>
      <c r="S1985" s="25"/>
      <c r="T1985" s="141"/>
      <c r="U1985" s="28"/>
    </row>
    <row r="1986" ht="15.75" customHeight="1">
      <c r="P1986" s="25"/>
      <c r="Q1986" s="25"/>
      <c r="R1986" s="25"/>
      <c r="S1986" s="25"/>
      <c r="T1986" s="141"/>
      <c r="U1986" s="28"/>
    </row>
    <row r="1987" ht="15.75" customHeight="1">
      <c r="P1987" s="25"/>
      <c r="Q1987" s="25"/>
      <c r="R1987" s="25"/>
      <c r="S1987" s="25"/>
      <c r="T1987" s="141"/>
      <c r="U1987" s="28"/>
    </row>
    <row r="1988" ht="15.75" customHeight="1">
      <c r="P1988" s="25"/>
      <c r="Q1988" s="25"/>
      <c r="R1988" s="25"/>
      <c r="S1988" s="25"/>
      <c r="T1988" s="141"/>
      <c r="U1988" s="28"/>
    </row>
    <row r="1989" ht="15.75" customHeight="1">
      <c r="P1989" s="25"/>
      <c r="Q1989" s="25"/>
      <c r="R1989" s="25"/>
      <c r="S1989" s="25"/>
      <c r="T1989" s="141"/>
      <c r="U1989" s="28"/>
    </row>
    <row r="1990" ht="15.75" customHeight="1">
      <c r="P1990" s="25"/>
      <c r="Q1990" s="25"/>
      <c r="R1990" s="25"/>
      <c r="S1990" s="25"/>
      <c r="T1990" s="141"/>
      <c r="U1990" s="28"/>
    </row>
    <row r="1991" ht="15.75" customHeight="1">
      <c r="P1991" s="25"/>
      <c r="Q1991" s="25"/>
      <c r="R1991" s="25"/>
      <c r="S1991" s="25"/>
      <c r="T1991" s="141"/>
      <c r="U1991" s="28"/>
    </row>
    <row r="1992" ht="15.75" customHeight="1">
      <c r="P1992" s="25"/>
      <c r="Q1992" s="25"/>
      <c r="R1992" s="25"/>
      <c r="S1992" s="25"/>
      <c r="T1992" s="141"/>
      <c r="U1992" s="28"/>
    </row>
    <row r="1993" ht="15.75" customHeight="1">
      <c r="P1993" s="25"/>
      <c r="Q1993" s="25"/>
      <c r="R1993" s="25"/>
      <c r="S1993" s="25"/>
      <c r="T1993" s="141"/>
      <c r="U1993" s="28"/>
    </row>
    <row r="1994" ht="15.75" customHeight="1">
      <c r="P1994" s="25"/>
      <c r="Q1994" s="25"/>
      <c r="R1994" s="25"/>
      <c r="S1994" s="25"/>
      <c r="T1994" s="141"/>
      <c r="U1994" s="28"/>
    </row>
    <row r="1995" ht="15.75" customHeight="1">
      <c r="P1995" s="25"/>
      <c r="Q1995" s="25"/>
      <c r="R1995" s="25"/>
      <c r="S1995" s="25"/>
      <c r="T1995" s="141"/>
      <c r="U1995" s="28"/>
    </row>
    <row r="1996" ht="15.75" customHeight="1">
      <c r="P1996" s="25"/>
      <c r="Q1996" s="25"/>
      <c r="R1996" s="25"/>
      <c r="S1996" s="25"/>
      <c r="T1996" s="141"/>
      <c r="U1996" s="28"/>
    </row>
    <row r="1997" ht="15.75" customHeight="1">
      <c r="P1997" s="25"/>
      <c r="Q1997" s="25"/>
      <c r="R1997" s="25"/>
      <c r="S1997" s="25"/>
      <c r="T1997" s="141"/>
      <c r="U1997" s="28"/>
    </row>
    <row r="1998" ht="15.75" customHeight="1">
      <c r="P1998" s="25"/>
      <c r="Q1998" s="25"/>
      <c r="R1998" s="25"/>
      <c r="S1998" s="25"/>
      <c r="T1998" s="141"/>
      <c r="U1998" s="28"/>
    </row>
    <row r="1999" ht="15.75" customHeight="1">
      <c r="P1999" s="25"/>
      <c r="Q1999" s="25"/>
      <c r="R1999" s="25"/>
      <c r="S1999" s="25"/>
      <c r="T1999" s="141"/>
      <c r="U1999" s="28"/>
    </row>
    <row r="2000" ht="15.75" customHeight="1">
      <c r="P2000" s="25"/>
      <c r="Q2000" s="25"/>
      <c r="R2000" s="25"/>
      <c r="S2000" s="25"/>
      <c r="T2000" s="141"/>
      <c r="U2000" s="28"/>
    </row>
    <row r="2001" ht="15.75" customHeight="1">
      <c r="P2001" s="25"/>
      <c r="Q2001" s="25"/>
      <c r="R2001" s="25"/>
      <c r="S2001" s="25"/>
      <c r="T2001" s="141"/>
      <c r="U2001" s="28"/>
    </row>
    <row r="2002" ht="15.75" customHeight="1">
      <c r="P2002" s="25"/>
      <c r="Q2002" s="25"/>
      <c r="R2002" s="25"/>
      <c r="S2002" s="25"/>
      <c r="T2002" s="141"/>
      <c r="U2002" s="28"/>
    </row>
    <row r="2003" ht="15.75" customHeight="1">
      <c r="P2003" s="25"/>
      <c r="Q2003" s="25"/>
      <c r="R2003" s="25"/>
      <c r="S2003" s="25"/>
      <c r="T2003" s="141"/>
      <c r="U2003" s="28"/>
    </row>
    <row r="2004" ht="15.75" customHeight="1">
      <c r="P2004" s="25"/>
      <c r="Q2004" s="25"/>
      <c r="R2004" s="25"/>
      <c r="S2004" s="25"/>
      <c r="T2004" s="141"/>
      <c r="U2004" s="28"/>
    </row>
    <row r="2005" ht="15.75" customHeight="1">
      <c r="P2005" s="25"/>
      <c r="Q2005" s="25"/>
      <c r="R2005" s="25"/>
      <c r="S2005" s="25"/>
      <c r="T2005" s="141"/>
      <c r="U2005" s="28"/>
    </row>
    <row r="2006" ht="15.75" customHeight="1">
      <c r="P2006" s="25"/>
      <c r="Q2006" s="25"/>
      <c r="R2006" s="25"/>
      <c r="S2006" s="25"/>
      <c r="T2006" s="141"/>
      <c r="U2006" s="28"/>
    </row>
    <row r="2007" ht="15.75" customHeight="1">
      <c r="P2007" s="25"/>
      <c r="Q2007" s="25"/>
      <c r="R2007" s="25"/>
      <c r="S2007" s="25"/>
      <c r="T2007" s="141"/>
      <c r="U2007" s="28"/>
    </row>
    <row r="2008" ht="15.75" customHeight="1">
      <c r="P2008" s="25"/>
      <c r="Q2008" s="25"/>
      <c r="R2008" s="25"/>
      <c r="S2008" s="25"/>
      <c r="T2008" s="141"/>
      <c r="U2008" s="28"/>
    </row>
    <row r="2009" ht="15.75" customHeight="1">
      <c r="P2009" s="25"/>
      <c r="Q2009" s="25"/>
      <c r="R2009" s="25"/>
      <c r="S2009" s="25"/>
      <c r="T2009" s="141"/>
      <c r="U2009" s="28"/>
    </row>
    <row r="2010" ht="15.75" customHeight="1">
      <c r="P2010" s="25"/>
      <c r="Q2010" s="25"/>
      <c r="R2010" s="25"/>
      <c r="S2010" s="25"/>
      <c r="T2010" s="141"/>
      <c r="U2010" s="28"/>
    </row>
    <row r="2011" ht="15.75" customHeight="1">
      <c r="P2011" s="25"/>
      <c r="Q2011" s="25"/>
      <c r="R2011" s="25"/>
      <c r="S2011" s="25"/>
      <c r="T2011" s="141"/>
      <c r="U2011" s="28"/>
    </row>
    <row r="2012" ht="15.75" customHeight="1">
      <c r="P2012" s="25"/>
      <c r="Q2012" s="25"/>
      <c r="R2012" s="25"/>
      <c r="S2012" s="25"/>
      <c r="T2012" s="141"/>
      <c r="U2012" s="28"/>
    </row>
    <row r="2013" ht="15.75" customHeight="1">
      <c r="P2013" s="25"/>
      <c r="Q2013" s="25"/>
      <c r="R2013" s="25"/>
      <c r="S2013" s="25"/>
      <c r="T2013" s="141"/>
      <c r="U2013" s="28"/>
    </row>
    <row r="2014" ht="15.75" customHeight="1">
      <c r="P2014" s="25"/>
      <c r="Q2014" s="25"/>
      <c r="R2014" s="25"/>
      <c r="S2014" s="25"/>
      <c r="T2014" s="141"/>
      <c r="U2014" s="28"/>
    </row>
    <row r="2015" ht="15.75" customHeight="1">
      <c r="P2015" s="25"/>
      <c r="Q2015" s="25"/>
      <c r="R2015" s="25"/>
      <c r="S2015" s="25"/>
      <c r="T2015" s="141"/>
      <c r="U2015" s="28"/>
    </row>
    <row r="2016" ht="15.75" customHeight="1">
      <c r="P2016" s="25"/>
      <c r="Q2016" s="25"/>
      <c r="R2016" s="25"/>
      <c r="S2016" s="25"/>
      <c r="T2016" s="141"/>
      <c r="U2016" s="28"/>
    </row>
    <row r="2017" ht="15.75" customHeight="1">
      <c r="P2017" s="25"/>
      <c r="Q2017" s="25"/>
      <c r="R2017" s="25"/>
      <c r="S2017" s="25"/>
      <c r="T2017" s="141"/>
      <c r="U2017" s="28"/>
    </row>
    <row r="2018" ht="15.75" customHeight="1">
      <c r="P2018" s="25"/>
      <c r="Q2018" s="25"/>
      <c r="R2018" s="25"/>
      <c r="S2018" s="25"/>
      <c r="T2018" s="141"/>
      <c r="U2018" s="28"/>
    </row>
    <row r="2019" ht="15.75" customHeight="1">
      <c r="P2019" s="25"/>
      <c r="Q2019" s="25"/>
      <c r="R2019" s="25"/>
      <c r="S2019" s="25"/>
      <c r="T2019" s="141"/>
      <c r="U2019" s="28"/>
    </row>
    <row r="2020" ht="15.75" customHeight="1">
      <c r="P2020" s="25"/>
      <c r="Q2020" s="25"/>
      <c r="R2020" s="25"/>
      <c r="S2020" s="25"/>
      <c r="T2020" s="141"/>
      <c r="U2020" s="28"/>
    </row>
    <row r="2021" ht="15.75" customHeight="1">
      <c r="P2021" s="25"/>
      <c r="Q2021" s="25"/>
      <c r="R2021" s="25"/>
      <c r="S2021" s="25"/>
      <c r="T2021" s="141"/>
      <c r="U2021" s="28"/>
    </row>
    <row r="2022" ht="15.75" customHeight="1">
      <c r="P2022" s="25"/>
      <c r="Q2022" s="25"/>
      <c r="R2022" s="25"/>
      <c r="S2022" s="25"/>
      <c r="T2022" s="141"/>
      <c r="U2022" s="28"/>
    </row>
    <row r="2023" ht="15.75" customHeight="1">
      <c r="P2023" s="25"/>
      <c r="Q2023" s="25"/>
      <c r="R2023" s="25"/>
      <c r="S2023" s="25"/>
      <c r="T2023" s="141"/>
      <c r="U2023" s="28"/>
    </row>
    <row r="2024" ht="15.75" customHeight="1">
      <c r="P2024" s="25"/>
      <c r="Q2024" s="25"/>
      <c r="R2024" s="25"/>
      <c r="S2024" s="25"/>
      <c r="T2024" s="141"/>
      <c r="U2024" s="28"/>
    </row>
    <row r="2025" ht="15.75" customHeight="1">
      <c r="P2025" s="25"/>
      <c r="Q2025" s="25"/>
      <c r="R2025" s="25"/>
      <c r="S2025" s="25"/>
      <c r="T2025" s="141"/>
      <c r="U2025" s="28"/>
    </row>
    <row r="2026" ht="15.75" customHeight="1">
      <c r="P2026" s="25"/>
      <c r="Q2026" s="25"/>
      <c r="R2026" s="25"/>
      <c r="S2026" s="25"/>
      <c r="T2026" s="141"/>
      <c r="U2026" s="28"/>
    </row>
    <row r="2027" ht="15.75" customHeight="1">
      <c r="P2027" s="25"/>
      <c r="Q2027" s="25"/>
      <c r="R2027" s="25"/>
      <c r="S2027" s="25"/>
      <c r="T2027" s="141"/>
      <c r="U2027" s="28"/>
    </row>
    <row r="2028" ht="15.75" customHeight="1">
      <c r="P2028" s="25"/>
      <c r="Q2028" s="25"/>
      <c r="R2028" s="25"/>
      <c r="S2028" s="25"/>
      <c r="T2028" s="141"/>
      <c r="U2028" s="28"/>
    </row>
    <row r="2029" ht="15.75" customHeight="1">
      <c r="P2029" s="25"/>
      <c r="Q2029" s="25"/>
      <c r="R2029" s="25"/>
      <c r="S2029" s="25"/>
      <c r="T2029" s="141"/>
      <c r="U2029" s="28"/>
    </row>
    <row r="2030" ht="15.75" customHeight="1">
      <c r="P2030" s="25"/>
      <c r="Q2030" s="25"/>
      <c r="R2030" s="25"/>
      <c r="S2030" s="25"/>
      <c r="T2030" s="141"/>
      <c r="U2030" s="28"/>
    </row>
    <row r="2031" ht="15.75" customHeight="1">
      <c r="P2031" s="25"/>
      <c r="Q2031" s="25"/>
      <c r="R2031" s="25"/>
      <c r="S2031" s="25"/>
      <c r="T2031" s="141"/>
      <c r="U2031" s="28"/>
    </row>
    <row r="2032" ht="15.75" customHeight="1">
      <c r="P2032" s="25"/>
      <c r="Q2032" s="25"/>
      <c r="R2032" s="25"/>
      <c r="S2032" s="25"/>
      <c r="T2032" s="141"/>
      <c r="U2032" s="28"/>
    </row>
    <row r="2033" ht="15.75" customHeight="1">
      <c r="P2033" s="25"/>
      <c r="Q2033" s="25"/>
      <c r="R2033" s="25"/>
      <c r="S2033" s="25"/>
      <c r="T2033" s="141"/>
      <c r="U2033" s="28"/>
    </row>
    <row r="2034" ht="15.75" customHeight="1">
      <c r="P2034" s="25"/>
      <c r="Q2034" s="25"/>
      <c r="R2034" s="25"/>
      <c r="S2034" s="25"/>
      <c r="T2034" s="141"/>
      <c r="U2034" s="28"/>
    </row>
    <row r="2035" ht="15.75" customHeight="1">
      <c r="P2035" s="25"/>
      <c r="Q2035" s="25"/>
      <c r="R2035" s="25"/>
      <c r="S2035" s="25"/>
      <c r="T2035" s="141"/>
      <c r="U2035" s="28"/>
    </row>
    <row r="2036" ht="15.75" customHeight="1">
      <c r="P2036" s="25"/>
      <c r="Q2036" s="25"/>
      <c r="R2036" s="25"/>
      <c r="S2036" s="25"/>
      <c r="T2036" s="141"/>
      <c r="U2036" s="28"/>
    </row>
    <row r="2037" ht="15.75" customHeight="1">
      <c r="P2037" s="25"/>
      <c r="Q2037" s="25"/>
      <c r="R2037" s="25"/>
      <c r="S2037" s="25"/>
      <c r="T2037" s="141"/>
      <c r="U2037" s="28"/>
    </row>
    <row r="2038" ht="15.75" customHeight="1">
      <c r="P2038" s="25"/>
      <c r="Q2038" s="25"/>
      <c r="R2038" s="25"/>
      <c r="S2038" s="25"/>
      <c r="T2038" s="141"/>
      <c r="U2038" s="28"/>
    </row>
    <row r="2039" ht="15.75" customHeight="1">
      <c r="P2039" s="25"/>
      <c r="Q2039" s="25"/>
      <c r="R2039" s="25"/>
      <c r="S2039" s="25"/>
      <c r="T2039" s="141"/>
      <c r="U2039" s="28"/>
    </row>
    <row r="2040" ht="15.75" customHeight="1">
      <c r="P2040" s="25"/>
      <c r="Q2040" s="25"/>
      <c r="R2040" s="25"/>
      <c r="S2040" s="25"/>
      <c r="T2040" s="141"/>
      <c r="U2040" s="28"/>
    </row>
    <row r="2041" ht="15.75" customHeight="1">
      <c r="P2041" s="25"/>
      <c r="Q2041" s="25"/>
      <c r="R2041" s="25"/>
      <c r="S2041" s="25"/>
      <c r="T2041" s="141"/>
      <c r="U2041" s="28"/>
    </row>
    <row r="2042" ht="15.75" customHeight="1">
      <c r="P2042" s="25"/>
      <c r="Q2042" s="25"/>
      <c r="R2042" s="25"/>
      <c r="S2042" s="25"/>
      <c r="T2042" s="141"/>
      <c r="U2042" s="28"/>
    </row>
    <row r="2043" ht="15.75" customHeight="1">
      <c r="P2043" s="25"/>
      <c r="Q2043" s="25"/>
      <c r="R2043" s="25"/>
      <c r="S2043" s="25"/>
      <c r="T2043" s="141"/>
      <c r="U2043" s="28"/>
    </row>
    <row r="2044" ht="15.75" customHeight="1">
      <c r="P2044" s="25"/>
      <c r="Q2044" s="25"/>
      <c r="R2044" s="25"/>
      <c r="S2044" s="25"/>
      <c r="T2044" s="141"/>
      <c r="U2044" s="28"/>
    </row>
    <row r="2045" ht="15.75" customHeight="1">
      <c r="P2045" s="25"/>
      <c r="Q2045" s="25"/>
      <c r="R2045" s="25"/>
      <c r="S2045" s="25"/>
      <c r="T2045" s="141"/>
      <c r="U2045" s="28"/>
    </row>
    <row r="2046" ht="15.75" customHeight="1">
      <c r="P2046" s="25"/>
      <c r="Q2046" s="25"/>
      <c r="R2046" s="25"/>
      <c r="S2046" s="25"/>
      <c r="T2046" s="141"/>
      <c r="U2046" s="28"/>
    </row>
    <row r="2047" ht="15.75" customHeight="1">
      <c r="P2047" s="25"/>
      <c r="Q2047" s="25"/>
      <c r="R2047" s="25"/>
      <c r="S2047" s="25"/>
      <c r="T2047" s="141"/>
      <c r="U2047" s="28"/>
    </row>
    <row r="2048" ht="15.75" customHeight="1">
      <c r="P2048" s="25"/>
      <c r="Q2048" s="25"/>
      <c r="R2048" s="25"/>
      <c r="S2048" s="25"/>
      <c r="T2048" s="141"/>
      <c r="U2048" s="28"/>
    </row>
    <row r="2049" ht="15.75" customHeight="1">
      <c r="P2049" s="25"/>
      <c r="Q2049" s="25"/>
      <c r="R2049" s="25"/>
      <c r="S2049" s="25"/>
      <c r="T2049" s="141"/>
      <c r="U2049" s="28"/>
    </row>
    <row r="2050" ht="15.75" customHeight="1">
      <c r="P2050" s="25"/>
      <c r="Q2050" s="25"/>
      <c r="R2050" s="25"/>
      <c r="S2050" s="25"/>
      <c r="T2050" s="141"/>
      <c r="U2050" s="28"/>
    </row>
    <row r="2051" ht="15.75" customHeight="1">
      <c r="P2051" s="25"/>
      <c r="Q2051" s="25"/>
      <c r="R2051" s="25"/>
      <c r="S2051" s="25"/>
      <c r="T2051" s="141"/>
      <c r="U2051" s="28"/>
    </row>
    <row r="2052" ht="15.75" customHeight="1">
      <c r="P2052" s="25"/>
      <c r="Q2052" s="25"/>
      <c r="R2052" s="25"/>
      <c r="S2052" s="25"/>
      <c r="T2052" s="141"/>
      <c r="U2052" s="28"/>
    </row>
    <row r="2053" ht="15.75" customHeight="1">
      <c r="P2053" s="25"/>
      <c r="Q2053" s="25"/>
      <c r="R2053" s="25"/>
      <c r="S2053" s="25"/>
      <c r="T2053" s="141"/>
      <c r="U2053" s="28"/>
    </row>
    <row r="2054" ht="15.75" customHeight="1">
      <c r="P2054" s="25"/>
      <c r="Q2054" s="25"/>
      <c r="R2054" s="25"/>
      <c r="S2054" s="25"/>
      <c r="T2054" s="141"/>
      <c r="U2054" s="28"/>
    </row>
    <row r="2055" ht="15.75" customHeight="1">
      <c r="P2055" s="25"/>
      <c r="Q2055" s="25"/>
      <c r="R2055" s="25"/>
      <c r="S2055" s="25"/>
      <c r="T2055" s="141"/>
      <c r="U2055" s="28"/>
    </row>
    <row r="2056" ht="15.75" customHeight="1">
      <c r="P2056" s="25"/>
      <c r="Q2056" s="25"/>
      <c r="R2056" s="25"/>
      <c r="S2056" s="25"/>
      <c r="T2056" s="141"/>
      <c r="U2056" s="28"/>
    </row>
    <row r="2057" ht="15.75" customHeight="1">
      <c r="P2057" s="25"/>
      <c r="Q2057" s="25"/>
      <c r="R2057" s="25"/>
      <c r="S2057" s="25"/>
      <c r="T2057" s="141"/>
      <c r="U2057" s="28"/>
    </row>
    <row r="2058" ht="15.75" customHeight="1">
      <c r="P2058" s="25"/>
      <c r="Q2058" s="25"/>
      <c r="R2058" s="25"/>
      <c r="S2058" s="25"/>
      <c r="T2058" s="141"/>
      <c r="U2058" s="28"/>
    </row>
    <row r="2059" ht="15.75" customHeight="1">
      <c r="P2059" s="25"/>
      <c r="Q2059" s="25"/>
      <c r="R2059" s="25"/>
      <c r="S2059" s="25"/>
      <c r="T2059" s="141"/>
      <c r="U2059" s="28"/>
    </row>
    <row r="2060" ht="15.75" customHeight="1">
      <c r="P2060" s="25"/>
      <c r="Q2060" s="25"/>
      <c r="R2060" s="25"/>
      <c r="S2060" s="25"/>
      <c r="T2060" s="141"/>
      <c r="U2060" s="28"/>
    </row>
    <row r="2061" ht="15.75" customHeight="1">
      <c r="P2061" s="25"/>
      <c r="Q2061" s="25"/>
      <c r="R2061" s="25"/>
      <c r="S2061" s="25"/>
      <c r="T2061" s="141"/>
      <c r="U2061" s="28"/>
    </row>
    <row r="2062" ht="15.75" customHeight="1">
      <c r="P2062" s="25"/>
      <c r="Q2062" s="25"/>
      <c r="R2062" s="25"/>
      <c r="S2062" s="25"/>
      <c r="T2062" s="141"/>
      <c r="U2062" s="28"/>
    </row>
    <row r="2063" ht="15.75" customHeight="1">
      <c r="P2063" s="25"/>
      <c r="Q2063" s="25"/>
      <c r="R2063" s="25"/>
      <c r="S2063" s="25"/>
      <c r="T2063" s="141"/>
      <c r="U2063" s="28"/>
    </row>
    <row r="2064" ht="15.75" customHeight="1">
      <c r="P2064" s="25"/>
      <c r="Q2064" s="25"/>
      <c r="R2064" s="25"/>
      <c r="S2064" s="25"/>
      <c r="T2064" s="141"/>
      <c r="U2064" s="28"/>
    </row>
    <row r="2065" ht="15.75" customHeight="1">
      <c r="P2065" s="25"/>
      <c r="Q2065" s="25"/>
      <c r="R2065" s="25"/>
      <c r="S2065" s="25"/>
      <c r="T2065" s="141"/>
      <c r="U2065" s="28"/>
    </row>
    <row r="2066" ht="15.75" customHeight="1">
      <c r="P2066" s="25"/>
      <c r="Q2066" s="25"/>
      <c r="R2066" s="25"/>
      <c r="S2066" s="25"/>
      <c r="T2066" s="141"/>
      <c r="U2066" s="28"/>
    </row>
    <row r="2067" ht="15.75" customHeight="1">
      <c r="P2067" s="25"/>
      <c r="Q2067" s="25"/>
      <c r="R2067" s="25"/>
      <c r="S2067" s="25"/>
      <c r="T2067" s="141"/>
      <c r="U2067" s="28"/>
    </row>
    <row r="2068" ht="15.75" customHeight="1">
      <c r="P2068" s="25"/>
      <c r="Q2068" s="25"/>
      <c r="R2068" s="25"/>
      <c r="S2068" s="25"/>
      <c r="T2068" s="141"/>
      <c r="U2068" s="28"/>
    </row>
    <row r="2069" ht="15.75" customHeight="1">
      <c r="P2069" s="25"/>
      <c r="Q2069" s="25"/>
      <c r="R2069" s="25"/>
      <c r="S2069" s="25"/>
      <c r="T2069" s="141"/>
      <c r="U2069" s="28"/>
    </row>
    <row r="2070" ht="15.75" customHeight="1">
      <c r="P2070" s="25"/>
      <c r="Q2070" s="25"/>
      <c r="R2070" s="25"/>
      <c r="S2070" s="25"/>
      <c r="T2070" s="141"/>
      <c r="U2070" s="28"/>
    </row>
    <row r="2071" ht="15.75" customHeight="1">
      <c r="P2071" s="25"/>
      <c r="Q2071" s="25"/>
      <c r="R2071" s="25"/>
      <c r="S2071" s="25"/>
      <c r="T2071" s="141"/>
      <c r="U2071" s="28"/>
    </row>
    <row r="2072" ht="15.75" customHeight="1">
      <c r="P2072" s="25"/>
      <c r="Q2072" s="25"/>
      <c r="R2072" s="25"/>
      <c r="S2072" s="25"/>
      <c r="T2072" s="141"/>
      <c r="U2072" s="28"/>
    </row>
    <row r="2073" ht="15.75" customHeight="1">
      <c r="P2073" s="25"/>
      <c r="Q2073" s="25"/>
      <c r="R2073" s="25"/>
      <c r="S2073" s="25"/>
      <c r="T2073" s="141"/>
      <c r="U2073" s="28"/>
    </row>
    <row r="2074" ht="15.75" customHeight="1">
      <c r="P2074" s="25"/>
      <c r="Q2074" s="25"/>
      <c r="R2074" s="25"/>
      <c r="S2074" s="25"/>
      <c r="T2074" s="141"/>
      <c r="U2074" s="28"/>
    </row>
    <row r="2075" ht="15.75" customHeight="1">
      <c r="P2075" s="25"/>
      <c r="Q2075" s="25"/>
      <c r="R2075" s="25"/>
      <c r="S2075" s="25"/>
      <c r="T2075" s="141"/>
      <c r="U2075" s="28"/>
    </row>
    <row r="2076" ht="15.75" customHeight="1">
      <c r="P2076" s="25"/>
      <c r="Q2076" s="25"/>
      <c r="R2076" s="25"/>
      <c r="S2076" s="25"/>
      <c r="T2076" s="141"/>
      <c r="U2076" s="28"/>
    </row>
    <row r="2077" ht="15.75" customHeight="1">
      <c r="P2077" s="25"/>
      <c r="Q2077" s="25"/>
      <c r="R2077" s="25"/>
      <c r="S2077" s="25"/>
      <c r="T2077" s="141"/>
      <c r="U2077" s="28"/>
    </row>
    <row r="2078" ht="15.75" customHeight="1">
      <c r="P2078" s="25"/>
      <c r="Q2078" s="25"/>
      <c r="R2078" s="25"/>
      <c r="S2078" s="25"/>
      <c r="T2078" s="141"/>
      <c r="U2078" s="28"/>
    </row>
    <row r="2079" ht="15.75" customHeight="1">
      <c r="P2079" s="25"/>
      <c r="Q2079" s="25"/>
      <c r="R2079" s="25"/>
      <c r="S2079" s="25"/>
      <c r="T2079" s="141"/>
      <c r="U2079" s="28"/>
    </row>
    <row r="2080" ht="15.75" customHeight="1">
      <c r="P2080" s="25"/>
      <c r="Q2080" s="25"/>
      <c r="R2080" s="25"/>
      <c r="S2080" s="25"/>
      <c r="T2080" s="141"/>
      <c r="U2080" s="28"/>
    </row>
    <row r="2081" ht="15.75" customHeight="1">
      <c r="P2081" s="25"/>
      <c r="Q2081" s="25"/>
      <c r="R2081" s="25"/>
      <c r="S2081" s="25"/>
      <c r="T2081" s="141"/>
      <c r="U2081" s="28"/>
    </row>
    <row r="2082" ht="15.75" customHeight="1">
      <c r="P2082" s="25"/>
      <c r="Q2082" s="25"/>
      <c r="R2082" s="25"/>
      <c r="S2082" s="25"/>
      <c r="T2082" s="141"/>
      <c r="U2082" s="28"/>
    </row>
    <row r="2083" ht="15.75" customHeight="1">
      <c r="P2083" s="25"/>
      <c r="Q2083" s="25"/>
      <c r="R2083" s="25"/>
      <c r="S2083" s="25"/>
      <c r="T2083" s="141"/>
      <c r="U2083" s="28"/>
    </row>
    <row r="2084" ht="15.75" customHeight="1">
      <c r="P2084" s="25"/>
      <c r="Q2084" s="25"/>
      <c r="R2084" s="25"/>
      <c r="S2084" s="25"/>
      <c r="T2084" s="141"/>
      <c r="U2084" s="28"/>
    </row>
    <row r="2085" ht="15.75" customHeight="1">
      <c r="P2085" s="25"/>
      <c r="Q2085" s="25"/>
      <c r="R2085" s="25"/>
      <c r="S2085" s="25"/>
      <c r="T2085" s="141"/>
      <c r="U2085" s="28"/>
    </row>
    <row r="2086" ht="15.75" customHeight="1">
      <c r="P2086" s="25"/>
      <c r="Q2086" s="25"/>
      <c r="R2086" s="25"/>
      <c r="S2086" s="25"/>
      <c r="T2086" s="141"/>
      <c r="U2086" s="28"/>
    </row>
    <row r="2087" ht="15.75" customHeight="1">
      <c r="P2087" s="25"/>
      <c r="Q2087" s="25"/>
      <c r="R2087" s="25"/>
      <c r="S2087" s="25"/>
      <c r="T2087" s="141"/>
      <c r="U2087" s="28"/>
    </row>
    <row r="2088" ht="15.75" customHeight="1">
      <c r="P2088" s="25"/>
      <c r="Q2088" s="25"/>
      <c r="R2088" s="25"/>
      <c r="S2088" s="25"/>
      <c r="T2088" s="141"/>
      <c r="U2088" s="28"/>
    </row>
    <row r="2089" ht="15.75" customHeight="1">
      <c r="P2089" s="25"/>
      <c r="Q2089" s="25"/>
      <c r="R2089" s="25"/>
      <c r="S2089" s="25"/>
      <c r="T2089" s="141"/>
      <c r="U2089" s="28"/>
    </row>
    <row r="2090" ht="15.75" customHeight="1">
      <c r="P2090" s="25"/>
      <c r="Q2090" s="25"/>
      <c r="R2090" s="25"/>
      <c r="S2090" s="25"/>
      <c r="T2090" s="141"/>
      <c r="U2090" s="28"/>
    </row>
    <row r="2091" ht="15.75" customHeight="1">
      <c r="P2091" s="25"/>
      <c r="Q2091" s="25"/>
      <c r="R2091" s="25"/>
      <c r="S2091" s="25"/>
      <c r="T2091" s="141"/>
      <c r="U2091" s="28"/>
    </row>
    <row r="2092" ht="15.75" customHeight="1">
      <c r="P2092" s="25"/>
      <c r="Q2092" s="25"/>
      <c r="R2092" s="25"/>
      <c r="S2092" s="25"/>
      <c r="T2092" s="141"/>
      <c r="U2092" s="28"/>
    </row>
    <row r="2093" ht="15.75" customHeight="1">
      <c r="P2093" s="25"/>
      <c r="Q2093" s="25"/>
      <c r="R2093" s="25"/>
      <c r="S2093" s="25"/>
      <c r="T2093" s="141"/>
      <c r="U2093" s="28"/>
    </row>
    <row r="2094" ht="15.75" customHeight="1">
      <c r="P2094" s="25"/>
      <c r="Q2094" s="25"/>
      <c r="R2094" s="25"/>
      <c r="S2094" s="25"/>
      <c r="T2094" s="141"/>
      <c r="U2094" s="28"/>
    </row>
    <row r="2095" ht="15.75" customHeight="1">
      <c r="P2095" s="25"/>
      <c r="Q2095" s="25"/>
      <c r="R2095" s="25"/>
      <c r="S2095" s="25"/>
      <c r="T2095" s="141"/>
      <c r="U2095" s="28"/>
    </row>
    <row r="2096" ht="15.75" customHeight="1">
      <c r="P2096" s="25"/>
      <c r="Q2096" s="25"/>
      <c r="R2096" s="25"/>
      <c r="S2096" s="25"/>
      <c r="T2096" s="141"/>
      <c r="U2096" s="28"/>
    </row>
    <row r="2097" ht="15.75" customHeight="1">
      <c r="P2097" s="25"/>
      <c r="Q2097" s="25"/>
      <c r="R2097" s="25"/>
      <c r="S2097" s="25"/>
      <c r="T2097" s="141"/>
      <c r="U2097" s="28"/>
    </row>
    <row r="2098" ht="15.75" customHeight="1">
      <c r="P2098" s="25"/>
      <c r="Q2098" s="25"/>
      <c r="R2098" s="25"/>
      <c r="S2098" s="25"/>
      <c r="T2098" s="141"/>
      <c r="U2098" s="28"/>
    </row>
    <row r="2099" ht="15.75" customHeight="1">
      <c r="P2099" s="25"/>
      <c r="Q2099" s="25"/>
      <c r="R2099" s="25"/>
      <c r="S2099" s="25"/>
      <c r="T2099" s="141"/>
      <c r="U2099" s="28"/>
    </row>
    <row r="2100" ht="15.75" customHeight="1">
      <c r="P2100" s="25"/>
      <c r="Q2100" s="25"/>
      <c r="R2100" s="25"/>
      <c r="S2100" s="25"/>
      <c r="T2100" s="141"/>
      <c r="U2100" s="28"/>
    </row>
    <row r="2101" ht="15.75" customHeight="1">
      <c r="P2101" s="25"/>
      <c r="Q2101" s="25"/>
      <c r="R2101" s="25"/>
      <c r="S2101" s="25"/>
      <c r="T2101" s="141"/>
      <c r="U2101" s="28"/>
    </row>
    <row r="2102" ht="15.75" customHeight="1">
      <c r="P2102" s="25"/>
      <c r="Q2102" s="25"/>
      <c r="R2102" s="25"/>
      <c r="S2102" s="25"/>
      <c r="T2102" s="141"/>
      <c r="U2102" s="28"/>
    </row>
    <row r="2103" ht="15.75" customHeight="1">
      <c r="P2103" s="25"/>
      <c r="Q2103" s="25"/>
      <c r="R2103" s="25"/>
      <c r="S2103" s="25"/>
      <c r="T2103" s="141"/>
      <c r="U2103" s="28"/>
    </row>
    <row r="2104" ht="15.75" customHeight="1">
      <c r="P2104" s="25"/>
      <c r="Q2104" s="25"/>
      <c r="R2104" s="25"/>
      <c r="S2104" s="25"/>
      <c r="T2104" s="141"/>
      <c r="U2104" s="28"/>
    </row>
    <row r="2105" ht="15.75" customHeight="1">
      <c r="P2105" s="25"/>
      <c r="Q2105" s="25"/>
      <c r="R2105" s="25"/>
      <c r="S2105" s="25"/>
      <c r="T2105" s="141"/>
      <c r="U2105" s="28"/>
    </row>
    <row r="2106" ht="15.75" customHeight="1">
      <c r="P2106" s="25"/>
      <c r="Q2106" s="25"/>
      <c r="R2106" s="25"/>
      <c r="S2106" s="25"/>
      <c r="T2106" s="141"/>
      <c r="U2106" s="28"/>
    </row>
    <row r="2107" ht="15.75" customHeight="1">
      <c r="P2107" s="25"/>
      <c r="Q2107" s="25"/>
      <c r="R2107" s="25"/>
      <c r="S2107" s="25"/>
      <c r="T2107" s="141"/>
      <c r="U2107" s="28"/>
    </row>
    <row r="2108" ht="15.75" customHeight="1">
      <c r="P2108" s="25"/>
      <c r="Q2108" s="25"/>
      <c r="R2108" s="25"/>
      <c r="S2108" s="25"/>
      <c r="T2108" s="141"/>
      <c r="U2108" s="28"/>
    </row>
    <row r="2109" ht="15.75" customHeight="1">
      <c r="P2109" s="25"/>
      <c r="Q2109" s="25"/>
      <c r="R2109" s="25"/>
      <c r="S2109" s="25"/>
      <c r="T2109" s="141"/>
      <c r="U2109" s="28"/>
    </row>
    <row r="2110" ht="15.75" customHeight="1">
      <c r="P2110" s="25"/>
      <c r="Q2110" s="25"/>
      <c r="R2110" s="25"/>
      <c r="S2110" s="25"/>
      <c r="T2110" s="141"/>
      <c r="U2110" s="28"/>
    </row>
    <row r="2111" ht="15.75" customHeight="1">
      <c r="P2111" s="25"/>
      <c r="Q2111" s="25"/>
      <c r="R2111" s="25"/>
      <c r="S2111" s="25"/>
      <c r="T2111" s="141"/>
      <c r="U2111" s="28"/>
    </row>
    <row r="2112" ht="15.75" customHeight="1">
      <c r="P2112" s="25"/>
      <c r="Q2112" s="25"/>
      <c r="R2112" s="25"/>
      <c r="S2112" s="25"/>
      <c r="T2112" s="141"/>
      <c r="U2112" s="28"/>
    </row>
    <row r="2113" ht="15.75" customHeight="1">
      <c r="P2113" s="25"/>
      <c r="Q2113" s="25"/>
      <c r="R2113" s="25"/>
      <c r="S2113" s="25"/>
      <c r="T2113" s="141"/>
      <c r="U2113" s="28"/>
    </row>
    <row r="2114" ht="15.75" customHeight="1">
      <c r="P2114" s="25"/>
      <c r="Q2114" s="25"/>
      <c r="R2114" s="25"/>
      <c r="S2114" s="25"/>
      <c r="T2114" s="141"/>
      <c r="U2114" s="28"/>
    </row>
    <row r="2115" ht="15.75" customHeight="1">
      <c r="P2115" s="25"/>
      <c r="Q2115" s="25"/>
      <c r="R2115" s="25"/>
      <c r="S2115" s="25"/>
      <c r="T2115" s="141"/>
      <c r="U2115" s="28"/>
    </row>
    <row r="2116" ht="15.75" customHeight="1">
      <c r="P2116" s="25"/>
      <c r="Q2116" s="25"/>
      <c r="R2116" s="25"/>
      <c r="S2116" s="25"/>
      <c r="T2116" s="141"/>
      <c r="U2116" s="28"/>
    </row>
    <row r="2117" ht="15.75" customHeight="1">
      <c r="P2117" s="25"/>
      <c r="Q2117" s="25"/>
      <c r="R2117" s="25"/>
      <c r="S2117" s="25"/>
      <c r="T2117" s="141"/>
      <c r="U2117" s="28"/>
    </row>
    <row r="2118" ht="15.75" customHeight="1">
      <c r="P2118" s="25"/>
      <c r="Q2118" s="25"/>
      <c r="R2118" s="25"/>
      <c r="S2118" s="25"/>
      <c r="T2118" s="141"/>
      <c r="U2118" s="28"/>
    </row>
    <row r="2119" ht="15.75" customHeight="1">
      <c r="P2119" s="25"/>
      <c r="Q2119" s="25"/>
      <c r="R2119" s="25"/>
      <c r="S2119" s="25"/>
      <c r="T2119" s="141"/>
      <c r="U2119" s="28"/>
    </row>
    <row r="2120" ht="15.75" customHeight="1">
      <c r="P2120" s="25"/>
      <c r="Q2120" s="25"/>
      <c r="R2120" s="25"/>
      <c r="S2120" s="25"/>
      <c r="T2120" s="141"/>
      <c r="U2120" s="28"/>
    </row>
    <row r="2121" ht="15.75" customHeight="1">
      <c r="P2121" s="25"/>
      <c r="Q2121" s="25"/>
      <c r="R2121" s="25"/>
      <c r="S2121" s="25"/>
      <c r="T2121" s="141"/>
      <c r="U2121" s="28"/>
    </row>
    <row r="2122" ht="15.75" customHeight="1">
      <c r="P2122" s="25"/>
      <c r="Q2122" s="25"/>
      <c r="R2122" s="25"/>
      <c r="S2122" s="25"/>
      <c r="T2122" s="141"/>
      <c r="U2122" s="28"/>
    </row>
    <row r="2123" ht="15.75" customHeight="1">
      <c r="P2123" s="25"/>
      <c r="Q2123" s="25"/>
      <c r="R2123" s="25"/>
      <c r="S2123" s="25"/>
      <c r="T2123" s="141"/>
      <c r="U2123" s="28"/>
    </row>
    <row r="2124" ht="15.75" customHeight="1">
      <c r="P2124" s="25"/>
      <c r="Q2124" s="25"/>
      <c r="R2124" s="25"/>
      <c r="S2124" s="25"/>
      <c r="T2124" s="141"/>
      <c r="U2124" s="28"/>
    </row>
    <row r="2125" ht="15.75" customHeight="1">
      <c r="P2125" s="25"/>
      <c r="Q2125" s="25"/>
      <c r="R2125" s="25"/>
      <c r="S2125" s="25"/>
      <c r="T2125" s="141"/>
      <c r="U2125" s="28"/>
    </row>
    <row r="2126" ht="15.75" customHeight="1">
      <c r="P2126" s="25"/>
      <c r="Q2126" s="25"/>
      <c r="R2126" s="25"/>
      <c r="S2126" s="25"/>
      <c r="T2126" s="141"/>
      <c r="U2126" s="28"/>
    </row>
    <row r="2127" ht="15.75" customHeight="1">
      <c r="P2127" s="25"/>
      <c r="Q2127" s="25"/>
      <c r="R2127" s="25"/>
      <c r="S2127" s="25"/>
      <c r="T2127" s="141"/>
      <c r="U2127" s="28"/>
    </row>
    <row r="2128" ht="15.75" customHeight="1">
      <c r="P2128" s="25"/>
      <c r="Q2128" s="25"/>
      <c r="R2128" s="25"/>
      <c r="S2128" s="25"/>
      <c r="T2128" s="141"/>
      <c r="U2128" s="28"/>
    </row>
    <row r="2129" ht="15.75" customHeight="1">
      <c r="P2129" s="25"/>
      <c r="Q2129" s="25"/>
      <c r="R2129" s="25"/>
      <c r="S2129" s="25"/>
      <c r="T2129" s="141"/>
      <c r="U2129" s="28"/>
    </row>
    <row r="2130" ht="15.75" customHeight="1">
      <c r="P2130" s="25"/>
      <c r="Q2130" s="25"/>
      <c r="R2130" s="25"/>
      <c r="S2130" s="25"/>
      <c r="T2130" s="141"/>
      <c r="U2130" s="28"/>
    </row>
    <row r="2131" ht="15.75" customHeight="1">
      <c r="P2131" s="25"/>
      <c r="Q2131" s="25"/>
      <c r="R2131" s="25"/>
      <c r="S2131" s="25"/>
      <c r="T2131" s="141"/>
      <c r="U2131" s="28"/>
    </row>
    <row r="2132" ht="15.75" customHeight="1">
      <c r="P2132" s="25"/>
      <c r="Q2132" s="25"/>
      <c r="R2132" s="25"/>
      <c r="S2132" s="25"/>
      <c r="T2132" s="141"/>
      <c r="U2132" s="28"/>
    </row>
    <row r="2133" ht="15.75" customHeight="1">
      <c r="P2133" s="25"/>
      <c r="Q2133" s="25"/>
      <c r="R2133" s="25"/>
      <c r="S2133" s="25"/>
      <c r="T2133" s="141"/>
      <c r="U2133" s="28"/>
    </row>
    <row r="2134" ht="15.75" customHeight="1">
      <c r="P2134" s="25"/>
      <c r="Q2134" s="25"/>
      <c r="R2134" s="25"/>
      <c r="S2134" s="25"/>
      <c r="T2134" s="141"/>
      <c r="U2134" s="28"/>
    </row>
    <row r="2135" ht="15.75" customHeight="1">
      <c r="P2135" s="25"/>
      <c r="Q2135" s="25"/>
      <c r="R2135" s="25"/>
      <c r="S2135" s="25"/>
      <c r="T2135" s="141"/>
      <c r="U2135" s="28"/>
    </row>
    <row r="2136" ht="15.75" customHeight="1">
      <c r="P2136" s="25"/>
      <c r="Q2136" s="25"/>
      <c r="R2136" s="25"/>
      <c r="S2136" s="25"/>
      <c r="T2136" s="141"/>
      <c r="U2136" s="28"/>
    </row>
    <row r="2137" ht="15.75" customHeight="1">
      <c r="P2137" s="25"/>
      <c r="Q2137" s="25"/>
      <c r="R2137" s="25"/>
      <c r="S2137" s="25"/>
      <c r="T2137" s="141"/>
      <c r="U2137" s="28"/>
    </row>
    <row r="2138" ht="15.75" customHeight="1">
      <c r="P2138" s="25"/>
      <c r="Q2138" s="25"/>
      <c r="R2138" s="25"/>
      <c r="S2138" s="25"/>
      <c r="T2138" s="141"/>
      <c r="U2138" s="28"/>
    </row>
    <row r="2139" ht="15.75" customHeight="1">
      <c r="P2139" s="25"/>
      <c r="Q2139" s="25"/>
      <c r="R2139" s="25"/>
      <c r="S2139" s="25"/>
      <c r="T2139" s="141"/>
      <c r="U2139" s="28"/>
    </row>
    <row r="2140" ht="15.75" customHeight="1">
      <c r="P2140" s="25"/>
      <c r="Q2140" s="25"/>
      <c r="R2140" s="25"/>
      <c r="S2140" s="25"/>
      <c r="T2140" s="141"/>
      <c r="U2140" s="28"/>
    </row>
    <row r="2141" ht="15.75" customHeight="1">
      <c r="P2141" s="25"/>
      <c r="Q2141" s="25"/>
      <c r="R2141" s="25"/>
      <c r="S2141" s="25"/>
      <c r="T2141" s="141"/>
      <c r="U2141" s="28"/>
    </row>
    <row r="2142" ht="15.75" customHeight="1">
      <c r="P2142" s="25"/>
      <c r="Q2142" s="25"/>
      <c r="R2142" s="25"/>
      <c r="S2142" s="25"/>
      <c r="T2142" s="141"/>
      <c r="U2142" s="28"/>
    </row>
    <row r="2143" ht="15.75" customHeight="1">
      <c r="P2143" s="25"/>
      <c r="Q2143" s="25"/>
      <c r="R2143" s="25"/>
      <c r="S2143" s="25"/>
      <c r="T2143" s="141"/>
      <c r="U2143" s="28"/>
    </row>
    <row r="2144" ht="15.75" customHeight="1">
      <c r="P2144" s="25"/>
      <c r="Q2144" s="25"/>
      <c r="R2144" s="25"/>
      <c r="S2144" s="25"/>
      <c r="T2144" s="141"/>
      <c r="U2144" s="28"/>
    </row>
    <row r="2145" ht="15.75" customHeight="1">
      <c r="P2145" s="25"/>
      <c r="Q2145" s="25"/>
      <c r="R2145" s="25"/>
      <c r="S2145" s="25"/>
      <c r="T2145" s="141"/>
      <c r="U2145" s="28"/>
    </row>
    <row r="2146" ht="15.75" customHeight="1">
      <c r="P2146" s="25"/>
      <c r="Q2146" s="25"/>
      <c r="R2146" s="25"/>
      <c r="S2146" s="25"/>
      <c r="T2146" s="141"/>
      <c r="U2146" s="28"/>
    </row>
    <row r="2147" ht="15.75" customHeight="1">
      <c r="P2147" s="25"/>
      <c r="Q2147" s="25"/>
      <c r="R2147" s="25"/>
      <c r="S2147" s="25"/>
      <c r="T2147" s="141"/>
      <c r="U2147" s="28"/>
    </row>
    <row r="2148" ht="15.75" customHeight="1">
      <c r="P2148" s="25"/>
      <c r="Q2148" s="25"/>
      <c r="R2148" s="25"/>
      <c r="S2148" s="25"/>
      <c r="T2148" s="141"/>
      <c r="U2148" s="28"/>
    </row>
    <row r="2149" ht="15.75" customHeight="1">
      <c r="P2149" s="25"/>
      <c r="Q2149" s="25"/>
      <c r="R2149" s="25"/>
      <c r="S2149" s="25"/>
      <c r="T2149" s="141"/>
      <c r="U2149" s="28"/>
    </row>
    <row r="2150" ht="15.75" customHeight="1">
      <c r="P2150" s="25"/>
      <c r="Q2150" s="25"/>
      <c r="R2150" s="25"/>
      <c r="S2150" s="25"/>
      <c r="T2150" s="141"/>
      <c r="U2150" s="28"/>
    </row>
    <row r="2151" ht="15.75" customHeight="1">
      <c r="P2151" s="25"/>
      <c r="Q2151" s="25"/>
      <c r="R2151" s="25"/>
      <c r="S2151" s="25"/>
      <c r="T2151" s="141"/>
      <c r="U2151" s="28"/>
    </row>
    <row r="2152" ht="15.75" customHeight="1">
      <c r="P2152" s="25"/>
      <c r="Q2152" s="25"/>
      <c r="R2152" s="25"/>
      <c r="S2152" s="25"/>
      <c r="T2152" s="141"/>
      <c r="U2152" s="28"/>
    </row>
    <row r="2153" ht="15.75" customHeight="1">
      <c r="P2153" s="25"/>
      <c r="Q2153" s="25"/>
      <c r="R2153" s="25"/>
      <c r="S2153" s="25"/>
      <c r="T2153" s="141"/>
      <c r="U2153" s="28"/>
    </row>
    <row r="2154" ht="15.75" customHeight="1">
      <c r="P2154" s="25"/>
      <c r="Q2154" s="25"/>
      <c r="R2154" s="25"/>
      <c r="S2154" s="25"/>
      <c r="T2154" s="141"/>
      <c r="U2154" s="28"/>
    </row>
    <row r="2155" ht="15.75" customHeight="1">
      <c r="P2155" s="25"/>
      <c r="Q2155" s="25"/>
      <c r="R2155" s="25"/>
      <c r="S2155" s="25"/>
      <c r="T2155" s="141"/>
      <c r="U2155" s="28"/>
    </row>
    <row r="2156" ht="15.75" customHeight="1">
      <c r="P2156" s="25"/>
      <c r="Q2156" s="25"/>
      <c r="R2156" s="25"/>
      <c r="S2156" s="25"/>
      <c r="T2156" s="141"/>
      <c r="U2156" s="28"/>
    </row>
    <row r="2157" ht="15.75" customHeight="1">
      <c r="P2157" s="25"/>
      <c r="Q2157" s="25"/>
      <c r="R2157" s="25"/>
      <c r="S2157" s="25"/>
      <c r="T2157" s="141"/>
      <c r="U2157" s="28"/>
    </row>
    <row r="2158" ht="15.75" customHeight="1">
      <c r="P2158" s="25"/>
      <c r="Q2158" s="25"/>
      <c r="R2158" s="25"/>
      <c r="S2158" s="25"/>
      <c r="T2158" s="141"/>
      <c r="U2158" s="28"/>
    </row>
    <row r="2159" ht="15.75" customHeight="1">
      <c r="P2159" s="25"/>
      <c r="Q2159" s="25"/>
      <c r="R2159" s="25"/>
      <c r="S2159" s="25"/>
      <c r="T2159" s="141"/>
      <c r="U2159" s="28"/>
    </row>
    <row r="2160" ht="15.75" customHeight="1">
      <c r="P2160" s="25"/>
      <c r="Q2160" s="25"/>
      <c r="R2160" s="25"/>
      <c r="S2160" s="25"/>
      <c r="T2160" s="141"/>
      <c r="U2160" s="28"/>
    </row>
    <row r="2161" ht="15.75" customHeight="1">
      <c r="P2161" s="25"/>
      <c r="Q2161" s="25"/>
      <c r="R2161" s="25"/>
      <c r="S2161" s="25"/>
      <c r="T2161" s="141"/>
      <c r="U2161" s="28"/>
    </row>
    <row r="2162" ht="15.75" customHeight="1">
      <c r="P2162" s="25"/>
      <c r="Q2162" s="25"/>
      <c r="R2162" s="25"/>
      <c r="S2162" s="25"/>
      <c r="T2162" s="141"/>
      <c r="U2162" s="28"/>
    </row>
    <row r="2163" ht="15.75" customHeight="1">
      <c r="P2163" s="25"/>
      <c r="Q2163" s="25"/>
      <c r="R2163" s="25"/>
      <c r="S2163" s="25"/>
      <c r="T2163" s="141"/>
      <c r="U2163" s="28"/>
    </row>
    <row r="2164" ht="15.75" customHeight="1">
      <c r="P2164" s="25"/>
      <c r="Q2164" s="25"/>
      <c r="R2164" s="25"/>
      <c r="S2164" s="25"/>
      <c r="T2164" s="141"/>
      <c r="U2164" s="28"/>
    </row>
    <row r="2165" ht="15.75" customHeight="1">
      <c r="P2165" s="25"/>
      <c r="Q2165" s="25"/>
      <c r="R2165" s="25"/>
      <c r="S2165" s="25"/>
      <c r="T2165" s="141"/>
      <c r="U2165" s="28"/>
    </row>
    <row r="2166" ht="15.75" customHeight="1">
      <c r="P2166" s="25"/>
      <c r="Q2166" s="25"/>
      <c r="R2166" s="25"/>
      <c r="S2166" s="25"/>
      <c r="T2166" s="141"/>
      <c r="U2166" s="28"/>
    </row>
    <row r="2167" ht="15.75" customHeight="1">
      <c r="P2167" s="25"/>
      <c r="Q2167" s="25"/>
      <c r="R2167" s="25"/>
      <c r="S2167" s="25"/>
      <c r="T2167" s="141"/>
      <c r="U2167" s="28"/>
    </row>
    <row r="2168" ht="15.75" customHeight="1">
      <c r="P2168" s="25"/>
      <c r="Q2168" s="25"/>
      <c r="R2168" s="25"/>
      <c r="S2168" s="25"/>
      <c r="T2168" s="141"/>
      <c r="U2168" s="28"/>
    </row>
    <row r="2169" ht="15.75" customHeight="1">
      <c r="P2169" s="25"/>
      <c r="Q2169" s="25"/>
      <c r="R2169" s="25"/>
      <c r="S2169" s="25"/>
      <c r="T2169" s="141"/>
      <c r="U2169" s="28"/>
    </row>
    <row r="2170" ht="15.75" customHeight="1">
      <c r="P2170" s="25"/>
      <c r="Q2170" s="25"/>
      <c r="R2170" s="25"/>
      <c r="S2170" s="25"/>
      <c r="T2170" s="141"/>
      <c r="U2170" s="28"/>
    </row>
    <row r="2171" ht="15.75" customHeight="1">
      <c r="P2171" s="25"/>
      <c r="Q2171" s="25"/>
      <c r="R2171" s="25"/>
      <c r="S2171" s="25"/>
      <c r="T2171" s="141"/>
      <c r="U2171" s="28"/>
    </row>
    <row r="2172" ht="15.75" customHeight="1">
      <c r="P2172" s="25"/>
      <c r="Q2172" s="25"/>
      <c r="R2172" s="25"/>
      <c r="S2172" s="25"/>
      <c r="T2172" s="141"/>
      <c r="U2172" s="28"/>
    </row>
    <row r="2173" ht="15.75" customHeight="1">
      <c r="P2173" s="25"/>
      <c r="Q2173" s="25"/>
      <c r="R2173" s="25"/>
      <c r="S2173" s="25"/>
      <c r="T2173" s="141"/>
      <c r="U2173" s="28"/>
    </row>
    <row r="2174" ht="15.75" customHeight="1">
      <c r="P2174" s="25"/>
      <c r="Q2174" s="25"/>
      <c r="R2174" s="25"/>
      <c r="S2174" s="25"/>
      <c r="T2174" s="141"/>
      <c r="U2174" s="28"/>
    </row>
    <row r="2175" ht="15.75" customHeight="1">
      <c r="P2175" s="25"/>
      <c r="Q2175" s="25"/>
      <c r="R2175" s="25"/>
      <c r="S2175" s="25"/>
      <c r="T2175" s="141"/>
      <c r="U2175" s="28"/>
    </row>
    <row r="2176" ht="15.75" customHeight="1">
      <c r="P2176" s="25"/>
      <c r="Q2176" s="25"/>
      <c r="R2176" s="25"/>
      <c r="S2176" s="25"/>
      <c r="T2176" s="141"/>
      <c r="U2176" s="28"/>
    </row>
    <row r="2177" ht="15.75" customHeight="1">
      <c r="P2177" s="25"/>
      <c r="Q2177" s="25"/>
      <c r="R2177" s="25"/>
      <c r="S2177" s="25"/>
      <c r="T2177" s="141"/>
      <c r="U2177" s="28"/>
    </row>
    <row r="2178" ht="15.75" customHeight="1">
      <c r="P2178" s="25"/>
      <c r="Q2178" s="25"/>
      <c r="R2178" s="25"/>
      <c r="S2178" s="25"/>
      <c r="T2178" s="141"/>
      <c r="U2178" s="28"/>
    </row>
    <row r="2179" ht="15.75" customHeight="1">
      <c r="P2179" s="25"/>
      <c r="Q2179" s="25"/>
      <c r="R2179" s="25"/>
      <c r="S2179" s="25"/>
      <c r="T2179" s="141"/>
      <c r="U2179" s="28"/>
    </row>
    <row r="2180" ht="15.75" customHeight="1">
      <c r="P2180" s="25"/>
      <c r="Q2180" s="25"/>
      <c r="R2180" s="25"/>
      <c r="S2180" s="25"/>
      <c r="T2180" s="141"/>
      <c r="U2180" s="28"/>
    </row>
    <row r="2181" ht="15.75" customHeight="1">
      <c r="P2181" s="25"/>
      <c r="Q2181" s="25"/>
      <c r="R2181" s="25"/>
      <c r="S2181" s="25"/>
      <c r="T2181" s="141"/>
      <c r="U2181" s="28"/>
    </row>
    <row r="2182" ht="15.75" customHeight="1">
      <c r="P2182" s="25"/>
      <c r="Q2182" s="25"/>
      <c r="R2182" s="25"/>
      <c r="S2182" s="25"/>
      <c r="T2182" s="141"/>
      <c r="U2182" s="28"/>
    </row>
    <row r="2183" ht="15.75" customHeight="1">
      <c r="P2183" s="25"/>
      <c r="Q2183" s="25"/>
      <c r="R2183" s="25"/>
      <c r="S2183" s="25"/>
      <c r="T2183" s="141"/>
      <c r="U2183" s="28"/>
    </row>
    <row r="2184" ht="15.75" customHeight="1">
      <c r="P2184" s="25"/>
      <c r="Q2184" s="25"/>
      <c r="R2184" s="25"/>
      <c r="S2184" s="25"/>
      <c r="T2184" s="141"/>
      <c r="U2184" s="28"/>
    </row>
    <row r="2185" ht="15.75" customHeight="1">
      <c r="P2185" s="25"/>
      <c r="Q2185" s="25"/>
      <c r="R2185" s="25"/>
      <c r="S2185" s="25"/>
      <c r="T2185" s="141"/>
      <c r="U2185" s="28"/>
    </row>
    <row r="2186" ht="15.75" customHeight="1">
      <c r="P2186" s="25"/>
      <c r="Q2186" s="25"/>
      <c r="R2186" s="25"/>
      <c r="S2186" s="25"/>
      <c r="T2186" s="141"/>
      <c r="U2186" s="28"/>
    </row>
    <row r="2187" ht="15.75" customHeight="1">
      <c r="P2187" s="25"/>
      <c r="Q2187" s="25"/>
      <c r="R2187" s="25"/>
      <c r="S2187" s="25"/>
      <c r="T2187" s="141"/>
      <c r="U2187" s="28"/>
    </row>
    <row r="2188" ht="15.75" customHeight="1">
      <c r="P2188" s="25"/>
      <c r="Q2188" s="25"/>
      <c r="R2188" s="25"/>
      <c r="S2188" s="25"/>
      <c r="T2188" s="141"/>
      <c r="U2188" s="28"/>
    </row>
    <row r="2189" ht="15.75" customHeight="1">
      <c r="P2189" s="25"/>
      <c r="Q2189" s="25"/>
      <c r="R2189" s="25"/>
      <c r="S2189" s="25"/>
      <c r="T2189" s="141"/>
      <c r="U2189" s="28"/>
    </row>
    <row r="2190" ht="15.75" customHeight="1">
      <c r="P2190" s="25"/>
      <c r="Q2190" s="25"/>
      <c r="R2190" s="25"/>
      <c r="S2190" s="25"/>
      <c r="T2190" s="141"/>
      <c r="U2190" s="28"/>
    </row>
    <row r="2191" ht="15.75" customHeight="1">
      <c r="P2191" s="25"/>
      <c r="Q2191" s="25"/>
      <c r="R2191" s="25"/>
      <c r="S2191" s="25"/>
      <c r="T2191" s="141"/>
      <c r="U2191" s="28"/>
    </row>
    <row r="2192" ht="15.75" customHeight="1">
      <c r="P2192" s="25"/>
      <c r="Q2192" s="25"/>
      <c r="R2192" s="25"/>
      <c r="S2192" s="25"/>
      <c r="T2192" s="141"/>
      <c r="U2192" s="28"/>
    </row>
    <row r="2193" ht="15.75" customHeight="1">
      <c r="P2193" s="25"/>
      <c r="Q2193" s="25"/>
      <c r="R2193" s="25"/>
      <c r="S2193" s="25"/>
      <c r="T2193" s="141"/>
      <c r="U2193" s="28"/>
    </row>
    <row r="2194" ht="15.75" customHeight="1">
      <c r="P2194" s="25"/>
      <c r="Q2194" s="25"/>
      <c r="R2194" s="25"/>
      <c r="S2194" s="25"/>
      <c r="T2194" s="141"/>
      <c r="U2194" s="28"/>
    </row>
    <row r="2195" ht="15.75" customHeight="1">
      <c r="P2195" s="25"/>
      <c r="Q2195" s="25"/>
      <c r="R2195" s="25"/>
      <c r="S2195" s="25"/>
      <c r="T2195" s="141"/>
      <c r="U2195" s="28"/>
    </row>
    <row r="2196" ht="15.75" customHeight="1">
      <c r="P2196" s="25"/>
      <c r="Q2196" s="25"/>
      <c r="R2196" s="25"/>
      <c r="S2196" s="25"/>
      <c r="T2196" s="141"/>
      <c r="U2196" s="28"/>
    </row>
    <row r="2197" ht="15.75" customHeight="1">
      <c r="P2197" s="25"/>
      <c r="Q2197" s="25"/>
      <c r="R2197" s="25"/>
      <c r="S2197" s="25"/>
      <c r="T2197" s="141"/>
      <c r="U2197" s="28"/>
    </row>
    <row r="2198" ht="15.75" customHeight="1">
      <c r="P2198" s="25"/>
      <c r="Q2198" s="25"/>
      <c r="R2198" s="25"/>
      <c r="S2198" s="25"/>
      <c r="T2198" s="141"/>
      <c r="U2198" s="28"/>
    </row>
    <row r="2199" ht="15.75" customHeight="1">
      <c r="P2199" s="25"/>
      <c r="Q2199" s="25"/>
      <c r="R2199" s="25"/>
      <c r="S2199" s="25"/>
      <c r="T2199" s="141"/>
      <c r="U2199" s="28"/>
    </row>
    <row r="2200" ht="15.75" customHeight="1">
      <c r="P2200" s="25"/>
      <c r="Q2200" s="25"/>
      <c r="R2200" s="25"/>
      <c r="S2200" s="25"/>
      <c r="T2200" s="141"/>
      <c r="U2200" s="28"/>
    </row>
    <row r="2201" ht="15.75" customHeight="1">
      <c r="P2201" s="25"/>
      <c r="Q2201" s="25"/>
      <c r="R2201" s="25"/>
      <c r="S2201" s="25"/>
      <c r="T2201" s="141"/>
      <c r="U2201" s="28"/>
    </row>
    <row r="2202" ht="15.75" customHeight="1">
      <c r="P2202" s="25"/>
      <c r="Q2202" s="25"/>
      <c r="R2202" s="25"/>
      <c r="S2202" s="25"/>
      <c r="T2202" s="141"/>
      <c r="U2202" s="28"/>
    </row>
    <row r="2203" ht="15.75" customHeight="1">
      <c r="P2203" s="25"/>
      <c r="Q2203" s="25"/>
      <c r="R2203" s="25"/>
      <c r="S2203" s="25"/>
      <c r="T2203" s="141"/>
      <c r="U2203" s="28"/>
    </row>
    <row r="2204" ht="15.75" customHeight="1">
      <c r="P2204" s="25"/>
      <c r="Q2204" s="25"/>
      <c r="R2204" s="25"/>
      <c r="S2204" s="25"/>
      <c r="T2204" s="141"/>
      <c r="U2204" s="28"/>
    </row>
    <row r="2205" ht="15.75" customHeight="1">
      <c r="P2205" s="25"/>
      <c r="Q2205" s="25"/>
      <c r="R2205" s="25"/>
      <c r="S2205" s="25"/>
      <c r="T2205" s="141"/>
      <c r="U2205" s="28"/>
    </row>
    <row r="2206" ht="15.75" customHeight="1">
      <c r="P2206" s="25"/>
      <c r="Q2206" s="25"/>
      <c r="R2206" s="25"/>
      <c r="S2206" s="25"/>
      <c r="T2206" s="141"/>
      <c r="U2206" s="28"/>
    </row>
    <row r="2207" ht="15.75" customHeight="1">
      <c r="P2207" s="25"/>
      <c r="Q2207" s="25"/>
      <c r="R2207" s="25"/>
      <c r="S2207" s="25"/>
      <c r="T2207" s="141"/>
      <c r="U2207" s="28"/>
    </row>
    <row r="2208" ht="15.75" customHeight="1">
      <c r="P2208" s="25"/>
      <c r="Q2208" s="25"/>
      <c r="R2208" s="25"/>
      <c r="S2208" s="25"/>
      <c r="T2208" s="141"/>
      <c r="U2208" s="28"/>
    </row>
    <row r="2209" ht="15.75" customHeight="1">
      <c r="P2209" s="25"/>
      <c r="Q2209" s="25"/>
      <c r="R2209" s="25"/>
      <c r="S2209" s="25"/>
      <c r="T2209" s="141"/>
      <c r="U2209" s="28"/>
    </row>
    <row r="2210" ht="15.75" customHeight="1">
      <c r="P2210" s="25"/>
      <c r="Q2210" s="25"/>
      <c r="R2210" s="25"/>
      <c r="S2210" s="25"/>
      <c r="T2210" s="141"/>
      <c r="U2210" s="28"/>
    </row>
    <row r="2211" ht="15.75" customHeight="1">
      <c r="P2211" s="25"/>
      <c r="Q2211" s="25"/>
      <c r="R2211" s="25"/>
      <c r="S2211" s="25"/>
      <c r="T2211" s="141"/>
      <c r="U2211" s="28"/>
    </row>
    <row r="2212" ht="15.75" customHeight="1">
      <c r="P2212" s="25"/>
      <c r="Q2212" s="25"/>
      <c r="R2212" s="25"/>
      <c r="S2212" s="25"/>
      <c r="T2212" s="141"/>
      <c r="U2212" s="28"/>
    </row>
    <row r="2213" ht="15.75" customHeight="1">
      <c r="P2213" s="25"/>
      <c r="Q2213" s="25"/>
      <c r="R2213" s="25"/>
      <c r="S2213" s="25"/>
      <c r="T2213" s="141"/>
      <c r="U2213" s="28"/>
    </row>
    <row r="2214" ht="15.75" customHeight="1">
      <c r="P2214" s="25"/>
      <c r="Q2214" s="25"/>
      <c r="R2214" s="25"/>
      <c r="S2214" s="25"/>
      <c r="T2214" s="141"/>
      <c r="U2214" s="28"/>
    </row>
    <row r="2215" ht="15.75" customHeight="1">
      <c r="P2215" s="25"/>
      <c r="Q2215" s="25"/>
      <c r="R2215" s="25"/>
      <c r="S2215" s="25"/>
      <c r="T2215" s="141"/>
      <c r="U2215" s="28"/>
    </row>
    <row r="2216" ht="15.75" customHeight="1">
      <c r="P2216" s="25"/>
      <c r="Q2216" s="25"/>
      <c r="R2216" s="25"/>
      <c r="S2216" s="25"/>
      <c r="T2216" s="141"/>
      <c r="U2216" s="28"/>
    </row>
    <row r="2217" ht="15.75" customHeight="1">
      <c r="P2217" s="25"/>
      <c r="Q2217" s="25"/>
      <c r="R2217" s="25"/>
      <c r="S2217" s="25"/>
      <c r="T2217" s="141"/>
      <c r="U2217" s="28"/>
    </row>
    <row r="2218" ht="15.75" customHeight="1">
      <c r="P2218" s="25"/>
      <c r="Q2218" s="25"/>
      <c r="R2218" s="25"/>
      <c r="S2218" s="25"/>
      <c r="T2218" s="141"/>
      <c r="U2218" s="28"/>
    </row>
    <row r="2219" ht="15.75" customHeight="1">
      <c r="P2219" s="25"/>
      <c r="Q2219" s="25"/>
      <c r="R2219" s="25"/>
      <c r="S2219" s="25"/>
      <c r="T2219" s="141"/>
      <c r="U2219" s="28"/>
    </row>
    <row r="2220" ht="15.75" customHeight="1">
      <c r="P2220" s="25"/>
      <c r="Q2220" s="25"/>
      <c r="R2220" s="25"/>
      <c r="S2220" s="25"/>
      <c r="T2220" s="141"/>
      <c r="U2220" s="28"/>
    </row>
    <row r="2221" ht="15.75" customHeight="1">
      <c r="P2221" s="25"/>
      <c r="Q2221" s="25"/>
      <c r="R2221" s="25"/>
      <c r="S2221" s="25"/>
      <c r="T2221" s="141"/>
      <c r="U2221" s="28"/>
    </row>
    <row r="2222" ht="15.75" customHeight="1">
      <c r="P2222" s="25"/>
      <c r="Q2222" s="25"/>
      <c r="R2222" s="25"/>
      <c r="S2222" s="25"/>
      <c r="T2222" s="141"/>
      <c r="U2222" s="28"/>
    </row>
    <row r="2223" ht="15.75" customHeight="1">
      <c r="P2223" s="25"/>
      <c r="Q2223" s="25"/>
      <c r="R2223" s="25"/>
      <c r="S2223" s="25"/>
      <c r="T2223" s="141"/>
      <c r="U2223" s="28"/>
    </row>
    <row r="2224" ht="15.75" customHeight="1">
      <c r="P2224" s="25"/>
      <c r="Q2224" s="25"/>
      <c r="R2224" s="25"/>
      <c r="S2224" s="25"/>
      <c r="T2224" s="141"/>
      <c r="U2224" s="28"/>
    </row>
    <row r="2225" ht="15.75" customHeight="1">
      <c r="P2225" s="25"/>
      <c r="Q2225" s="25"/>
      <c r="R2225" s="25"/>
      <c r="S2225" s="25"/>
      <c r="T2225" s="141"/>
      <c r="U2225" s="28"/>
    </row>
    <row r="2226" ht="15.75" customHeight="1">
      <c r="P2226" s="25"/>
      <c r="Q2226" s="25"/>
      <c r="R2226" s="25"/>
      <c r="S2226" s="25"/>
      <c r="T2226" s="141"/>
      <c r="U2226" s="28"/>
    </row>
    <row r="2227" ht="15.75" customHeight="1">
      <c r="P2227" s="25"/>
      <c r="Q2227" s="25"/>
      <c r="R2227" s="25"/>
      <c r="S2227" s="25"/>
      <c r="T2227" s="141"/>
      <c r="U2227" s="28"/>
    </row>
    <row r="2228" ht="15.75" customHeight="1">
      <c r="P2228" s="25"/>
      <c r="Q2228" s="25"/>
      <c r="R2228" s="25"/>
      <c r="S2228" s="25"/>
      <c r="T2228" s="141"/>
      <c r="U2228" s="28"/>
    </row>
    <row r="2229" ht="15.75" customHeight="1">
      <c r="P2229" s="25"/>
      <c r="Q2229" s="25"/>
      <c r="R2229" s="25"/>
      <c r="S2229" s="25"/>
      <c r="T2229" s="141"/>
      <c r="U2229" s="28"/>
    </row>
    <row r="2230" ht="15.75" customHeight="1">
      <c r="P2230" s="25"/>
      <c r="Q2230" s="25"/>
      <c r="R2230" s="25"/>
      <c r="S2230" s="25"/>
      <c r="T2230" s="141"/>
      <c r="U2230" s="28"/>
    </row>
    <row r="2231" ht="15.75" customHeight="1">
      <c r="P2231" s="25"/>
      <c r="Q2231" s="25"/>
      <c r="R2231" s="25"/>
      <c r="S2231" s="25"/>
      <c r="T2231" s="141"/>
      <c r="U2231" s="28"/>
    </row>
    <row r="2232" ht="15.75" customHeight="1">
      <c r="P2232" s="25"/>
      <c r="Q2232" s="25"/>
      <c r="R2232" s="25"/>
      <c r="S2232" s="25"/>
      <c r="T2232" s="141"/>
      <c r="U2232" s="28"/>
    </row>
    <row r="2233" ht="15.75" customHeight="1">
      <c r="P2233" s="25"/>
      <c r="Q2233" s="25"/>
      <c r="R2233" s="25"/>
      <c r="S2233" s="25"/>
      <c r="T2233" s="141"/>
      <c r="U2233" s="28"/>
    </row>
    <row r="2234" ht="15.75" customHeight="1">
      <c r="P2234" s="25"/>
      <c r="Q2234" s="25"/>
      <c r="R2234" s="25"/>
      <c r="S2234" s="25"/>
      <c r="T2234" s="141"/>
      <c r="U2234" s="28"/>
    </row>
    <row r="2235" ht="15.75" customHeight="1">
      <c r="P2235" s="25"/>
      <c r="Q2235" s="25"/>
      <c r="R2235" s="25"/>
      <c r="S2235" s="25"/>
      <c r="T2235" s="141"/>
      <c r="U2235" s="28"/>
    </row>
    <row r="2236" ht="15.75" customHeight="1">
      <c r="P2236" s="25"/>
      <c r="Q2236" s="25"/>
      <c r="R2236" s="25"/>
      <c r="S2236" s="25"/>
      <c r="T2236" s="141"/>
      <c r="U2236" s="28"/>
    </row>
    <row r="2237" ht="15.75" customHeight="1">
      <c r="P2237" s="25"/>
      <c r="Q2237" s="25"/>
      <c r="R2237" s="25"/>
      <c r="S2237" s="25"/>
      <c r="T2237" s="141"/>
      <c r="U2237" s="28"/>
    </row>
    <row r="2238" ht="15.75" customHeight="1">
      <c r="P2238" s="25"/>
      <c r="Q2238" s="25"/>
      <c r="R2238" s="25"/>
      <c r="S2238" s="25"/>
      <c r="T2238" s="141"/>
      <c r="U2238" s="28"/>
    </row>
    <row r="2239" ht="15.75" customHeight="1">
      <c r="P2239" s="25"/>
      <c r="Q2239" s="25"/>
      <c r="R2239" s="25"/>
      <c r="S2239" s="25"/>
      <c r="T2239" s="141"/>
      <c r="U2239" s="28"/>
    </row>
    <row r="2240" ht="15.75" customHeight="1">
      <c r="P2240" s="25"/>
      <c r="Q2240" s="25"/>
      <c r="R2240" s="25"/>
      <c r="S2240" s="25"/>
      <c r="T2240" s="141"/>
      <c r="U2240" s="28"/>
    </row>
    <row r="2241" ht="15.75" customHeight="1">
      <c r="P2241" s="25"/>
      <c r="Q2241" s="25"/>
      <c r="R2241" s="25"/>
      <c r="S2241" s="25"/>
      <c r="T2241" s="141"/>
      <c r="U2241" s="28"/>
    </row>
    <row r="2242" ht="15.75" customHeight="1">
      <c r="P2242" s="25"/>
      <c r="Q2242" s="25"/>
      <c r="R2242" s="25"/>
      <c r="S2242" s="25"/>
      <c r="T2242" s="141"/>
      <c r="U2242" s="28"/>
    </row>
    <row r="2243" ht="15.75" customHeight="1">
      <c r="P2243" s="25"/>
      <c r="Q2243" s="25"/>
      <c r="R2243" s="25"/>
      <c r="S2243" s="25"/>
      <c r="T2243" s="141"/>
      <c r="U2243" s="28"/>
    </row>
    <row r="2244" ht="15.75" customHeight="1">
      <c r="P2244" s="25"/>
      <c r="Q2244" s="25"/>
      <c r="R2244" s="25"/>
      <c r="S2244" s="25"/>
      <c r="T2244" s="141"/>
      <c r="U2244" s="28"/>
    </row>
    <row r="2245" ht="15.75" customHeight="1">
      <c r="P2245" s="25"/>
      <c r="Q2245" s="25"/>
      <c r="R2245" s="25"/>
      <c r="S2245" s="25"/>
      <c r="T2245" s="141"/>
      <c r="U2245" s="28"/>
    </row>
    <row r="2246" ht="15.75" customHeight="1">
      <c r="P2246" s="25"/>
      <c r="Q2246" s="25"/>
      <c r="R2246" s="25"/>
      <c r="S2246" s="25"/>
      <c r="T2246" s="141"/>
      <c r="U2246" s="28"/>
    </row>
    <row r="2247" ht="15.75" customHeight="1">
      <c r="P2247" s="25"/>
      <c r="Q2247" s="25"/>
      <c r="R2247" s="25"/>
      <c r="S2247" s="25"/>
      <c r="T2247" s="141"/>
      <c r="U2247" s="28"/>
    </row>
    <row r="2248" ht="15.75" customHeight="1">
      <c r="P2248" s="25"/>
      <c r="Q2248" s="25"/>
      <c r="R2248" s="25"/>
      <c r="S2248" s="25"/>
      <c r="T2248" s="141"/>
      <c r="U2248" s="28"/>
    </row>
    <row r="2249" ht="15.75" customHeight="1">
      <c r="P2249" s="25"/>
      <c r="Q2249" s="25"/>
      <c r="R2249" s="25"/>
      <c r="S2249" s="25"/>
      <c r="T2249" s="141"/>
      <c r="U2249" s="28"/>
    </row>
    <row r="2250" ht="15.75" customHeight="1">
      <c r="P2250" s="25"/>
      <c r="Q2250" s="25"/>
      <c r="R2250" s="25"/>
      <c r="S2250" s="25"/>
      <c r="T2250" s="141"/>
      <c r="U2250" s="28"/>
    </row>
    <row r="2251" ht="15.75" customHeight="1">
      <c r="P2251" s="25"/>
      <c r="Q2251" s="25"/>
      <c r="R2251" s="25"/>
      <c r="S2251" s="25"/>
      <c r="T2251" s="141"/>
      <c r="U2251" s="28"/>
    </row>
    <row r="2252" ht="15.75" customHeight="1">
      <c r="P2252" s="25"/>
      <c r="Q2252" s="25"/>
      <c r="R2252" s="25"/>
      <c r="S2252" s="25"/>
      <c r="T2252" s="141"/>
      <c r="U2252" s="28"/>
    </row>
    <row r="2253" ht="15.75" customHeight="1">
      <c r="P2253" s="25"/>
      <c r="Q2253" s="25"/>
      <c r="R2253" s="25"/>
      <c r="S2253" s="25"/>
      <c r="T2253" s="141"/>
      <c r="U2253" s="28"/>
    </row>
    <row r="2254" ht="15.75" customHeight="1">
      <c r="P2254" s="25"/>
      <c r="Q2254" s="25"/>
      <c r="R2254" s="25"/>
      <c r="S2254" s="25"/>
      <c r="T2254" s="141"/>
      <c r="U2254" s="28"/>
    </row>
    <row r="2255" ht="15.75" customHeight="1">
      <c r="P2255" s="25"/>
      <c r="Q2255" s="25"/>
      <c r="R2255" s="25"/>
      <c r="S2255" s="25"/>
      <c r="T2255" s="141"/>
      <c r="U2255" s="28"/>
    </row>
    <row r="2256" ht="15.75" customHeight="1">
      <c r="P2256" s="25"/>
      <c r="Q2256" s="25"/>
      <c r="R2256" s="25"/>
      <c r="S2256" s="25"/>
      <c r="T2256" s="141"/>
      <c r="U2256" s="28"/>
    </row>
    <row r="2257" ht="15.75" customHeight="1">
      <c r="P2257" s="25"/>
      <c r="Q2257" s="25"/>
      <c r="R2257" s="25"/>
      <c r="S2257" s="25"/>
      <c r="T2257" s="141"/>
      <c r="U2257" s="28"/>
    </row>
    <row r="2258" ht="15.75" customHeight="1">
      <c r="P2258" s="25"/>
      <c r="Q2258" s="25"/>
      <c r="R2258" s="25"/>
      <c r="S2258" s="25"/>
      <c r="T2258" s="141"/>
      <c r="U2258" s="28"/>
    </row>
    <row r="2259" ht="15.75" customHeight="1">
      <c r="P2259" s="25"/>
      <c r="Q2259" s="25"/>
      <c r="R2259" s="25"/>
      <c r="S2259" s="25"/>
      <c r="T2259" s="141"/>
      <c r="U2259" s="28"/>
    </row>
    <row r="2260" ht="15.75" customHeight="1">
      <c r="P2260" s="25"/>
      <c r="Q2260" s="25"/>
      <c r="R2260" s="25"/>
      <c r="S2260" s="25"/>
      <c r="T2260" s="141"/>
      <c r="U2260" s="28"/>
    </row>
    <row r="2261" ht="15.75" customHeight="1">
      <c r="P2261" s="25"/>
      <c r="Q2261" s="25"/>
      <c r="R2261" s="25"/>
      <c r="S2261" s="25"/>
      <c r="T2261" s="141"/>
      <c r="U2261" s="28"/>
    </row>
    <row r="2262" ht="15.75" customHeight="1">
      <c r="P2262" s="25"/>
      <c r="Q2262" s="25"/>
      <c r="R2262" s="25"/>
      <c r="S2262" s="25"/>
      <c r="T2262" s="141"/>
      <c r="U2262" s="28"/>
    </row>
    <row r="2263" ht="15.75" customHeight="1">
      <c r="P2263" s="25"/>
      <c r="Q2263" s="25"/>
      <c r="R2263" s="25"/>
      <c r="S2263" s="25"/>
      <c r="T2263" s="141"/>
      <c r="U2263" s="28"/>
    </row>
    <row r="2264" ht="15.75" customHeight="1">
      <c r="P2264" s="25"/>
      <c r="Q2264" s="25"/>
      <c r="R2264" s="25"/>
      <c r="S2264" s="25"/>
      <c r="T2264" s="141"/>
      <c r="U2264" s="28"/>
    </row>
    <row r="2265" ht="15.75" customHeight="1">
      <c r="P2265" s="25"/>
      <c r="Q2265" s="25"/>
      <c r="R2265" s="25"/>
      <c r="S2265" s="25"/>
      <c r="T2265" s="141"/>
      <c r="U2265" s="28"/>
    </row>
    <row r="2266" ht="15.75" customHeight="1">
      <c r="P2266" s="25"/>
      <c r="Q2266" s="25"/>
      <c r="R2266" s="25"/>
      <c r="S2266" s="25"/>
      <c r="T2266" s="141"/>
      <c r="U2266" s="28"/>
    </row>
    <row r="2267" ht="15.75" customHeight="1">
      <c r="P2267" s="25"/>
      <c r="Q2267" s="25"/>
      <c r="R2267" s="25"/>
      <c r="S2267" s="25"/>
      <c r="T2267" s="141"/>
      <c r="U2267" s="28"/>
    </row>
    <row r="2268" ht="15.75" customHeight="1">
      <c r="P2268" s="25"/>
      <c r="Q2268" s="25"/>
      <c r="R2268" s="25"/>
      <c r="S2268" s="25"/>
      <c r="T2268" s="141"/>
      <c r="U2268" s="28"/>
    </row>
    <row r="2269" ht="15.75" customHeight="1">
      <c r="P2269" s="25"/>
      <c r="Q2269" s="25"/>
      <c r="R2269" s="25"/>
      <c r="S2269" s="25"/>
      <c r="T2269" s="141"/>
      <c r="U2269" s="28"/>
    </row>
    <row r="2270" ht="15.75" customHeight="1">
      <c r="P2270" s="25"/>
      <c r="Q2270" s="25"/>
      <c r="R2270" s="25"/>
      <c r="S2270" s="25"/>
      <c r="T2270" s="141"/>
      <c r="U2270" s="28"/>
    </row>
    <row r="2271" ht="15.75" customHeight="1">
      <c r="P2271" s="25"/>
      <c r="Q2271" s="25"/>
      <c r="R2271" s="25"/>
      <c r="S2271" s="25"/>
      <c r="T2271" s="141"/>
      <c r="U2271" s="28"/>
    </row>
    <row r="2272" ht="15.75" customHeight="1">
      <c r="P2272" s="25"/>
      <c r="Q2272" s="25"/>
      <c r="R2272" s="25"/>
      <c r="S2272" s="25"/>
      <c r="T2272" s="141"/>
      <c r="U2272" s="28"/>
    </row>
    <row r="2273" ht="15.75" customHeight="1">
      <c r="P2273" s="25"/>
      <c r="Q2273" s="25"/>
      <c r="R2273" s="25"/>
      <c r="S2273" s="25"/>
      <c r="T2273" s="141"/>
      <c r="U2273" s="28"/>
    </row>
    <row r="2274" ht="15.75" customHeight="1">
      <c r="P2274" s="25"/>
      <c r="Q2274" s="25"/>
      <c r="R2274" s="25"/>
      <c r="S2274" s="25"/>
      <c r="T2274" s="141"/>
      <c r="U2274" s="28"/>
    </row>
    <row r="2275" ht="15.75" customHeight="1">
      <c r="P2275" s="25"/>
      <c r="Q2275" s="25"/>
      <c r="R2275" s="25"/>
      <c r="S2275" s="25"/>
      <c r="T2275" s="141"/>
      <c r="U2275" s="28"/>
    </row>
    <row r="2276" ht="15.75" customHeight="1">
      <c r="P2276" s="25"/>
      <c r="Q2276" s="25"/>
      <c r="R2276" s="25"/>
      <c r="S2276" s="25"/>
      <c r="T2276" s="141"/>
      <c r="U2276" s="28"/>
    </row>
    <row r="2277" ht="15.75" customHeight="1">
      <c r="P2277" s="25"/>
      <c r="Q2277" s="25"/>
      <c r="R2277" s="25"/>
      <c r="S2277" s="25"/>
      <c r="T2277" s="141"/>
      <c r="U2277" s="28"/>
    </row>
    <row r="2278" ht="15.75" customHeight="1">
      <c r="P2278" s="25"/>
      <c r="Q2278" s="25"/>
      <c r="R2278" s="25"/>
      <c r="S2278" s="25"/>
      <c r="T2278" s="141"/>
      <c r="U2278" s="28"/>
    </row>
    <row r="2279" ht="15.75" customHeight="1">
      <c r="P2279" s="25"/>
      <c r="Q2279" s="25"/>
      <c r="R2279" s="25"/>
      <c r="S2279" s="25"/>
      <c r="T2279" s="141"/>
      <c r="U2279" s="28"/>
    </row>
    <row r="2280" ht="15.75" customHeight="1">
      <c r="P2280" s="25"/>
      <c r="Q2280" s="25"/>
      <c r="R2280" s="25"/>
      <c r="S2280" s="25"/>
      <c r="T2280" s="141"/>
      <c r="U2280" s="28"/>
    </row>
    <row r="2281" ht="15.75" customHeight="1">
      <c r="P2281" s="25"/>
      <c r="Q2281" s="25"/>
      <c r="R2281" s="25"/>
      <c r="S2281" s="25"/>
      <c r="T2281" s="141"/>
      <c r="U2281" s="28"/>
    </row>
    <row r="2282" ht="15.75" customHeight="1">
      <c r="P2282" s="25"/>
      <c r="Q2282" s="25"/>
      <c r="R2282" s="25"/>
      <c r="S2282" s="25"/>
      <c r="T2282" s="141"/>
      <c r="U2282" s="28"/>
    </row>
    <row r="2283" ht="15.75" customHeight="1">
      <c r="P2283" s="25"/>
      <c r="Q2283" s="25"/>
      <c r="R2283" s="25"/>
      <c r="S2283" s="25"/>
      <c r="T2283" s="141"/>
      <c r="U2283" s="28"/>
    </row>
    <row r="2284" ht="15.75" customHeight="1">
      <c r="P2284" s="25"/>
      <c r="Q2284" s="25"/>
      <c r="R2284" s="25"/>
      <c r="S2284" s="25"/>
      <c r="T2284" s="141"/>
      <c r="U2284" s="28"/>
    </row>
    <row r="2285" ht="15.75" customHeight="1">
      <c r="P2285" s="25"/>
      <c r="Q2285" s="25"/>
      <c r="R2285" s="25"/>
      <c r="S2285" s="25"/>
      <c r="T2285" s="141"/>
      <c r="U2285" s="28"/>
    </row>
    <row r="2286" ht="15.75" customHeight="1">
      <c r="P2286" s="25"/>
      <c r="Q2286" s="25"/>
      <c r="R2286" s="25"/>
      <c r="S2286" s="25"/>
      <c r="T2286" s="141"/>
      <c r="U2286" s="28"/>
    </row>
    <row r="2287" ht="15.75" customHeight="1">
      <c r="P2287" s="25"/>
      <c r="Q2287" s="25"/>
      <c r="R2287" s="25"/>
      <c r="S2287" s="25"/>
      <c r="T2287" s="141"/>
      <c r="U2287" s="28"/>
    </row>
    <row r="2288" ht="15.75" customHeight="1">
      <c r="P2288" s="25"/>
      <c r="Q2288" s="25"/>
      <c r="R2288" s="25"/>
      <c r="S2288" s="25"/>
      <c r="T2288" s="141"/>
      <c r="U2288" s="28"/>
    </row>
    <row r="2289" ht="15.75" customHeight="1">
      <c r="P2289" s="25"/>
      <c r="Q2289" s="25"/>
      <c r="R2289" s="25"/>
      <c r="S2289" s="25"/>
      <c r="T2289" s="141"/>
      <c r="U2289" s="28"/>
    </row>
    <row r="2290" ht="15.75" customHeight="1">
      <c r="P2290" s="25"/>
      <c r="Q2290" s="25"/>
      <c r="R2290" s="25"/>
      <c r="S2290" s="25"/>
      <c r="T2290" s="141"/>
      <c r="U2290" s="28"/>
    </row>
    <row r="2291" ht="15.75" customHeight="1">
      <c r="P2291" s="25"/>
      <c r="Q2291" s="25"/>
      <c r="R2291" s="25"/>
      <c r="S2291" s="25"/>
      <c r="T2291" s="141"/>
      <c r="U2291" s="28"/>
    </row>
    <row r="2292" ht="15.75" customHeight="1">
      <c r="P2292" s="25"/>
      <c r="Q2292" s="25"/>
      <c r="R2292" s="25"/>
      <c r="S2292" s="25"/>
      <c r="T2292" s="141"/>
      <c r="U2292" s="28"/>
    </row>
    <row r="2293" ht="15.75" customHeight="1">
      <c r="P2293" s="25"/>
      <c r="Q2293" s="25"/>
      <c r="R2293" s="25"/>
      <c r="S2293" s="25"/>
      <c r="T2293" s="141"/>
      <c r="U2293" s="28"/>
    </row>
    <row r="2294" ht="15.75" customHeight="1">
      <c r="P2294" s="25"/>
      <c r="Q2294" s="25"/>
      <c r="R2294" s="25"/>
      <c r="S2294" s="25"/>
      <c r="T2294" s="141"/>
      <c r="U2294" s="28"/>
    </row>
    <row r="2295" ht="15.75" customHeight="1">
      <c r="P2295" s="25"/>
      <c r="Q2295" s="25"/>
      <c r="R2295" s="25"/>
      <c r="S2295" s="25"/>
      <c r="T2295" s="141"/>
      <c r="U2295" s="28"/>
    </row>
    <row r="2296" ht="15.75" customHeight="1">
      <c r="P2296" s="25"/>
      <c r="Q2296" s="25"/>
      <c r="R2296" s="25"/>
      <c r="S2296" s="25"/>
      <c r="T2296" s="141"/>
      <c r="U2296" s="28"/>
    </row>
    <row r="2297" ht="15.75" customHeight="1">
      <c r="P2297" s="25"/>
      <c r="Q2297" s="25"/>
      <c r="R2297" s="25"/>
      <c r="S2297" s="25"/>
      <c r="T2297" s="141"/>
      <c r="U2297" s="28"/>
    </row>
    <row r="2298" ht="15.75" customHeight="1">
      <c r="P2298" s="25"/>
      <c r="Q2298" s="25"/>
      <c r="R2298" s="25"/>
      <c r="S2298" s="25"/>
      <c r="T2298" s="141"/>
      <c r="U2298" s="28"/>
    </row>
    <row r="2299" ht="15.75" customHeight="1">
      <c r="P2299" s="25"/>
      <c r="Q2299" s="25"/>
      <c r="R2299" s="25"/>
      <c r="S2299" s="25"/>
      <c r="T2299" s="141"/>
      <c r="U2299" s="28"/>
    </row>
    <row r="2300" ht="15.75" customHeight="1">
      <c r="P2300" s="25"/>
      <c r="Q2300" s="25"/>
      <c r="R2300" s="25"/>
      <c r="S2300" s="25"/>
      <c r="T2300" s="141"/>
      <c r="U2300" s="28"/>
    </row>
    <row r="2301" ht="15.75" customHeight="1">
      <c r="P2301" s="25"/>
      <c r="Q2301" s="25"/>
      <c r="R2301" s="25"/>
      <c r="S2301" s="25"/>
      <c r="T2301" s="141"/>
      <c r="U2301" s="28"/>
    </row>
    <row r="2302" ht="15.75" customHeight="1">
      <c r="P2302" s="25"/>
      <c r="Q2302" s="25"/>
      <c r="R2302" s="25"/>
      <c r="S2302" s="25"/>
      <c r="T2302" s="141"/>
      <c r="U2302" s="28"/>
    </row>
    <row r="2303" ht="15.75" customHeight="1">
      <c r="P2303" s="25"/>
      <c r="Q2303" s="25"/>
      <c r="R2303" s="25"/>
      <c r="S2303" s="25"/>
      <c r="T2303" s="141"/>
      <c r="U2303" s="28"/>
    </row>
    <row r="2304" ht="15.75" customHeight="1">
      <c r="P2304" s="25"/>
      <c r="Q2304" s="25"/>
      <c r="R2304" s="25"/>
      <c r="S2304" s="25"/>
      <c r="T2304" s="141"/>
      <c r="U2304" s="28"/>
    </row>
    <row r="2305" ht="15.75" customHeight="1">
      <c r="P2305" s="25"/>
      <c r="Q2305" s="25"/>
      <c r="R2305" s="25"/>
      <c r="S2305" s="25"/>
      <c r="T2305" s="141"/>
      <c r="U2305" s="28"/>
    </row>
    <row r="2306" ht="15.75" customHeight="1">
      <c r="P2306" s="25"/>
      <c r="Q2306" s="25"/>
      <c r="R2306" s="25"/>
      <c r="S2306" s="25"/>
      <c r="T2306" s="141"/>
      <c r="U2306" s="28"/>
    </row>
    <row r="2307" ht="15.75" customHeight="1">
      <c r="P2307" s="25"/>
      <c r="Q2307" s="25"/>
      <c r="R2307" s="25"/>
      <c r="S2307" s="25"/>
      <c r="T2307" s="141"/>
      <c r="U2307" s="28"/>
    </row>
    <row r="2308" ht="15.75" customHeight="1">
      <c r="P2308" s="25"/>
      <c r="Q2308" s="25"/>
      <c r="R2308" s="25"/>
      <c r="S2308" s="25"/>
      <c r="T2308" s="141"/>
      <c r="U2308" s="28"/>
    </row>
    <row r="2309" ht="15.75" customHeight="1">
      <c r="P2309" s="25"/>
      <c r="Q2309" s="25"/>
      <c r="R2309" s="25"/>
      <c r="S2309" s="25"/>
      <c r="T2309" s="141"/>
      <c r="U2309" s="28"/>
    </row>
    <row r="2310" ht="15.75" customHeight="1">
      <c r="P2310" s="25"/>
      <c r="Q2310" s="25"/>
      <c r="R2310" s="25"/>
      <c r="S2310" s="25"/>
      <c r="T2310" s="141"/>
      <c r="U2310" s="28"/>
    </row>
    <row r="2311" ht="15.75" customHeight="1">
      <c r="P2311" s="25"/>
      <c r="Q2311" s="25"/>
      <c r="R2311" s="25"/>
      <c r="S2311" s="25"/>
      <c r="T2311" s="141"/>
      <c r="U2311" s="28"/>
    </row>
    <row r="2312" ht="15.75" customHeight="1">
      <c r="P2312" s="25"/>
      <c r="Q2312" s="25"/>
      <c r="R2312" s="25"/>
      <c r="S2312" s="25"/>
      <c r="T2312" s="141"/>
      <c r="U2312" s="28"/>
    </row>
    <row r="2313" ht="15.75" customHeight="1">
      <c r="P2313" s="25"/>
      <c r="Q2313" s="25"/>
      <c r="R2313" s="25"/>
      <c r="S2313" s="25"/>
      <c r="T2313" s="141"/>
      <c r="U2313" s="28"/>
    </row>
    <row r="2314" ht="15.75" customHeight="1">
      <c r="P2314" s="25"/>
      <c r="Q2314" s="25"/>
      <c r="R2314" s="25"/>
      <c r="S2314" s="25"/>
      <c r="T2314" s="141"/>
      <c r="U2314" s="28"/>
    </row>
    <row r="2315" ht="15.75" customHeight="1">
      <c r="P2315" s="25"/>
      <c r="Q2315" s="25"/>
      <c r="R2315" s="25"/>
      <c r="S2315" s="25"/>
      <c r="T2315" s="141"/>
      <c r="U2315" s="28"/>
    </row>
    <row r="2316" ht="15.75" customHeight="1">
      <c r="P2316" s="25"/>
      <c r="Q2316" s="25"/>
      <c r="R2316" s="25"/>
      <c r="S2316" s="25"/>
      <c r="T2316" s="141"/>
      <c r="U2316" s="28"/>
    </row>
    <row r="2317" ht="15.75" customHeight="1">
      <c r="P2317" s="25"/>
      <c r="Q2317" s="25"/>
      <c r="R2317" s="25"/>
      <c r="S2317" s="25"/>
      <c r="T2317" s="141"/>
      <c r="U2317" s="28"/>
    </row>
    <row r="2318" ht="15.75" customHeight="1">
      <c r="P2318" s="25"/>
      <c r="Q2318" s="25"/>
      <c r="R2318" s="25"/>
      <c r="S2318" s="25"/>
      <c r="T2318" s="141"/>
      <c r="U2318" s="28"/>
    </row>
    <row r="2319" ht="15.75" customHeight="1">
      <c r="P2319" s="25"/>
      <c r="Q2319" s="25"/>
      <c r="R2319" s="25"/>
      <c r="S2319" s="25"/>
      <c r="T2319" s="141"/>
      <c r="U2319" s="28"/>
    </row>
    <row r="2320" ht="15.75" customHeight="1">
      <c r="P2320" s="25"/>
      <c r="Q2320" s="25"/>
      <c r="R2320" s="25"/>
      <c r="S2320" s="25"/>
      <c r="T2320" s="141"/>
      <c r="U2320" s="28"/>
    </row>
    <row r="2321" ht="15.75" customHeight="1">
      <c r="P2321" s="25"/>
      <c r="Q2321" s="25"/>
      <c r="R2321" s="25"/>
      <c r="S2321" s="25"/>
      <c r="T2321" s="141"/>
      <c r="U2321" s="28"/>
    </row>
    <row r="2322" ht="15.75" customHeight="1">
      <c r="P2322" s="25"/>
      <c r="Q2322" s="25"/>
      <c r="R2322" s="25"/>
      <c r="S2322" s="25"/>
      <c r="T2322" s="141"/>
      <c r="U2322" s="28"/>
    </row>
    <row r="2323" ht="15.75" customHeight="1">
      <c r="P2323" s="25"/>
      <c r="Q2323" s="25"/>
      <c r="R2323" s="25"/>
      <c r="S2323" s="25"/>
      <c r="T2323" s="141"/>
      <c r="U2323" s="28"/>
    </row>
    <row r="2324" ht="15.75" customHeight="1">
      <c r="P2324" s="25"/>
      <c r="Q2324" s="25"/>
      <c r="R2324" s="25"/>
      <c r="S2324" s="25"/>
      <c r="T2324" s="141"/>
      <c r="U2324" s="28"/>
    </row>
    <row r="2325" ht="15.75" customHeight="1">
      <c r="P2325" s="25"/>
      <c r="Q2325" s="25"/>
      <c r="R2325" s="25"/>
      <c r="S2325" s="25"/>
      <c r="T2325" s="141"/>
      <c r="U2325" s="28"/>
    </row>
    <row r="2326" ht="15.75" customHeight="1">
      <c r="P2326" s="25"/>
      <c r="Q2326" s="25"/>
      <c r="R2326" s="25"/>
      <c r="S2326" s="25"/>
      <c r="T2326" s="141"/>
      <c r="U2326" s="28"/>
    </row>
    <row r="2327" ht="15.75" customHeight="1">
      <c r="P2327" s="25"/>
      <c r="Q2327" s="25"/>
      <c r="R2327" s="25"/>
      <c r="S2327" s="25"/>
      <c r="T2327" s="141"/>
      <c r="U2327" s="28"/>
    </row>
    <row r="2328" ht="15.75" customHeight="1">
      <c r="P2328" s="25"/>
      <c r="Q2328" s="25"/>
      <c r="R2328" s="25"/>
      <c r="S2328" s="25"/>
      <c r="T2328" s="141"/>
      <c r="U2328" s="28"/>
    </row>
    <row r="2329" ht="15.75" customHeight="1">
      <c r="P2329" s="25"/>
      <c r="Q2329" s="25"/>
      <c r="R2329" s="25"/>
      <c r="S2329" s="25"/>
      <c r="T2329" s="141"/>
      <c r="U2329" s="28"/>
    </row>
    <row r="2330" ht="15.75" customHeight="1">
      <c r="P2330" s="25"/>
      <c r="Q2330" s="25"/>
      <c r="R2330" s="25"/>
      <c r="S2330" s="25"/>
      <c r="T2330" s="141"/>
      <c r="U2330" s="28"/>
    </row>
    <row r="2331" ht="15.75" customHeight="1">
      <c r="P2331" s="25"/>
      <c r="Q2331" s="25"/>
      <c r="R2331" s="25"/>
      <c r="S2331" s="25"/>
      <c r="T2331" s="141"/>
      <c r="U2331" s="28"/>
    </row>
    <row r="2332" ht="15.75" customHeight="1">
      <c r="P2332" s="25"/>
      <c r="Q2332" s="25"/>
      <c r="R2332" s="25"/>
      <c r="S2332" s="25"/>
      <c r="T2332" s="141"/>
      <c r="U2332" s="28"/>
    </row>
    <row r="2333" ht="15.75" customHeight="1">
      <c r="P2333" s="25"/>
      <c r="Q2333" s="25"/>
      <c r="R2333" s="25"/>
      <c r="S2333" s="25"/>
      <c r="T2333" s="141"/>
      <c r="U2333" s="28"/>
    </row>
    <row r="2334" ht="15.75" customHeight="1">
      <c r="P2334" s="25"/>
      <c r="Q2334" s="25"/>
      <c r="R2334" s="25"/>
      <c r="S2334" s="25"/>
      <c r="T2334" s="141"/>
      <c r="U2334" s="28"/>
    </row>
    <row r="2335" ht="15.75" customHeight="1">
      <c r="P2335" s="25"/>
      <c r="Q2335" s="25"/>
      <c r="R2335" s="25"/>
      <c r="S2335" s="25"/>
      <c r="T2335" s="141"/>
      <c r="U2335" s="28"/>
    </row>
    <row r="2336" ht="15.75" customHeight="1">
      <c r="P2336" s="25"/>
      <c r="Q2336" s="25"/>
      <c r="R2336" s="25"/>
      <c r="S2336" s="25"/>
      <c r="T2336" s="141"/>
      <c r="U2336" s="28"/>
    </row>
    <row r="2337" ht="15.75" customHeight="1">
      <c r="P2337" s="25"/>
      <c r="Q2337" s="25"/>
      <c r="R2337" s="25"/>
      <c r="S2337" s="25"/>
      <c r="T2337" s="141"/>
      <c r="U2337" s="28"/>
    </row>
    <row r="2338" ht="15.75" customHeight="1">
      <c r="P2338" s="25"/>
      <c r="Q2338" s="25"/>
      <c r="R2338" s="25"/>
      <c r="S2338" s="25"/>
      <c r="T2338" s="141"/>
      <c r="U2338" s="28"/>
    </row>
    <row r="2339" ht="15.75" customHeight="1">
      <c r="P2339" s="25"/>
      <c r="Q2339" s="25"/>
      <c r="R2339" s="25"/>
      <c r="S2339" s="25"/>
      <c r="T2339" s="141"/>
      <c r="U2339" s="28"/>
    </row>
    <row r="2340" ht="15.75" customHeight="1">
      <c r="P2340" s="25"/>
      <c r="Q2340" s="25"/>
      <c r="R2340" s="25"/>
      <c r="S2340" s="25"/>
      <c r="T2340" s="141"/>
      <c r="U2340" s="28"/>
    </row>
    <row r="2341" ht="15.75" customHeight="1">
      <c r="P2341" s="25"/>
      <c r="Q2341" s="25"/>
      <c r="R2341" s="25"/>
      <c r="S2341" s="25"/>
      <c r="T2341" s="141"/>
      <c r="U2341" s="28"/>
    </row>
    <row r="2342" ht="15.75" customHeight="1">
      <c r="P2342" s="25"/>
      <c r="Q2342" s="25"/>
      <c r="R2342" s="25"/>
      <c r="S2342" s="25"/>
      <c r="T2342" s="141"/>
      <c r="U2342" s="28"/>
    </row>
    <row r="2343" ht="15.75" customHeight="1">
      <c r="P2343" s="25"/>
      <c r="Q2343" s="25"/>
      <c r="R2343" s="25"/>
      <c r="S2343" s="25"/>
      <c r="T2343" s="141"/>
      <c r="U2343" s="28"/>
    </row>
    <row r="2344" ht="15.75" customHeight="1">
      <c r="P2344" s="25"/>
      <c r="Q2344" s="25"/>
      <c r="R2344" s="25"/>
      <c r="S2344" s="25"/>
      <c r="T2344" s="141"/>
      <c r="U2344" s="28"/>
    </row>
    <row r="2345" ht="15.75" customHeight="1">
      <c r="P2345" s="25"/>
      <c r="Q2345" s="25"/>
      <c r="R2345" s="25"/>
      <c r="S2345" s="25"/>
      <c r="T2345" s="141"/>
      <c r="U2345" s="28"/>
    </row>
    <row r="2346" ht="15.75" customHeight="1">
      <c r="P2346" s="25"/>
      <c r="Q2346" s="25"/>
      <c r="R2346" s="25"/>
      <c r="S2346" s="25"/>
      <c r="T2346" s="141"/>
      <c r="U2346" s="28"/>
    </row>
    <row r="2347" ht="15.75" customHeight="1">
      <c r="P2347" s="25"/>
      <c r="Q2347" s="25"/>
      <c r="R2347" s="25"/>
      <c r="S2347" s="25"/>
      <c r="T2347" s="141"/>
      <c r="U2347" s="28"/>
    </row>
    <row r="2348" ht="15.75" customHeight="1">
      <c r="P2348" s="25"/>
      <c r="Q2348" s="25"/>
      <c r="R2348" s="25"/>
      <c r="S2348" s="25"/>
      <c r="T2348" s="141"/>
      <c r="U2348" s="28"/>
    </row>
    <row r="2349" ht="15.75" customHeight="1">
      <c r="P2349" s="25"/>
      <c r="Q2349" s="25"/>
      <c r="R2349" s="25"/>
      <c r="S2349" s="25"/>
      <c r="T2349" s="141"/>
      <c r="U2349" s="28"/>
    </row>
    <row r="2350" ht="15.75" customHeight="1">
      <c r="P2350" s="25"/>
      <c r="Q2350" s="25"/>
      <c r="R2350" s="25"/>
      <c r="S2350" s="25"/>
      <c r="T2350" s="141"/>
      <c r="U2350" s="28"/>
    </row>
    <row r="2351" ht="15.75" customHeight="1">
      <c r="P2351" s="25"/>
      <c r="Q2351" s="25"/>
      <c r="R2351" s="25"/>
      <c r="S2351" s="25"/>
      <c r="T2351" s="141"/>
      <c r="U2351" s="28"/>
    </row>
    <row r="2352" ht="15.75" customHeight="1">
      <c r="P2352" s="25"/>
      <c r="Q2352" s="25"/>
      <c r="R2352" s="25"/>
      <c r="S2352" s="25"/>
      <c r="T2352" s="141"/>
      <c r="U2352" s="28"/>
    </row>
    <row r="2353" ht="15.75" customHeight="1">
      <c r="P2353" s="25"/>
      <c r="Q2353" s="25"/>
      <c r="R2353" s="25"/>
      <c r="S2353" s="25"/>
      <c r="T2353" s="141"/>
      <c r="U2353" s="28"/>
    </row>
    <row r="2354" ht="15.75" customHeight="1">
      <c r="P2354" s="25"/>
      <c r="Q2354" s="25"/>
      <c r="R2354" s="25"/>
      <c r="S2354" s="25"/>
      <c r="T2354" s="141"/>
      <c r="U2354" s="28"/>
    </row>
    <row r="2355" ht="15.75" customHeight="1">
      <c r="P2355" s="25"/>
      <c r="Q2355" s="25"/>
      <c r="R2355" s="25"/>
      <c r="S2355" s="25"/>
      <c r="T2355" s="141"/>
      <c r="U2355" s="28"/>
    </row>
    <row r="2356" ht="15.75" customHeight="1">
      <c r="P2356" s="25"/>
      <c r="Q2356" s="25"/>
      <c r="R2356" s="25"/>
      <c r="S2356" s="25"/>
      <c r="T2356" s="141"/>
      <c r="U2356" s="28"/>
    </row>
    <row r="2357" ht="15.75" customHeight="1">
      <c r="P2357" s="25"/>
      <c r="Q2357" s="25"/>
      <c r="R2357" s="25"/>
      <c r="S2357" s="25"/>
      <c r="T2357" s="141"/>
      <c r="U2357" s="28"/>
    </row>
    <row r="2358" ht="15.75" customHeight="1">
      <c r="P2358" s="25"/>
      <c r="Q2358" s="25"/>
      <c r="R2358" s="25"/>
      <c r="S2358" s="25"/>
      <c r="T2358" s="141"/>
      <c r="U2358" s="28"/>
    </row>
    <row r="2359" ht="15.75" customHeight="1">
      <c r="P2359" s="25"/>
      <c r="Q2359" s="25"/>
      <c r="R2359" s="25"/>
      <c r="S2359" s="25"/>
      <c r="T2359" s="141"/>
      <c r="U2359" s="28"/>
    </row>
    <row r="2360" ht="15.75" customHeight="1">
      <c r="P2360" s="25"/>
      <c r="Q2360" s="25"/>
      <c r="R2360" s="25"/>
      <c r="S2360" s="25"/>
      <c r="T2360" s="141"/>
      <c r="U2360" s="28"/>
    </row>
    <row r="2361" ht="15.75" customHeight="1">
      <c r="P2361" s="25"/>
      <c r="Q2361" s="25"/>
      <c r="R2361" s="25"/>
      <c r="S2361" s="25"/>
      <c r="T2361" s="141"/>
      <c r="U2361" s="28"/>
    </row>
    <row r="2362" ht="15.75" customHeight="1">
      <c r="P2362" s="25"/>
      <c r="Q2362" s="25"/>
      <c r="R2362" s="25"/>
      <c r="S2362" s="25"/>
      <c r="T2362" s="141"/>
      <c r="U2362" s="28"/>
    </row>
    <row r="2363" ht="15.75" customHeight="1">
      <c r="P2363" s="25"/>
      <c r="Q2363" s="25"/>
      <c r="R2363" s="25"/>
      <c r="S2363" s="25"/>
      <c r="T2363" s="141"/>
      <c r="U2363" s="28"/>
    </row>
    <row r="2364" ht="15.75" customHeight="1">
      <c r="P2364" s="25"/>
      <c r="Q2364" s="25"/>
      <c r="R2364" s="25"/>
      <c r="S2364" s="25"/>
      <c r="T2364" s="141"/>
      <c r="U2364" s="28"/>
    </row>
    <row r="2365" ht="15.75" customHeight="1">
      <c r="P2365" s="25"/>
      <c r="Q2365" s="25"/>
      <c r="R2365" s="25"/>
      <c r="S2365" s="25"/>
      <c r="T2365" s="141"/>
      <c r="U2365" s="28"/>
    </row>
    <row r="2366" ht="15.75" customHeight="1">
      <c r="P2366" s="25"/>
      <c r="Q2366" s="25"/>
      <c r="R2366" s="25"/>
      <c r="S2366" s="25"/>
      <c r="T2366" s="141"/>
      <c r="U2366" s="28"/>
    </row>
    <row r="2367" ht="15.75" customHeight="1">
      <c r="P2367" s="25"/>
      <c r="Q2367" s="25"/>
      <c r="R2367" s="25"/>
      <c r="S2367" s="25"/>
      <c r="T2367" s="141"/>
      <c r="U2367" s="28"/>
    </row>
    <row r="2368" ht="15.75" customHeight="1">
      <c r="P2368" s="25"/>
      <c r="Q2368" s="25"/>
      <c r="R2368" s="25"/>
      <c r="S2368" s="25"/>
      <c r="T2368" s="141"/>
      <c r="U2368" s="28"/>
    </row>
    <row r="2369" ht="15.75" customHeight="1">
      <c r="P2369" s="25"/>
      <c r="Q2369" s="25"/>
      <c r="R2369" s="25"/>
      <c r="S2369" s="25"/>
      <c r="T2369" s="141"/>
      <c r="U2369" s="28"/>
    </row>
    <row r="2370" ht="15.75" customHeight="1">
      <c r="P2370" s="25"/>
      <c r="Q2370" s="25"/>
      <c r="R2370" s="25"/>
      <c r="S2370" s="25"/>
      <c r="T2370" s="141"/>
      <c r="U2370" s="28"/>
    </row>
    <row r="2371" ht="15.75" customHeight="1">
      <c r="P2371" s="25"/>
      <c r="Q2371" s="25"/>
      <c r="R2371" s="25"/>
      <c r="S2371" s="25"/>
      <c r="T2371" s="141"/>
      <c r="U2371" s="28"/>
    </row>
    <row r="2372" ht="15.75" customHeight="1">
      <c r="P2372" s="25"/>
      <c r="Q2372" s="25"/>
      <c r="R2372" s="25"/>
      <c r="S2372" s="25"/>
      <c r="T2372" s="141"/>
      <c r="U2372" s="28"/>
    </row>
    <row r="2373" ht="15.75" customHeight="1">
      <c r="P2373" s="25"/>
      <c r="Q2373" s="25"/>
      <c r="R2373" s="25"/>
      <c r="S2373" s="25"/>
      <c r="T2373" s="141"/>
      <c r="U2373" s="28"/>
    </row>
    <row r="2374" ht="15.75" customHeight="1">
      <c r="P2374" s="25"/>
      <c r="Q2374" s="25"/>
      <c r="R2374" s="25"/>
      <c r="S2374" s="25"/>
      <c r="T2374" s="141"/>
      <c r="U2374" s="28"/>
    </row>
    <row r="2375" ht="15.75" customHeight="1">
      <c r="P2375" s="25"/>
      <c r="Q2375" s="25"/>
      <c r="R2375" s="25"/>
      <c r="S2375" s="25"/>
      <c r="T2375" s="141"/>
      <c r="U2375" s="28"/>
    </row>
    <row r="2376" ht="15.75" customHeight="1">
      <c r="P2376" s="25"/>
      <c r="Q2376" s="25"/>
      <c r="R2376" s="25"/>
      <c r="S2376" s="25"/>
      <c r="T2376" s="141"/>
      <c r="U2376" s="28"/>
    </row>
    <row r="2377" ht="15.75" customHeight="1">
      <c r="P2377" s="25"/>
      <c r="Q2377" s="25"/>
      <c r="R2377" s="25"/>
      <c r="S2377" s="25"/>
      <c r="T2377" s="141"/>
      <c r="U2377" s="28"/>
    </row>
    <row r="2378" ht="15.75" customHeight="1">
      <c r="P2378" s="25"/>
      <c r="Q2378" s="25"/>
      <c r="R2378" s="25"/>
      <c r="S2378" s="25"/>
      <c r="T2378" s="141"/>
      <c r="U2378" s="28"/>
    </row>
    <row r="2379" ht="15.75" customHeight="1">
      <c r="P2379" s="25"/>
      <c r="Q2379" s="25"/>
      <c r="R2379" s="25"/>
      <c r="S2379" s="25"/>
      <c r="T2379" s="141"/>
      <c r="U2379" s="28"/>
    </row>
    <row r="2380" ht="15.75" customHeight="1">
      <c r="P2380" s="25"/>
      <c r="Q2380" s="25"/>
      <c r="R2380" s="25"/>
      <c r="S2380" s="25"/>
      <c r="T2380" s="141"/>
      <c r="U2380" s="28"/>
    </row>
    <row r="2381" ht="15.75" customHeight="1">
      <c r="P2381" s="25"/>
      <c r="Q2381" s="25"/>
      <c r="R2381" s="25"/>
      <c r="S2381" s="25"/>
      <c r="T2381" s="141"/>
      <c r="U2381" s="28"/>
    </row>
    <row r="2382" ht="15.75" customHeight="1">
      <c r="P2382" s="25"/>
      <c r="Q2382" s="25"/>
      <c r="R2382" s="25"/>
      <c r="S2382" s="25"/>
      <c r="T2382" s="141"/>
      <c r="U2382" s="28"/>
    </row>
    <row r="2383" ht="15.75" customHeight="1">
      <c r="P2383" s="25"/>
      <c r="Q2383" s="25"/>
      <c r="R2383" s="25"/>
      <c r="S2383" s="25"/>
      <c r="T2383" s="141"/>
      <c r="U2383" s="28"/>
    </row>
    <row r="2384" ht="15.75" customHeight="1">
      <c r="P2384" s="25"/>
      <c r="Q2384" s="25"/>
      <c r="R2384" s="25"/>
      <c r="S2384" s="25"/>
      <c r="T2384" s="141"/>
      <c r="U2384" s="28"/>
    </row>
    <row r="2385" ht="15.75" customHeight="1">
      <c r="P2385" s="25"/>
      <c r="Q2385" s="25"/>
      <c r="R2385" s="25"/>
      <c r="S2385" s="25"/>
      <c r="T2385" s="141"/>
      <c r="U2385" s="28"/>
    </row>
    <row r="2386" ht="15.75" customHeight="1">
      <c r="P2386" s="25"/>
      <c r="Q2386" s="25"/>
      <c r="R2386" s="25"/>
      <c r="S2386" s="25"/>
      <c r="T2386" s="141"/>
      <c r="U2386" s="28"/>
    </row>
    <row r="2387" ht="15.75" customHeight="1">
      <c r="P2387" s="25"/>
      <c r="Q2387" s="25"/>
      <c r="R2387" s="25"/>
      <c r="S2387" s="25"/>
      <c r="T2387" s="141"/>
      <c r="U2387" s="28"/>
    </row>
    <row r="2388" ht="15.75" customHeight="1">
      <c r="P2388" s="25"/>
      <c r="Q2388" s="25"/>
      <c r="R2388" s="25"/>
      <c r="S2388" s="25"/>
      <c r="T2388" s="141"/>
      <c r="U2388" s="28"/>
    </row>
    <row r="2389" ht="15.75" customHeight="1">
      <c r="P2389" s="25"/>
      <c r="Q2389" s="25"/>
      <c r="R2389" s="25"/>
      <c r="S2389" s="25"/>
      <c r="T2389" s="141"/>
      <c r="U2389" s="28"/>
    </row>
    <row r="2390" ht="15.75" customHeight="1">
      <c r="P2390" s="25"/>
      <c r="Q2390" s="25"/>
      <c r="R2390" s="25"/>
      <c r="S2390" s="25"/>
      <c r="T2390" s="141"/>
      <c r="U2390" s="28"/>
    </row>
    <row r="2391" ht="15.75" customHeight="1">
      <c r="P2391" s="25"/>
      <c r="Q2391" s="25"/>
      <c r="R2391" s="25"/>
      <c r="S2391" s="25"/>
      <c r="T2391" s="141"/>
      <c r="U2391" s="28"/>
    </row>
    <row r="2392" ht="15.75" customHeight="1">
      <c r="P2392" s="25"/>
      <c r="Q2392" s="25"/>
      <c r="R2392" s="25"/>
      <c r="S2392" s="25"/>
      <c r="T2392" s="141"/>
      <c r="U2392" s="28"/>
    </row>
    <row r="2393" ht="15.75" customHeight="1">
      <c r="P2393" s="25"/>
      <c r="Q2393" s="25"/>
      <c r="R2393" s="25"/>
      <c r="S2393" s="25"/>
      <c r="T2393" s="141"/>
      <c r="U2393" s="28"/>
    </row>
    <row r="2394" ht="15.75" customHeight="1">
      <c r="P2394" s="25"/>
      <c r="Q2394" s="25"/>
      <c r="R2394" s="25"/>
      <c r="S2394" s="25"/>
      <c r="T2394" s="141"/>
      <c r="U2394" s="28"/>
    </row>
    <row r="2395" ht="15.75" customHeight="1">
      <c r="P2395" s="25"/>
      <c r="Q2395" s="25"/>
      <c r="R2395" s="25"/>
      <c r="S2395" s="25"/>
      <c r="T2395" s="141"/>
      <c r="U2395" s="28"/>
    </row>
    <row r="2396" ht="15.75" customHeight="1">
      <c r="P2396" s="25"/>
      <c r="Q2396" s="25"/>
      <c r="R2396" s="25"/>
      <c r="S2396" s="25"/>
      <c r="T2396" s="141"/>
      <c r="U2396" s="28"/>
    </row>
    <row r="2397" ht="15.75" customHeight="1">
      <c r="P2397" s="25"/>
      <c r="Q2397" s="25"/>
      <c r="R2397" s="25"/>
      <c r="S2397" s="25"/>
      <c r="T2397" s="141"/>
      <c r="U2397" s="28"/>
    </row>
    <row r="2398" ht="15.75" customHeight="1">
      <c r="P2398" s="25"/>
      <c r="Q2398" s="25"/>
      <c r="R2398" s="25"/>
      <c r="S2398" s="25"/>
      <c r="T2398" s="141"/>
      <c r="U2398" s="28"/>
    </row>
    <row r="2399" ht="15.75" customHeight="1">
      <c r="P2399" s="25"/>
      <c r="Q2399" s="25"/>
      <c r="R2399" s="25"/>
      <c r="S2399" s="25"/>
      <c r="T2399" s="141"/>
      <c r="U2399" s="28"/>
    </row>
    <row r="2400" ht="15.75" customHeight="1">
      <c r="P2400" s="25"/>
      <c r="Q2400" s="25"/>
      <c r="R2400" s="25"/>
      <c r="S2400" s="25"/>
      <c r="T2400" s="141"/>
      <c r="U2400" s="28"/>
    </row>
    <row r="2401" ht="15.75" customHeight="1">
      <c r="P2401" s="25"/>
      <c r="Q2401" s="25"/>
      <c r="R2401" s="25"/>
      <c r="S2401" s="25"/>
      <c r="T2401" s="141"/>
      <c r="U2401" s="28"/>
    </row>
    <row r="2402" ht="15.75" customHeight="1">
      <c r="P2402" s="25"/>
      <c r="Q2402" s="25"/>
      <c r="R2402" s="25"/>
      <c r="S2402" s="25"/>
      <c r="T2402" s="141"/>
      <c r="U2402" s="28"/>
    </row>
    <row r="2403" ht="15.75" customHeight="1">
      <c r="P2403" s="25"/>
      <c r="Q2403" s="25"/>
      <c r="R2403" s="25"/>
      <c r="S2403" s="25"/>
      <c r="T2403" s="141"/>
      <c r="U2403" s="28"/>
    </row>
    <row r="2404" ht="15.75" customHeight="1">
      <c r="P2404" s="25"/>
      <c r="Q2404" s="25"/>
      <c r="R2404" s="25"/>
      <c r="S2404" s="25"/>
      <c r="T2404" s="141"/>
      <c r="U2404" s="28"/>
    </row>
    <row r="2405" ht="15.75" customHeight="1">
      <c r="P2405" s="25"/>
      <c r="Q2405" s="25"/>
      <c r="R2405" s="25"/>
      <c r="S2405" s="25"/>
      <c r="T2405" s="141"/>
      <c r="U2405" s="28"/>
    </row>
    <row r="2406" ht="15.75" customHeight="1">
      <c r="P2406" s="25"/>
      <c r="Q2406" s="25"/>
      <c r="R2406" s="25"/>
      <c r="S2406" s="25"/>
      <c r="T2406" s="141"/>
      <c r="U2406" s="28"/>
    </row>
    <row r="2407" ht="15.75" customHeight="1">
      <c r="P2407" s="25"/>
      <c r="Q2407" s="25"/>
      <c r="R2407" s="25"/>
      <c r="S2407" s="25"/>
      <c r="T2407" s="141"/>
      <c r="U2407" s="28"/>
    </row>
    <row r="2408" ht="15.75" customHeight="1">
      <c r="P2408" s="25"/>
      <c r="Q2408" s="25"/>
      <c r="R2408" s="25"/>
      <c r="S2408" s="25"/>
      <c r="T2408" s="141"/>
      <c r="U2408" s="28"/>
    </row>
    <row r="2409" ht="15.75" customHeight="1">
      <c r="P2409" s="25"/>
      <c r="Q2409" s="25"/>
      <c r="R2409" s="25"/>
      <c r="S2409" s="25"/>
      <c r="T2409" s="141"/>
      <c r="U2409" s="28"/>
    </row>
    <row r="2410" ht="15.75" customHeight="1">
      <c r="P2410" s="25"/>
      <c r="Q2410" s="25"/>
      <c r="R2410" s="25"/>
      <c r="S2410" s="25"/>
      <c r="T2410" s="141"/>
      <c r="U2410" s="28"/>
    </row>
    <row r="2411" ht="15.75" customHeight="1">
      <c r="P2411" s="25"/>
      <c r="Q2411" s="25"/>
      <c r="R2411" s="25"/>
      <c r="S2411" s="25"/>
      <c r="T2411" s="141"/>
      <c r="U2411" s="28"/>
    </row>
    <row r="2412" ht="15.75" customHeight="1">
      <c r="P2412" s="25"/>
      <c r="Q2412" s="25"/>
      <c r="R2412" s="25"/>
      <c r="S2412" s="25"/>
      <c r="T2412" s="141"/>
      <c r="U2412" s="28"/>
    </row>
    <row r="2413" ht="15.75" customHeight="1">
      <c r="P2413" s="25"/>
      <c r="Q2413" s="25"/>
      <c r="R2413" s="25"/>
      <c r="S2413" s="25"/>
      <c r="T2413" s="141"/>
      <c r="U2413" s="28"/>
    </row>
    <row r="2414" ht="15.75" customHeight="1">
      <c r="P2414" s="25"/>
      <c r="Q2414" s="25"/>
      <c r="R2414" s="25"/>
      <c r="S2414" s="25"/>
      <c r="T2414" s="141"/>
      <c r="U2414" s="28"/>
    </row>
    <row r="2415" ht="15.75" customHeight="1">
      <c r="P2415" s="25"/>
      <c r="Q2415" s="25"/>
      <c r="R2415" s="25"/>
      <c r="S2415" s="25"/>
      <c r="T2415" s="141"/>
      <c r="U2415" s="28"/>
    </row>
    <row r="2416" ht="15.75" customHeight="1">
      <c r="P2416" s="25"/>
      <c r="Q2416" s="25"/>
      <c r="R2416" s="25"/>
      <c r="S2416" s="25"/>
      <c r="T2416" s="141"/>
      <c r="U2416" s="28"/>
    </row>
    <row r="2417" ht="15.75" customHeight="1">
      <c r="P2417" s="25"/>
      <c r="Q2417" s="25"/>
      <c r="R2417" s="25"/>
      <c r="S2417" s="25"/>
      <c r="T2417" s="141"/>
      <c r="U2417" s="28"/>
    </row>
    <row r="2418" ht="15.75" customHeight="1">
      <c r="P2418" s="25"/>
      <c r="Q2418" s="25"/>
      <c r="R2418" s="25"/>
      <c r="S2418" s="25"/>
      <c r="T2418" s="141"/>
      <c r="U2418" s="28"/>
    </row>
    <row r="2419" ht="15.75" customHeight="1">
      <c r="P2419" s="25"/>
      <c r="Q2419" s="25"/>
      <c r="R2419" s="25"/>
      <c r="S2419" s="25"/>
      <c r="T2419" s="141"/>
      <c r="U2419" s="28"/>
    </row>
    <row r="2420" ht="15.75" customHeight="1">
      <c r="P2420" s="25"/>
      <c r="Q2420" s="25"/>
      <c r="R2420" s="25"/>
      <c r="S2420" s="25"/>
      <c r="T2420" s="141"/>
      <c r="U2420" s="28"/>
    </row>
    <row r="2421" ht="15.75" customHeight="1">
      <c r="P2421" s="25"/>
      <c r="Q2421" s="25"/>
      <c r="R2421" s="25"/>
      <c r="S2421" s="25"/>
      <c r="T2421" s="141"/>
      <c r="U2421" s="28"/>
    </row>
    <row r="2422" ht="15.75" customHeight="1">
      <c r="P2422" s="25"/>
      <c r="Q2422" s="25"/>
      <c r="R2422" s="25"/>
      <c r="S2422" s="25"/>
      <c r="T2422" s="141"/>
      <c r="U2422" s="28"/>
    </row>
    <row r="2423" ht="15.75" customHeight="1">
      <c r="P2423" s="25"/>
      <c r="Q2423" s="25"/>
      <c r="R2423" s="25"/>
      <c r="S2423" s="25"/>
      <c r="T2423" s="141"/>
      <c r="U2423" s="28"/>
    </row>
    <row r="2424" ht="15.75" customHeight="1">
      <c r="P2424" s="25"/>
      <c r="Q2424" s="25"/>
      <c r="R2424" s="25"/>
      <c r="S2424" s="25"/>
      <c r="T2424" s="141"/>
      <c r="U2424" s="28"/>
    </row>
    <row r="2425" ht="15.75" customHeight="1">
      <c r="P2425" s="25"/>
      <c r="Q2425" s="25"/>
      <c r="R2425" s="25"/>
      <c r="S2425" s="25"/>
      <c r="T2425" s="141"/>
      <c r="U2425" s="28"/>
    </row>
    <row r="2426" ht="15.75" customHeight="1">
      <c r="P2426" s="25"/>
      <c r="Q2426" s="25"/>
      <c r="R2426" s="25"/>
      <c r="S2426" s="25"/>
      <c r="T2426" s="141"/>
      <c r="U2426" s="28"/>
    </row>
    <row r="2427" ht="15.75" customHeight="1">
      <c r="P2427" s="25"/>
      <c r="Q2427" s="25"/>
      <c r="R2427" s="25"/>
      <c r="S2427" s="25"/>
      <c r="T2427" s="141"/>
      <c r="U2427" s="28"/>
    </row>
    <row r="2428" ht="15.75" customHeight="1">
      <c r="P2428" s="25"/>
      <c r="Q2428" s="25"/>
      <c r="R2428" s="25"/>
      <c r="S2428" s="25"/>
      <c r="T2428" s="141"/>
      <c r="U2428" s="28"/>
    </row>
    <row r="2429" ht="15.75" customHeight="1">
      <c r="P2429" s="25"/>
      <c r="Q2429" s="25"/>
      <c r="R2429" s="25"/>
      <c r="S2429" s="25"/>
      <c r="T2429" s="141"/>
      <c r="U2429" s="28"/>
    </row>
    <row r="2430" ht="15.75" customHeight="1">
      <c r="P2430" s="25"/>
      <c r="Q2430" s="25"/>
      <c r="R2430" s="25"/>
      <c r="S2430" s="25"/>
      <c r="T2430" s="141"/>
      <c r="U2430" s="28"/>
    </row>
    <row r="2431" ht="15.75" customHeight="1">
      <c r="P2431" s="25"/>
      <c r="Q2431" s="25"/>
      <c r="R2431" s="25"/>
      <c r="S2431" s="25"/>
      <c r="T2431" s="141"/>
      <c r="U2431" s="28"/>
    </row>
    <row r="2432" ht="15.75" customHeight="1">
      <c r="P2432" s="25"/>
      <c r="Q2432" s="25"/>
      <c r="R2432" s="25"/>
      <c r="S2432" s="25"/>
      <c r="T2432" s="141"/>
      <c r="U2432" s="28"/>
    </row>
    <row r="2433" ht="15.75" customHeight="1">
      <c r="P2433" s="25"/>
      <c r="Q2433" s="25"/>
      <c r="R2433" s="25"/>
      <c r="S2433" s="25"/>
      <c r="T2433" s="141"/>
      <c r="U2433" s="28"/>
    </row>
    <row r="2434" ht="15.75" customHeight="1">
      <c r="P2434" s="25"/>
      <c r="Q2434" s="25"/>
      <c r="R2434" s="25"/>
      <c r="S2434" s="25"/>
      <c r="T2434" s="141"/>
      <c r="U2434" s="28"/>
    </row>
    <row r="2435" ht="15.75" customHeight="1">
      <c r="P2435" s="25"/>
      <c r="Q2435" s="25"/>
      <c r="R2435" s="25"/>
      <c r="S2435" s="25"/>
      <c r="T2435" s="141"/>
      <c r="U2435" s="28"/>
    </row>
    <row r="2436" ht="15.75" customHeight="1">
      <c r="P2436" s="25"/>
      <c r="Q2436" s="25"/>
      <c r="R2436" s="25"/>
      <c r="S2436" s="25"/>
      <c r="T2436" s="141"/>
      <c r="U2436" s="28"/>
    </row>
    <row r="2437" ht="15.75" customHeight="1">
      <c r="P2437" s="25"/>
      <c r="Q2437" s="25"/>
      <c r="R2437" s="25"/>
      <c r="S2437" s="25"/>
      <c r="T2437" s="141"/>
      <c r="U2437" s="28"/>
    </row>
    <row r="2438" ht="15.75" customHeight="1">
      <c r="P2438" s="25"/>
      <c r="Q2438" s="25"/>
      <c r="R2438" s="25"/>
      <c r="S2438" s="25"/>
      <c r="T2438" s="141"/>
      <c r="U2438" s="28"/>
    </row>
    <row r="2439" ht="15.75" customHeight="1">
      <c r="P2439" s="25"/>
      <c r="Q2439" s="25"/>
      <c r="R2439" s="25"/>
      <c r="S2439" s="25"/>
      <c r="T2439" s="141"/>
      <c r="U2439" s="28"/>
    </row>
    <row r="2440" ht="15.75" customHeight="1">
      <c r="P2440" s="25"/>
      <c r="Q2440" s="25"/>
      <c r="R2440" s="25"/>
      <c r="S2440" s="25"/>
      <c r="T2440" s="141"/>
      <c r="U2440" s="28"/>
    </row>
    <row r="2441" ht="15.75" customHeight="1">
      <c r="P2441" s="25"/>
      <c r="Q2441" s="25"/>
      <c r="R2441" s="25"/>
      <c r="S2441" s="25"/>
      <c r="T2441" s="141"/>
      <c r="U2441" s="28"/>
    </row>
    <row r="2442" ht="15.75" customHeight="1">
      <c r="P2442" s="25"/>
      <c r="Q2442" s="25"/>
      <c r="R2442" s="25"/>
      <c r="S2442" s="25"/>
      <c r="T2442" s="141"/>
      <c r="U2442" s="28"/>
    </row>
    <row r="2443" ht="15.75" customHeight="1">
      <c r="P2443" s="25"/>
      <c r="Q2443" s="25"/>
      <c r="R2443" s="25"/>
      <c r="S2443" s="25"/>
      <c r="T2443" s="141"/>
      <c r="U2443" s="28"/>
    </row>
    <row r="2444" ht="15.75" customHeight="1">
      <c r="P2444" s="25"/>
      <c r="Q2444" s="25"/>
      <c r="R2444" s="25"/>
      <c r="S2444" s="25"/>
      <c r="T2444" s="141"/>
      <c r="U2444" s="28"/>
    </row>
    <row r="2445" ht="15.75" customHeight="1">
      <c r="P2445" s="25"/>
      <c r="Q2445" s="25"/>
      <c r="R2445" s="25"/>
      <c r="S2445" s="25"/>
      <c r="T2445" s="141"/>
      <c r="U2445" s="28"/>
    </row>
    <row r="2446" ht="15.75" customHeight="1">
      <c r="P2446" s="25"/>
      <c r="Q2446" s="25"/>
      <c r="R2446" s="25"/>
      <c r="S2446" s="25"/>
      <c r="T2446" s="141"/>
      <c r="U2446" s="28"/>
    </row>
    <row r="2447" ht="15.75" customHeight="1">
      <c r="P2447" s="25"/>
      <c r="Q2447" s="25"/>
      <c r="R2447" s="25"/>
      <c r="S2447" s="25"/>
      <c r="T2447" s="141"/>
      <c r="U2447" s="28"/>
    </row>
    <row r="2448" ht="15.75" customHeight="1">
      <c r="P2448" s="25"/>
      <c r="Q2448" s="25"/>
      <c r="R2448" s="25"/>
      <c r="S2448" s="25"/>
      <c r="T2448" s="141"/>
      <c r="U2448" s="28"/>
    </row>
    <row r="2449" ht="15.75" customHeight="1">
      <c r="P2449" s="25"/>
      <c r="Q2449" s="25"/>
      <c r="R2449" s="25"/>
      <c r="S2449" s="25"/>
      <c r="T2449" s="141"/>
      <c r="U2449" s="28"/>
    </row>
    <row r="2450" ht="15.75" customHeight="1">
      <c r="P2450" s="25"/>
      <c r="Q2450" s="25"/>
      <c r="R2450" s="25"/>
      <c r="S2450" s="25"/>
      <c r="T2450" s="141"/>
      <c r="U2450" s="28"/>
    </row>
    <row r="2451" ht="15.75" customHeight="1">
      <c r="P2451" s="25"/>
      <c r="Q2451" s="25"/>
      <c r="R2451" s="25"/>
      <c r="S2451" s="25"/>
      <c r="T2451" s="141"/>
      <c r="U2451" s="28"/>
    </row>
    <row r="2452" ht="15.75" customHeight="1">
      <c r="P2452" s="25"/>
      <c r="Q2452" s="25"/>
      <c r="R2452" s="25"/>
      <c r="S2452" s="25"/>
      <c r="T2452" s="141"/>
      <c r="U2452" s="28"/>
    </row>
    <row r="2453" ht="15.75" customHeight="1">
      <c r="P2453" s="25"/>
      <c r="Q2453" s="25"/>
      <c r="R2453" s="25"/>
      <c r="S2453" s="25"/>
      <c r="T2453" s="141"/>
      <c r="U2453" s="28"/>
    </row>
    <row r="2454" ht="15.75" customHeight="1">
      <c r="P2454" s="25"/>
      <c r="Q2454" s="25"/>
      <c r="R2454" s="25"/>
      <c r="S2454" s="25"/>
      <c r="T2454" s="141"/>
      <c r="U2454" s="28"/>
    </row>
    <row r="2455" ht="15.75" customHeight="1">
      <c r="P2455" s="25"/>
      <c r="Q2455" s="25"/>
      <c r="R2455" s="25"/>
      <c r="S2455" s="25"/>
      <c r="T2455" s="141"/>
      <c r="U2455" s="28"/>
    </row>
    <row r="2456" ht="15.75" customHeight="1">
      <c r="P2456" s="25"/>
      <c r="Q2456" s="25"/>
      <c r="R2456" s="25"/>
      <c r="S2456" s="25"/>
      <c r="T2456" s="141"/>
      <c r="U2456" s="28"/>
    </row>
    <row r="2457" ht="15.75" customHeight="1">
      <c r="P2457" s="25"/>
      <c r="Q2457" s="25"/>
      <c r="R2457" s="25"/>
      <c r="S2457" s="25"/>
      <c r="T2457" s="141"/>
      <c r="U2457" s="28"/>
    </row>
    <row r="2458" ht="15.75" customHeight="1">
      <c r="P2458" s="25"/>
      <c r="Q2458" s="25"/>
      <c r="R2458" s="25"/>
      <c r="S2458" s="25"/>
      <c r="T2458" s="141"/>
      <c r="U2458" s="28"/>
    </row>
    <row r="2459" ht="15.75" customHeight="1">
      <c r="P2459" s="25"/>
      <c r="Q2459" s="25"/>
      <c r="R2459" s="25"/>
      <c r="S2459" s="25"/>
      <c r="T2459" s="141"/>
      <c r="U2459" s="28"/>
    </row>
    <row r="2460" ht="15.75" customHeight="1">
      <c r="P2460" s="25"/>
      <c r="Q2460" s="25"/>
      <c r="R2460" s="25"/>
      <c r="S2460" s="25"/>
      <c r="T2460" s="141"/>
      <c r="U2460" s="28"/>
    </row>
    <row r="2461" ht="15.75" customHeight="1">
      <c r="P2461" s="25"/>
      <c r="Q2461" s="25"/>
      <c r="R2461" s="25"/>
      <c r="S2461" s="25"/>
      <c r="T2461" s="141"/>
      <c r="U2461" s="28"/>
    </row>
    <row r="2462" ht="15.75" customHeight="1">
      <c r="P2462" s="25"/>
      <c r="Q2462" s="25"/>
      <c r="R2462" s="25"/>
      <c r="S2462" s="25"/>
      <c r="T2462" s="141"/>
      <c r="U2462" s="28"/>
    </row>
    <row r="2463" ht="15.75" customHeight="1">
      <c r="P2463" s="25"/>
      <c r="Q2463" s="25"/>
      <c r="R2463" s="25"/>
      <c r="S2463" s="25"/>
      <c r="T2463" s="141"/>
      <c r="U2463" s="28"/>
    </row>
    <row r="2464" ht="15.75" customHeight="1">
      <c r="P2464" s="25"/>
      <c r="Q2464" s="25"/>
      <c r="R2464" s="25"/>
      <c r="S2464" s="25"/>
      <c r="T2464" s="141"/>
      <c r="U2464" s="28"/>
    </row>
    <row r="2465" ht="15.75" customHeight="1">
      <c r="P2465" s="25"/>
      <c r="Q2465" s="25"/>
      <c r="R2465" s="25"/>
      <c r="S2465" s="25"/>
      <c r="T2465" s="141"/>
      <c r="U2465" s="28"/>
    </row>
    <row r="2466" ht="15.75" customHeight="1">
      <c r="P2466" s="25"/>
      <c r="Q2466" s="25"/>
      <c r="R2466" s="25"/>
      <c r="S2466" s="25"/>
      <c r="T2466" s="141"/>
      <c r="U2466" s="28"/>
    </row>
    <row r="2467" ht="15.75" customHeight="1">
      <c r="P2467" s="25"/>
      <c r="Q2467" s="25"/>
      <c r="R2467" s="25"/>
      <c r="S2467" s="25"/>
      <c r="T2467" s="141"/>
      <c r="U2467" s="28"/>
    </row>
    <row r="2468" ht="15.75" customHeight="1">
      <c r="P2468" s="25"/>
      <c r="Q2468" s="25"/>
      <c r="R2468" s="25"/>
      <c r="S2468" s="25"/>
      <c r="T2468" s="141"/>
      <c r="U2468" s="28"/>
    </row>
    <row r="2469" ht="15.75" customHeight="1">
      <c r="P2469" s="25"/>
      <c r="Q2469" s="25"/>
      <c r="R2469" s="25"/>
      <c r="S2469" s="25"/>
      <c r="T2469" s="141"/>
      <c r="U2469" s="28"/>
    </row>
    <row r="2470" ht="15.75" customHeight="1">
      <c r="P2470" s="25"/>
      <c r="Q2470" s="25"/>
      <c r="R2470" s="25"/>
      <c r="S2470" s="25"/>
      <c r="T2470" s="141"/>
      <c r="U2470" s="28"/>
    </row>
    <row r="2471" ht="15.75" customHeight="1">
      <c r="P2471" s="25"/>
      <c r="Q2471" s="25"/>
      <c r="R2471" s="25"/>
      <c r="S2471" s="25"/>
      <c r="T2471" s="141"/>
      <c r="U2471" s="28"/>
    </row>
    <row r="2472" ht="15.75" customHeight="1">
      <c r="P2472" s="25"/>
      <c r="Q2472" s="25"/>
      <c r="R2472" s="25"/>
      <c r="S2472" s="25"/>
      <c r="T2472" s="141"/>
      <c r="U2472" s="28"/>
    </row>
    <row r="2473" ht="15.75" customHeight="1">
      <c r="P2473" s="25"/>
      <c r="Q2473" s="25"/>
      <c r="R2473" s="25"/>
      <c r="S2473" s="25"/>
      <c r="T2473" s="141"/>
      <c r="U2473" s="28"/>
    </row>
    <row r="2474" ht="15.75" customHeight="1">
      <c r="P2474" s="25"/>
      <c r="Q2474" s="25"/>
      <c r="R2474" s="25"/>
      <c r="S2474" s="25"/>
      <c r="T2474" s="141"/>
      <c r="U2474" s="28"/>
    </row>
    <row r="2475" ht="15.75" customHeight="1">
      <c r="P2475" s="25"/>
      <c r="Q2475" s="25"/>
      <c r="R2475" s="25"/>
      <c r="S2475" s="25"/>
      <c r="T2475" s="141"/>
      <c r="U2475" s="28"/>
    </row>
    <row r="2476" ht="15.75" customHeight="1">
      <c r="P2476" s="25"/>
      <c r="Q2476" s="25"/>
      <c r="R2476" s="25"/>
      <c r="S2476" s="25"/>
      <c r="T2476" s="141"/>
      <c r="U2476" s="28"/>
    </row>
    <row r="2477" ht="15.75" customHeight="1">
      <c r="P2477" s="25"/>
      <c r="Q2477" s="25"/>
      <c r="R2477" s="25"/>
      <c r="S2477" s="25"/>
      <c r="T2477" s="141"/>
      <c r="U2477" s="28"/>
    </row>
    <row r="2478" ht="15.75" customHeight="1">
      <c r="P2478" s="25"/>
      <c r="Q2478" s="25"/>
      <c r="R2478" s="25"/>
      <c r="S2478" s="25"/>
      <c r="T2478" s="141"/>
      <c r="U2478" s="28"/>
    </row>
    <row r="2479" ht="15.75" customHeight="1">
      <c r="P2479" s="25"/>
      <c r="Q2479" s="25"/>
      <c r="R2479" s="25"/>
      <c r="S2479" s="25"/>
      <c r="T2479" s="141"/>
      <c r="U2479" s="28"/>
    </row>
    <row r="2480" ht="15.75" customHeight="1">
      <c r="P2480" s="25"/>
      <c r="Q2480" s="25"/>
      <c r="R2480" s="25"/>
      <c r="S2480" s="25"/>
      <c r="T2480" s="141"/>
      <c r="U2480" s="28"/>
    </row>
    <row r="2481" ht="15.75" customHeight="1">
      <c r="P2481" s="25"/>
      <c r="Q2481" s="25"/>
      <c r="R2481" s="25"/>
      <c r="S2481" s="25"/>
      <c r="T2481" s="141"/>
      <c r="U2481" s="28"/>
    </row>
    <row r="2482" ht="15.75" customHeight="1">
      <c r="P2482" s="25"/>
      <c r="Q2482" s="25"/>
      <c r="R2482" s="25"/>
      <c r="S2482" s="25"/>
      <c r="T2482" s="141"/>
      <c r="U2482" s="28"/>
    </row>
    <row r="2483" ht="15.75" customHeight="1">
      <c r="P2483" s="25"/>
      <c r="Q2483" s="25"/>
      <c r="R2483" s="25"/>
      <c r="S2483" s="25"/>
      <c r="T2483" s="141"/>
      <c r="U2483" s="28"/>
    </row>
    <row r="2484" ht="15.75" customHeight="1">
      <c r="P2484" s="25"/>
      <c r="Q2484" s="25"/>
      <c r="R2484" s="25"/>
      <c r="S2484" s="25"/>
      <c r="T2484" s="141"/>
      <c r="U2484" s="28"/>
    </row>
    <row r="2485" ht="15.75" customHeight="1">
      <c r="P2485" s="25"/>
      <c r="Q2485" s="25"/>
      <c r="R2485" s="25"/>
      <c r="S2485" s="25"/>
      <c r="T2485" s="141"/>
      <c r="U2485" s="28"/>
    </row>
    <row r="2486" ht="15.75" customHeight="1">
      <c r="P2486" s="25"/>
      <c r="Q2486" s="25"/>
      <c r="R2486" s="25"/>
      <c r="S2486" s="25"/>
      <c r="T2486" s="141"/>
      <c r="U2486" s="28"/>
    </row>
    <row r="2487" ht="15.75" customHeight="1">
      <c r="P2487" s="25"/>
      <c r="Q2487" s="25"/>
      <c r="R2487" s="25"/>
      <c r="S2487" s="25"/>
      <c r="T2487" s="141"/>
      <c r="U2487" s="28"/>
    </row>
    <row r="2488" ht="15.75" customHeight="1">
      <c r="P2488" s="25"/>
      <c r="Q2488" s="25"/>
      <c r="R2488" s="25"/>
      <c r="S2488" s="25"/>
      <c r="T2488" s="141"/>
      <c r="U2488" s="28"/>
    </row>
    <row r="2489" ht="15.75" customHeight="1">
      <c r="P2489" s="25"/>
      <c r="Q2489" s="25"/>
      <c r="R2489" s="25"/>
      <c r="S2489" s="25"/>
      <c r="T2489" s="141"/>
      <c r="U2489" s="28"/>
    </row>
    <row r="2490" ht="15.75" customHeight="1">
      <c r="P2490" s="25"/>
      <c r="Q2490" s="25"/>
      <c r="R2490" s="25"/>
      <c r="S2490" s="25"/>
      <c r="T2490" s="141"/>
      <c r="U2490" s="28"/>
    </row>
    <row r="2491" ht="15.75" customHeight="1">
      <c r="P2491" s="25"/>
      <c r="Q2491" s="25"/>
      <c r="R2491" s="25"/>
      <c r="S2491" s="25"/>
      <c r="T2491" s="141"/>
      <c r="U2491" s="28"/>
    </row>
    <row r="2492" ht="15.75" customHeight="1">
      <c r="P2492" s="25"/>
      <c r="Q2492" s="25"/>
      <c r="R2492" s="25"/>
      <c r="S2492" s="25"/>
      <c r="T2492" s="141"/>
      <c r="U2492" s="28"/>
    </row>
    <row r="2493" ht="15.75" customHeight="1">
      <c r="P2493" s="25"/>
      <c r="Q2493" s="25"/>
      <c r="R2493" s="25"/>
      <c r="S2493" s="25"/>
      <c r="T2493" s="141"/>
      <c r="U2493" s="28"/>
    </row>
    <row r="2494" ht="15.75" customHeight="1">
      <c r="P2494" s="25"/>
      <c r="Q2494" s="25"/>
      <c r="R2494" s="25"/>
      <c r="S2494" s="25"/>
      <c r="T2494" s="141"/>
      <c r="U2494" s="28"/>
    </row>
    <row r="2495" ht="15.75" customHeight="1">
      <c r="P2495" s="25"/>
      <c r="Q2495" s="25"/>
      <c r="R2495" s="25"/>
      <c r="S2495" s="25"/>
      <c r="T2495" s="141"/>
      <c r="U2495" s="28"/>
    </row>
    <row r="2496" ht="15.75" customHeight="1">
      <c r="P2496" s="25"/>
      <c r="Q2496" s="25"/>
      <c r="R2496" s="25"/>
      <c r="S2496" s="25"/>
      <c r="T2496" s="141"/>
      <c r="U2496" s="28"/>
    </row>
    <row r="2497" ht="15.75" customHeight="1">
      <c r="P2497" s="25"/>
      <c r="Q2497" s="25"/>
      <c r="R2497" s="25"/>
      <c r="S2497" s="25"/>
      <c r="T2497" s="141"/>
      <c r="U2497" s="28"/>
    </row>
    <row r="2498" ht="15.75" customHeight="1">
      <c r="P2498" s="25"/>
      <c r="Q2498" s="25"/>
      <c r="R2498" s="25"/>
      <c r="S2498" s="25"/>
      <c r="T2498" s="141"/>
      <c r="U2498" s="28"/>
    </row>
    <row r="2499" ht="15.75" customHeight="1">
      <c r="P2499" s="25"/>
      <c r="Q2499" s="25"/>
      <c r="R2499" s="25"/>
      <c r="S2499" s="25"/>
      <c r="T2499" s="141"/>
      <c r="U2499" s="28"/>
    </row>
    <row r="2500" ht="15.75" customHeight="1">
      <c r="P2500" s="25"/>
      <c r="Q2500" s="25"/>
      <c r="R2500" s="25"/>
      <c r="S2500" s="25"/>
      <c r="T2500" s="141"/>
      <c r="U2500" s="28"/>
    </row>
    <row r="2501" ht="15.75" customHeight="1">
      <c r="P2501" s="25"/>
      <c r="Q2501" s="25"/>
      <c r="R2501" s="25"/>
      <c r="S2501" s="25"/>
      <c r="T2501" s="141"/>
      <c r="U2501" s="28"/>
    </row>
    <row r="2502" ht="15.75" customHeight="1">
      <c r="P2502" s="25"/>
      <c r="Q2502" s="25"/>
      <c r="R2502" s="25"/>
      <c r="S2502" s="25"/>
      <c r="T2502" s="141"/>
      <c r="U2502" s="28"/>
    </row>
    <row r="2503" ht="15.75" customHeight="1">
      <c r="P2503" s="25"/>
      <c r="Q2503" s="25"/>
      <c r="R2503" s="25"/>
      <c r="S2503" s="25"/>
      <c r="T2503" s="141"/>
      <c r="U2503" s="28"/>
    </row>
    <row r="2504" ht="15.75" customHeight="1">
      <c r="P2504" s="25"/>
      <c r="Q2504" s="25"/>
      <c r="R2504" s="25"/>
      <c r="S2504" s="25"/>
      <c r="T2504" s="141"/>
      <c r="U2504" s="28"/>
    </row>
    <row r="2505" ht="15.75" customHeight="1">
      <c r="P2505" s="25"/>
      <c r="Q2505" s="25"/>
      <c r="R2505" s="25"/>
      <c r="S2505" s="25"/>
      <c r="T2505" s="141"/>
      <c r="U2505" s="28"/>
    </row>
    <row r="2506" ht="15.75" customHeight="1">
      <c r="P2506" s="25"/>
      <c r="Q2506" s="25"/>
      <c r="R2506" s="25"/>
      <c r="S2506" s="25"/>
      <c r="T2506" s="141"/>
      <c r="U2506" s="28"/>
    </row>
    <row r="2507" ht="15.75" customHeight="1">
      <c r="P2507" s="25"/>
      <c r="Q2507" s="25"/>
      <c r="R2507" s="25"/>
      <c r="S2507" s="25"/>
      <c r="T2507" s="141"/>
      <c r="U2507" s="28"/>
    </row>
    <row r="2508" ht="15.75" customHeight="1">
      <c r="P2508" s="25"/>
      <c r="Q2508" s="25"/>
      <c r="R2508" s="25"/>
      <c r="S2508" s="25"/>
      <c r="T2508" s="141"/>
      <c r="U2508" s="28"/>
    </row>
    <row r="2509" ht="15.75" customHeight="1">
      <c r="P2509" s="25"/>
      <c r="Q2509" s="25"/>
      <c r="R2509" s="25"/>
      <c r="S2509" s="25"/>
      <c r="T2509" s="141"/>
      <c r="U2509" s="28"/>
    </row>
    <row r="2510" ht="15.75" customHeight="1">
      <c r="P2510" s="25"/>
      <c r="Q2510" s="25"/>
      <c r="R2510" s="25"/>
      <c r="S2510" s="25"/>
      <c r="T2510" s="141"/>
      <c r="U2510" s="28"/>
    </row>
    <row r="2511" ht="15.75" customHeight="1">
      <c r="P2511" s="25"/>
      <c r="Q2511" s="25"/>
      <c r="R2511" s="25"/>
      <c r="S2511" s="25"/>
      <c r="T2511" s="141"/>
      <c r="U2511" s="28"/>
    </row>
    <row r="2512" ht="15.75" customHeight="1">
      <c r="P2512" s="25"/>
      <c r="Q2512" s="25"/>
      <c r="R2512" s="25"/>
      <c r="S2512" s="25"/>
      <c r="T2512" s="141"/>
      <c r="U2512" s="28"/>
    </row>
    <row r="2513" ht="15.75" customHeight="1">
      <c r="P2513" s="25"/>
      <c r="Q2513" s="25"/>
      <c r="R2513" s="25"/>
      <c r="S2513" s="25"/>
      <c r="T2513" s="141"/>
      <c r="U2513" s="28"/>
    </row>
    <row r="2514" ht="15.75" customHeight="1">
      <c r="P2514" s="25"/>
      <c r="Q2514" s="25"/>
      <c r="R2514" s="25"/>
      <c r="S2514" s="25"/>
      <c r="T2514" s="141"/>
      <c r="U2514" s="28"/>
    </row>
    <row r="2515" ht="15.75" customHeight="1">
      <c r="P2515" s="25"/>
      <c r="Q2515" s="25"/>
      <c r="R2515" s="25"/>
      <c r="S2515" s="25"/>
      <c r="T2515" s="141"/>
      <c r="U2515" s="28"/>
    </row>
    <row r="2516" ht="15.75" customHeight="1">
      <c r="P2516" s="25"/>
      <c r="Q2516" s="25"/>
      <c r="R2516" s="25"/>
      <c r="S2516" s="25"/>
      <c r="T2516" s="141"/>
      <c r="U2516" s="28"/>
    </row>
    <row r="2517" ht="15.75" customHeight="1">
      <c r="P2517" s="25"/>
      <c r="Q2517" s="25"/>
      <c r="R2517" s="25"/>
      <c r="S2517" s="25"/>
      <c r="T2517" s="141"/>
      <c r="U2517" s="28"/>
    </row>
    <row r="2518" ht="15.75" customHeight="1">
      <c r="P2518" s="25"/>
      <c r="Q2518" s="25"/>
      <c r="R2518" s="25"/>
      <c r="S2518" s="25"/>
      <c r="T2518" s="141"/>
      <c r="U2518" s="28"/>
    </row>
    <row r="2519" ht="15.75" customHeight="1">
      <c r="P2519" s="25"/>
      <c r="Q2519" s="25"/>
      <c r="R2519" s="25"/>
      <c r="S2519" s="25"/>
      <c r="T2519" s="141"/>
      <c r="U2519" s="28"/>
    </row>
    <row r="2520" ht="15.75" customHeight="1">
      <c r="P2520" s="25"/>
      <c r="Q2520" s="25"/>
      <c r="R2520" s="25"/>
      <c r="S2520" s="25"/>
      <c r="T2520" s="141"/>
      <c r="U2520" s="28"/>
    </row>
    <row r="2521" ht="15.75" customHeight="1">
      <c r="P2521" s="25"/>
      <c r="Q2521" s="25"/>
      <c r="R2521" s="25"/>
      <c r="S2521" s="25"/>
      <c r="T2521" s="141"/>
      <c r="U2521" s="28"/>
    </row>
    <row r="2522" ht="15.75" customHeight="1">
      <c r="P2522" s="25"/>
      <c r="Q2522" s="25"/>
      <c r="R2522" s="25"/>
      <c r="S2522" s="25"/>
      <c r="T2522" s="141"/>
      <c r="U2522" s="28"/>
    </row>
    <row r="2523" ht="15.75" customHeight="1">
      <c r="P2523" s="25"/>
      <c r="Q2523" s="25"/>
      <c r="R2523" s="25"/>
      <c r="S2523" s="25"/>
      <c r="T2523" s="141"/>
      <c r="U2523" s="28"/>
    </row>
    <row r="2524" ht="15.75" customHeight="1">
      <c r="P2524" s="25"/>
      <c r="Q2524" s="25"/>
      <c r="R2524" s="25"/>
      <c r="S2524" s="25"/>
      <c r="T2524" s="141"/>
      <c r="U2524" s="28"/>
    </row>
    <row r="2525" ht="15.75" customHeight="1">
      <c r="P2525" s="25"/>
      <c r="Q2525" s="25"/>
      <c r="R2525" s="25"/>
      <c r="S2525" s="25"/>
      <c r="T2525" s="141"/>
      <c r="U2525" s="28"/>
    </row>
    <row r="2526" ht="15.75" customHeight="1">
      <c r="P2526" s="25"/>
      <c r="Q2526" s="25"/>
      <c r="R2526" s="25"/>
      <c r="S2526" s="25"/>
      <c r="T2526" s="141"/>
      <c r="U2526" s="28"/>
    </row>
    <row r="2527" ht="15.75" customHeight="1">
      <c r="P2527" s="25"/>
      <c r="Q2527" s="25"/>
      <c r="R2527" s="25"/>
      <c r="S2527" s="25"/>
      <c r="T2527" s="141"/>
      <c r="U2527" s="28"/>
    </row>
    <row r="2528" ht="15.75" customHeight="1">
      <c r="P2528" s="25"/>
      <c r="Q2528" s="25"/>
      <c r="R2528" s="25"/>
      <c r="S2528" s="25"/>
      <c r="T2528" s="141"/>
      <c r="U2528" s="28"/>
    </row>
    <row r="2529" ht="15.75" customHeight="1">
      <c r="P2529" s="25"/>
      <c r="Q2529" s="25"/>
      <c r="R2529" s="25"/>
      <c r="S2529" s="25"/>
      <c r="T2529" s="141"/>
      <c r="U2529" s="28"/>
    </row>
    <row r="2530" ht="15.75" customHeight="1">
      <c r="P2530" s="25"/>
      <c r="Q2530" s="25"/>
      <c r="R2530" s="25"/>
      <c r="S2530" s="25"/>
      <c r="T2530" s="141"/>
      <c r="U2530" s="28"/>
    </row>
    <row r="2531" ht="15.75" customHeight="1">
      <c r="P2531" s="25"/>
      <c r="Q2531" s="25"/>
      <c r="R2531" s="25"/>
      <c r="S2531" s="25"/>
      <c r="T2531" s="141"/>
      <c r="U2531" s="28"/>
    </row>
    <row r="2532" ht="15.75" customHeight="1">
      <c r="P2532" s="25"/>
      <c r="Q2532" s="25"/>
      <c r="R2532" s="25"/>
      <c r="S2532" s="25"/>
      <c r="T2532" s="141"/>
      <c r="U2532" s="28"/>
    </row>
    <row r="2533" ht="15.75" customHeight="1">
      <c r="P2533" s="25"/>
      <c r="Q2533" s="25"/>
      <c r="R2533" s="25"/>
      <c r="S2533" s="25"/>
      <c r="T2533" s="141"/>
      <c r="U2533" s="28"/>
    </row>
    <row r="2534" ht="15.75" customHeight="1">
      <c r="P2534" s="25"/>
      <c r="Q2534" s="25"/>
      <c r="R2534" s="25"/>
      <c r="S2534" s="25"/>
      <c r="T2534" s="141"/>
      <c r="U2534" s="28"/>
    </row>
    <row r="2535" ht="15.75" customHeight="1">
      <c r="P2535" s="25"/>
      <c r="Q2535" s="25"/>
      <c r="R2535" s="25"/>
      <c r="S2535" s="25"/>
      <c r="T2535" s="141"/>
      <c r="U2535" s="28"/>
    </row>
    <row r="2536" ht="15.75" customHeight="1">
      <c r="P2536" s="25"/>
      <c r="Q2536" s="25"/>
      <c r="R2536" s="25"/>
      <c r="S2536" s="25"/>
      <c r="T2536" s="141"/>
      <c r="U2536" s="28"/>
    </row>
    <row r="2537" ht="15.75" customHeight="1">
      <c r="P2537" s="25"/>
      <c r="Q2537" s="25"/>
      <c r="R2537" s="25"/>
      <c r="S2537" s="25"/>
      <c r="T2537" s="141"/>
      <c r="U2537" s="28"/>
    </row>
    <row r="2538" ht="15.75" customHeight="1">
      <c r="P2538" s="25"/>
      <c r="Q2538" s="25"/>
      <c r="R2538" s="25"/>
      <c r="S2538" s="25"/>
      <c r="T2538" s="141"/>
      <c r="U2538" s="28"/>
    </row>
    <row r="2539" ht="15.75" customHeight="1">
      <c r="P2539" s="25"/>
      <c r="Q2539" s="25"/>
      <c r="R2539" s="25"/>
      <c r="S2539" s="25"/>
      <c r="T2539" s="141"/>
      <c r="U2539" s="28"/>
    </row>
    <row r="2540" ht="15.75" customHeight="1">
      <c r="P2540" s="25"/>
      <c r="Q2540" s="25"/>
      <c r="R2540" s="25"/>
      <c r="S2540" s="25"/>
      <c r="T2540" s="141"/>
      <c r="U2540" s="28"/>
    </row>
    <row r="2541" ht="15.75" customHeight="1">
      <c r="P2541" s="25"/>
      <c r="Q2541" s="25"/>
      <c r="R2541" s="25"/>
      <c r="S2541" s="25"/>
      <c r="T2541" s="141"/>
      <c r="U2541" s="28"/>
    </row>
    <row r="2542" ht="15.75" customHeight="1">
      <c r="P2542" s="25"/>
      <c r="Q2542" s="25"/>
      <c r="R2542" s="25"/>
      <c r="S2542" s="25"/>
      <c r="T2542" s="141"/>
      <c r="U2542" s="28"/>
    </row>
    <row r="2543" ht="15.75" customHeight="1">
      <c r="P2543" s="25"/>
      <c r="Q2543" s="25"/>
      <c r="R2543" s="25"/>
      <c r="S2543" s="25"/>
      <c r="T2543" s="141"/>
      <c r="U2543" s="28"/>
    </row>
    <row r="2544" ht="15.75" customHeight="1">
      <c r="P2544" s="25"/>
      <c r="Q2544" s="25"/>
      <c r="R2544" s="25"/>
      <c r="S2544" s="25"/>
      <c r="T2544" s="141"/>
      <c r="U2544" s="28"/>
    </row>
    <row r="2545" ht="15.75" customHeight="1">
      <c r="P2545" s="25"/>
      <c r="Q2545" s="25"/>
      <c r="R2545" s="25"/>
      <c r="S2545" s="25"/>
      <c r="T2545" s="141"/>
      <c r="U2545" s="28"/>
    </row>
    <row r="2546" ht="15.75" customHeight="1">
      <c r="P2546" s="25"/>
      <c r="Q2546" s="25"/>
      <c r="R2546" s="25"/>
      <c r="S2546" s="25"/>
      <c r="T2546" s="141"/>
      <c r="U2546" s="28"/>
    </row>
    <row r="2547" ht="15.75" customHeight="1">
      <c r="P2547" s="25"/>
      <c r="Q2547" s="25"/>
      <c r="R2547" s="25"/>
      <c r="S2547" s="25"/>
      <c r="T2547" s="141"/>
      <c r="U2547" s="28"/>
    </row>
    <row r="2548" ht="15.75" customHeight="1">
      <c r="P2548" s="25"/>
      <c r="Q2548" s="25"/>
      <c r="R2548" s="25"/>
      <c r="S2548" s="25"/>
      <c r="T2548" s="141"/>
      <c r="U2548" s="28"/>
    </row>
    <row r="2549" ht="15.75" customHeight="1">
      <c r="P2549" s="25"/>
      <c r="Q2549" s="25"/>
      <c r="R2549" s="25"/>
      <c r="S2549" s="25"/>
      <c r="T2549" s="141"/>
      <c r="U2549" s="28"/>
    </row>
    <row r="2550" ht="15.75" customHeight="1">
      <c r="P2550" s="25"/>
      <c r="Q2550" s="25"/>
      <c r="R2550" s="25"/>
      <c r="S2550" s="25"/>
      <c r="T2550" s="141"/>
      <c r="U2550" s="28"/>
    </row>
    <row r="2551" ht="15.75" customHeight="1">
      <c r="P2551" s="25"/>
      <c r="Q2551" s="25"/>
      <c r="R2551" s="25"/>
      <c r="S2551" s="25"/>
      <c r="T2551" s="141"/>
      <c r="U2551" s="28"/>
    </row>
    <row r="2552" ht="15.75" customHeight="1">
      <c r="P2552" s="25"/>
      <c r="Q2552" s="25"/>
      <c r="R2552" s="25"/>
      <c r="S2552" s="25"/>
      <c r="T2552" s="141"/>
      <c r="U2552" s="28"/>
    </row>
    <row r="2553" ht="15.75" customHeight="1">
      <c r="P2553" s="25"/>
      <c r="Q2553" s="25"/>
      <c r="R2553" s="25"/>
      <c r="S2553" s="25"/>
      <c r="T2553" s="141"/>
      <c r="U2553" s="28"/>
    </row>
    <row r="2554" ht="15.75" customHeight="1">
      <c r="P2554" s="25"/>
      <c r="Q2554" s="25"/>
      <c r="R2554" s="25"/>
      <c r="S2554" s="25"/>
      <c r="T2554" s="141"/>
      <c r="U2554" s="28"/>
    </row>
    <row r="2555" ht="15.75" customHeight="1">
      <c r="P2555" s="25"/>
      <c r="Q2555" s="25"/>
      <c r="R2555" s="25"/>
      <c r="S2555" s="25"/>
      <c r="T2555" s="141"/>
      <c r="U2555" s="28"/>
    </row>
    <row r="2556" ht="15.75" customHeight="1">
      <c r="P2556" s="25"/>
      <c r="Q2556" s="25"/>
      <c r="R2556" s="25"/>
      <c r="S2556" s="25"/>
      <c r="T2556" s="141"/>
      <c r="U2556" s="28"/>
    </row>
    <row r="2557" ht="15.75" customHeight="1">
      <c r="P2557" s="25"/>
      <c r="Q2557" s="25"/>
      <c r="R2557" s="25"/>
      <c r="S2557" s="25"/>
      <c r="T2557" s="141"/>
      <c r="U2557" s="28"/>
    </row>
    <row r="2558" ht="15.75" customHeight="1">
      <c r="P2558" s="25"/>
      <c r="Q2558" s="25"/>
      <c r="R2558" s="25"/>
      <c r="S2558" s="25"/>
      <c r="T2558" s="141"/>
      <c r="U2558" s="28"/>
    </row>
    <row r="2559" ht="15.75" customHeight="1">
      <c r="P2559" s="25"/>
      <c r="Q2559" s="25"/>
      <c r="R2559" s="25"/>
      <c r="S2559" s="25"/>
      <c r="T2559" s="141"/>
      <c r="U2559" s="28"/>
    </row>
    <row r="2560" ht="15.75" customHeight="1">
      <c r="P2560" s="25"/>
      <c r="Q2560" s="25"/>
      <c r="R2560" s="25"/>
      <c r="S2560" s="25"/>
      <c r="T2560" s="141"/>
      <c r="U2560" s="28"/>
    </row>
    <row r="2561" ht="15.75" customHeight="1">
      <c r="P2561" s="25"/>
      <c r="Q2561" s="25"/>
      <c r="R2561" s="25"/>
      <c r="S2561" s="25"/>
      <c r="T2561" s="141"/>
      <c r="U2561" s="28"/>
    </row>
    <row r="2562" ht="15.75" customHeight="1">
      <c r="P2562" s="25"/>
      <c r="Q2562" s="25"/>
      <c r="R2562" s="25"/>
      <c r="S2562" s="25"/>
      <c r="T2562" s="141"/>
      <c r="U2562" s="28"/>
    </row>
    <row r="2563" ht="15.75" customHeight="1">
      <c r="P2563" s="25"/>
      <c r="Q2563" s="25"/>
      <c r="R2563" s="25"/>
      <c r="S2563" s="25"/>
      <c r="T2563" s="141"/>
      <c r="U2563" s="28"/>
    </row>
    <row r="2564" ht="15.75" customHeight="1">
      <c r="P2564" s="25"/>
      <c r="Q2564" s="25"/>
      <c r="R2564" s="25"/>
      <c r="S2564" s="25"/>
      <c r="T2564" s="141"/>
      <c r="U2564" s="28"/>
    </row>
    <row r="2565" ht="15.75" customHeight="1">
      <c r="P2565" s="25"/>
      <c r="Q2565" s="25"/>
      <c r="R2565" s="25"/>
      <c r="S2565" s="25"/>
      <c r="T2565" s="141"/>
      <c r="U2565" s="28"/>
    </row>
    <row r="2566" ht="15.75" customHeight="1">
      <c r="P2566" s="25"/>
      <c r="Q2566" s="25"/>
      <c r="R2566" s="25"/>
      <c r="S2566" s="25"/>
      <c r="T2566" s="141"/>
      <c r="U2566" s="28"/>
    </row>
    <row r="2567" ht="15.75" customHeight="1">
      <c r="P2567" s="25"/>
      <c r="Q2567" s="25"/>
      <c r="R2567" s="25"/>
      <c r="S2567" s="25"/>
      <c r="T2567" s="141"/>
      <c r="U2567" s="28"/>
    </row>
    <row r="2568" ht="15.75" customHeight="1">
      <c r="P2568" s="25"/>
      <c r="Q2568" s="25"/>
      <c r="R2568" s="25"/>
      <c r="S2568" s="25"/>
      <c r="T2568" s="141"/>
      <c r="U2568" s="28"/>
    </row>
    <row r="2569" ht="15.75" customHeight="1">
      <c r="P2569" s="25"/>
      <c r="Q2569" s="25"/>
      <c r="R2569" s="25"/>
      <c r="S2569" s="25"/>
      <c r="T2569" s="141"/>
      <c r="U2569" s="28"/>
    </row>
    <row r="2570" ht="15.75" customHeight="1">
      <c r="P2570" s="25"/>
      <c r="Q2570" s="25"/>
      <c r="R2570" s="25"/>
      <c r="S2570" s="25"/>
      <c r="T2570" s="141"/>
      <c r="U2570" s="28"/>
    </row>
    <row r="2571" ht="15.75" customHeight="1">
      <c r="P2571" s="25"/>
      <c r="Q2571" s="25"/>
      <c r="R2571" s="25"/>
      <c r="S2571" s="25"/>
      <c r="T2571" s="141"/>
      <c r="U2571" s="28"/>
    </row>
    <row r="2572" ht="15.75" customHeight="1">
      <c r="P2572" s="25"/>
      <c r="Q2572" s="25"/>
      <c r="R2572" s="25"/>
      <c r="S2572" s="25"/>
      <c r="T2572" s="141"/>
      <c r="U2572" s="28"/>
    </row>
    <row r="2573" ht="15.75" customHeight="1">
      <c r="P2573" s="25"/>
      <c r="Q2573" s="25"/>
      <c r="R2573" s="25"/>
      <c r="S2573" s="25"/>
      <c r="T2573" s="141"/>
      <c r="U2573" s="28"/>
    </row>
    <row r="2574" ht="15.75" customHeight="1">
      <c r="P2574" s="25"/>
      <c r="Q2574" s="25"/>
      <c r="R2574" s="25"/>
      <c r="S2574" s="25"/>
      <c r="T2574" s="141"/>
      <c r="U2574" s="28"/>
    </row>
    <row r="2575" ht="15.75" customHeight="1">
      <c r="P2575" s="25"/>
      <c r="Q2575" s="25"/>
      <c r="R2575" s="25"/>
      <c r="S2575" s="25"/>
      <c r="T2575" s="141"/>
      <c r="U2575" s="28"/>
    </row>
    <row r="2576" ht="15.75" customHeight="1">
      <c r="P2576" s="25"/>
      <c r="Q2576" s="25"/>
      <c r="R2576" s="25"/>
      <c r="S2576" s="25"/>
      <c r="T2576" s="141"/>
      <c r="U2576" s="28"/>
    </row>
    <row r="2577" ht="15.75" customHeight="1">
      <c r="P2577" s="25"/>
      <c r="Q2577" s="25"/>
      <c r="R2577" s="25"/>
      <c r="S2577" s="25"/>
      <c r="T2577" s="141"/>
      <c r="U2577" s="28"/>
    </row>
    <row r="2578" ht="15.75" customHeight="1">
      <c r="P2578" s="25"/>
      <c r="Q2578" s="25"/>
      <c r="R2578" s="25"/>
      <c r="S2578" s="25"/>
      <c r="T2578" s="141"/>
      <c r="U2578" s="28"/>
    </row>
    <row r="2579" ht="15.75" customHeight="1">
      <c r="P2579" s="25"/>
      <c r="Q2579" s="25"/>
      <c r="R2579" s="25"/>
      <c r="S2579" s="25"/>
      <c r="T2579" s="141"/>
      <c r="U2579" s="28"/>
    </row>
    <row r="2580" ht="15.75" customHeight="1">
      <c r="P2580" s="25"/>
      <c r="Q2580" s="25"/>
      <c r="R2580" s="25"/>
      <c r="S2580" s="25"/>
      <c r="T2580" s="141"/>
      <c r="U2580" s="28"/>
    </row>
    <row r="2581" ht="15.75" customHeight="1">
      <c r="P2581" s="25"/>
      <c r="Q2581" s="25"/>
      <c r="R2581" s="25"/>
      <c r="S2581" s="25"/>
      <c r="T2581" s="141"/>
      <c r="U2581" s="28"/>
    </row>
    <row r="2582" ht="15.75" customHeight="1">
      <c r="P2582" s="25"/>
      <c r="Q2582" s="25"/>
      <c r="R2582" s="25"/>
      <c r="S2582" s="25"/>
      <c r="T2582" s="141"/>
      <c r="U2582" s="28"/>
    </row>
    <row r="2583" ht="15.75" customHeight="1">
      <c r="P2583" s="25"/>
      <c r="Q2583" s="25"/>
      <c r="R2583" s="25"/>
      <c r="S2583" s="25"/>
      <c r="T2583" s="141"/>
      <c r="U2583" s="28"/>
    </row>
    <row r="2584" ht="15.75" customHeight="1">
      <c r="P2584" s="25"/>
      <c r="Q2584" s="25"/>
      <c r="R2584" s="25"/>
      <c r="S2584" s="25"/>
      <c r="T2584" s="141"/>
      <c r="U2584" s="28"/>
    </row>
    <row r="2585" ht="15.75" customHeight="1">
      <c r="P2585" s="25"/>
      <c r="Q2585" s="25"/>
      <c r="R2585" s="25"/>
      <c r="S2585" s="25"/>
      <c r="T2585" s="141"/>
      <c r="U2585" s="28"/>
    </row>
    <row r="2586" ht="15.75" customHeight="1">
      <c r="P2586" s="25"/>
      <c r="Q2586" s="25"/>
      <c r="R2586" s="25"/>
      <c r="S2586" s="25"/>
      <c r="T2586" s="141"/>
      <c r="U2586" s="28"/>
    </row>
    <row r="2587" ht="15.75" customHeight="1">
      <c r="P2587" s="25"/>
      <c r="Q2587" s="25"/>
      <c r="R2587" s="25"/>
      <c r="S2587" s="25"/>
      <c r="T2587" s="141"/>
      <c r="U2587" s="28"/>
    </row>
    <row r="2588" ht="15.75" customHeight="1">
      <c r="P2588" s="25"/>
      <c r="Q2588" s="25"/>
      <c r="R2588" s="25"/>
      <c r="S2588" s="25"/>
      <c r="T2588" s="141"/>
      <c r="U2588" s="28"/>
    </row>
    <row r="2589" ht="15.75" customHeight="1">
      <c r="P2589" s="25"/>
      <c r="Q2589" s="25"/>
      <c r="R2589" s="25"/>
      <c r="S2589" s="25"/>
      <c r="T2589" s="141"/>
      <c r="U2589" s="28"/>
    </row>
    <row r="2590" ht="15.75" customHeight="1">
      <c r="P2590" s="25"/>
      <c r="Q2590" s="25"/>
      <c r="R2590" s="25"/>
      <c r="S2590" s="25"/>
      <c r="T2590" s="141"/>
      <c r="U2590" s="28"/>
    </row>
    <row r="2591" ht="15.75" customHeight="1">
      <c r="P2591" s="25"/>
      <c r="Q2591" s="25"/>
      <c r="R2591" s="25"/>
      <c r="S2591" s="25"/>
      <c r="T2591" s="141"/>
      <c r="U2591" s="28"/>
    </row>
    <row r="2592" ht="15.75" customHeight="1">
      <c r="P2592" s="25"/>
      <c r="Q2592" s="25"/>
      <c r="R2592" s="25"/>
      <c r="S2592" s="25"/>
      <c r="T2592" s="141"/>
      <c r="U2592" s="28"/>
    </row>
    <row r="2593" ht="15.75" customHeight="1">
      <c r="P2593" s="25"/>
      <c r="Q2593" s="25"/>
      <c r="R2593" s="25"/>
      <c r="S2593" s="25"/>
      <c r="T2593" s="141"/>
      <c r="U2593" s="28"/>
    </row>
    <row r="2594" ht="15.75" customHeight="1">
      <c r="P2594" s="25"/>
      <c r="Q2594" s="25"/>
      <c r="R2594" s="25"/>
      <c r="S2594" s="25"/>
      <c r="T2594" s="141"/>
      <c r="U2594" s="28"/>
    </row>
    <row r="2595" ht="15.75" customHeight="1">
      <c r="P2595" s="25"/>
      <c r="Q2595" s="25"/>
      <c r="R2595" s="25"/>
      <c r="S2595" s="25"/>
      <c r="T2595" s="141"/>
      <c r="U2595" s="28"/>
    </row>
    <row r="2596" ht="15.75" customHeight="1">
      <c r="P2596" s="25"/>
      <c r="Q2596" s="25"/>
      <c r="R2596" s="25"/>
      <c r="S2596" s="25"/>
      <c r="T2596" s="141"/>
      <c r="U2596" s="28"/>
    </row>
    <row r="2597" ht="15.75" customHeight="1">
      <c r="P2597" s="25"/>
      <c r="Q2597" s="25"/>
      <c r="R2597" s="25"/>
      <c r="S2597" s="25"/>
      <c r="T2597" s="141"/>
      <c r="U2597" s="28"/>
    </row>
    <row r="2598" ht="15.75" customHeight="1">
      <c r="P2598" s="25"/>
      <c r="Q2598" s="25"/>
      <c r="R2598" s="25"/>
      <c r="S2598" s="25"/>
      <c r="T2598" s="141"/>
      <c r="U2598" s="28"/>
    </row>
    <row r="2599" ht="15.75" customHeight="1">
      <c r="P2599" s="25"/>
      <c r="Q2599" s="25"/>
      <c r="R2599" s="25"/>
      <c r="S2599" s="25"/>
      <c r="T2599" s="141"/>
      <c r="U2599" s="28"/>
    </row>
    <row r="2600" ht="15.75" customHeight="1">
      <c r="P2600" s="25"/>
      <c r="Q2600" s="25"/>
      <c r="R2600" s="25"/>
      <c r="S2600" s="25"/>
      <c r="T2600" s="141"/>
      <c r="U2600" s="28"/>
    </row>
    <row r="2601" ht="15.75" customHeight="1">
      <c r="P2601" s="25"/>
      <c r="Q2601" s="25"/>
      <c r="R2601" s="25"/>
      <c r="S2601" s="25"/>
      <c r="T2601" s="141"/>
      <c r="U2601" s="28"/>
    </row>
    <row r="2602" ht="15.75" customHeight="1">
      <c r="P2602" s="25"/>
      <c r="Q2602" s="25"/>
      <c r="R2602" s="25"/>
      <c r="S2602" s="25"/>
      <c r="T2602" s="141"/>
      <c r="U2602" s="28"/>
    </row>
    <row r="2603" ht="15.75" customHeight="1">
      <c r="P2603" s="25"/>
      <c r="Q2603" s="25"/>
      <c r="R2603" s="25"/>
      <c r="S2603" s="25"/>
      <c r="T2603" s="141"/>
      <c r="U2603" s="28"/>
    </row>
    <row r="2604" ht="15.75" customHeight="1">
      <c r="P2604" s="25"/>
      <c r="Q2604" s="25"/>
      <c r="R2604" s="25"/>
      <c r="S2604" s="25"/>
      <c r="T2604" s="141"/>
      <c r="U2604" s="28"/>
    </row>
    <row r="2605" ht="15.75" customHeight="1">
      <c r="P2605" s="25"/>
      <c r="Q2605" s="25"/>
      <c r="R2605" s="25"/>
      <c r="S2605" s="25"/>
      <c r="T2605" s="141"/>
      <c r="U2605" s="28"/>
    </row>
    <row r="2606" ht="15.75" customHeight="1">
      <c r="P2606" s="25"/>
      <c r="Q2606" s="25"/>
      <c r="R2606" s="25"/>
      <c r="S2606" s="25"/>
      <c r="T2606" s="141"/>
      <c r="U2606" s="28"/>
    </row>
    <row r="2607" ht="15.75" customHeight="1">
      <c r="P2607" s="25"/>
      <c r="Q2607" s="25"/>
      <c r="R2607" s="25"/>
      <c r="S2607" s="25"/>
      <c r="T2607" s="141"/>
      <c r="U2607" s="28"/>
    </row>
    <row r="2608" ht="15.75" customHeight="1">
      <c r="P2608" s="25"/>
      <c r="Q2608" s="25"/>
      <c r="R2608" s="25"/>
      <c r="S2608" s="25"/>
      <c r="T2608" s="141"/>
      <c r="U2608" s="28"/>
    </row>
    <row r="2609" ht="15.75" customHeight="1">
      <c r="P2609" s="25"/>
      <c r="Q2609" s="25"/>
      <c r="R2609" s="25"/>
      <c r="S2609" s="25"/>
      <c r="T2609" s="141"/>
      <c r="U2609" s="28"/>
    </row>
    <row r="2610" ht="15.75" customHeight="1">
      <c r="P2610" s="25"/>
      <c r="Q2610" s="25"/>
      <c r="R2610" s="25"/>
      <c r="S2610" s="25"/>
      <c r="T2610" s="141"/>
      <c r="U2610" s="28"/>
    </row>
    <row r="2611" ht="15.75" customHeight="1">
      <c r="P2611" s="25"/>
      <c r="Q2611" s="25"/>
      <c r="R2611" s="25"/>
      <c r="S2611" s="25"/>
      <c r="T2611" s="141"/>
      <c r="U2611" s="28"/>
    </row>
    <row r="2612" ht="15.75" customHeight="1">
      <c r="P2612" s="25"/>
      <c r="Q2612" s="25"/>
      <c r="R2612" s="25"/>
      <c r="S2612" s="25"/>
      <c r="T2612" s="141"/>
      <c r="U2612" s="28"/>
    </row>
    <row r="2613" ht="15.75" customHeight="1">
      <c r="P2613" s="25"/>
      <c r="Q2613" s="25"/>
      <c r="R2613" s="25"/>
      <c r="S2613" s="25"/>
      <c r="T2613" s="141"/>
      <c r="U2613" s="28"/>
    </row>
    <row r="2614" ht="15.75" customHeight="1">
      <c r="P2614" s="25"/>
      <c r="Q2614" s="25"/>
      <c r="R2614" s="25"/>
      <c r="S2614" s="25"/>
      <c r="T2614" s="141"/>
      <c r="U2614" s="28"/>
    </row>
    <row r="2615" ht="15.75" customHeight="1">
      <c r="P2615" s="25"/>
      <c r="Q2615" s="25"/>
      <c r="R2615" s="25"/>
      <c r="S2615" s="25"/>
      <c r="T2615" s="141"/>
      <c r="U2615" s="28"/>
    </row>
    <row r="2616" ht="15.75" customHeight="1">
      <c r="P2616" s="25"/>
      <c r="Q2616" s="25"/>
      <c r="R2616" s="25"/>
      <c r="S2616" s="25"/>
      <c r="T2616" s="141"/>
      <c r="U2616" s="28"/>
    </row>
    <row r="2617" ht="15.75" customHeight="1">
      <c r="P2617" s="25"/>
      <c r="Q2617" s="25"/>
      <c r="R2617" s="25"/>
      <c r="S2617" s="25"/>
      <c r="T2617" s="141"/>
      <c r="U2617" s="28"/>
    </row>
    <row r="2618" ht="15.75" customHeight="1">
      <c r="P2618" s="25"/>
      <c r="Q2618" s="25"/>
      <c r="R2618" s="25"/>
      <c r="S2618" s="25"/>
      <c r="T2618" s="141"/>
      <c r="U2618" s="28"/>
    </row>
    <row r="2619" ht="15.75" customHeight="1">
      <c r="P2619" s="25"/>
      <c r="Q2619" s="25"/>
      <c r="R2619" s="25"/>
      <c r="S2619" s="25"/>
      <c r="T2619" s="141"/>
      <c r="U2619" s="28"/>
    </row>
    <row r="2620" ht="15.75" customHeight="1">
      <c r="P2620" s="25"/>
      <c r="Q2620" s="25"/>
      <c r="R2620" s="25"/>
      <c r="S2620" s="25"/>
      <c r="T2620" s="141"/>
      <c r="U2620" s="28"/>
    </row>
    <row r="2621" ht="15.75" customHeight="1">
      <c r="P2621" s="25"/>
      <c r="Q2621" s="25"/>
      <c r="R2621" s="25"/>
      <c r="S2621" s="25"/>
      <c r="T2621" s="141"/>
      <c r="U2621" s="28"/>
    </row>
    <row r="2622" ht="15.75" customHeight="1">
      <c r="P2622" s="25"/>
      <c r="Q2622" s="25"/>
      <c r="R2622" s="25"/>
      <c r="S2622" s="25"/>
      <c r="T2622" s="141"/>
      <c r="U2622" s="28"/>
    </row>
    <row r="2623" ht="15.75" customHeight="1">
      <c r="P2623" s="25"/>
      <c r="Q2623" s="25"/>
      <c r="R2623" s="25"/>
      <c r="S2623" s="25"/>
      <c r="T2623" s="141"/>
      <c r="U2623" s="28"/>
    </row>
    <row r="2624" ht="15.75" customHeight="1">
      <c r="P2624" s="25"/>
      <c r="Q2624" s="25"/>
      <c r="R2624" s="25"/>
      <c r="S2624" s="25"/>
      <c r="T2624" s="141"/>
      <c r="U2624" s="28"/>
    </row>
    <row r="2625" ht="15.75" customHeight="1">
      <c r="P2625" s="25"/>
      <c r="Q2625" s="25"/>
      <c r="R2625" s="25"/>
      <c r="S2625" s="25"/>
      <c r="T2625" s="141"/>
      <c r="U2625" s="28"/>
    </row>
    <row r="2626" ht="15.75" customHeight="1">
      <c r="P2626" s="25"/>
      <c r="Q2626" s="25"/>
      <c r="R2626" s="25"/>
      <c r="S2626" s="25"/>
      <c r="T2626" s="141"/>
      <c r="U2626" s="28"/>
    </row>
    <row r="2627" ht="15.75" customHeight="1">
      <c r="P2627" s="25"/>
      <c r="Q2627" s="25"/>
      <c r="R2627" s="25"/>
      <c r="S2627" s="25"/>
      <c r="T2627" s="141"/>
      <c r="U2627" s="28"/>
    </row>
    <row r="2628" ht="15.75" customHeight="1">
      <c r="P2628" s="25"/>
      <c r="Q2628" s="25"/>
      <c r="R2628" s="25"/>
      <c r="S2628" s="25"/>
      <c r="T2628" s="141"/>
      <c r="U2628" s="28"/>
    </row>
    <row r="2629" ht="15.75" customHeight="1">
      <c r="P2629" s="25"/>
      <c r="Q2629" s="25"/>
      <c r="R2629" s="25"/>
      <c r="S2629" s="25"/>
      <c r="T2629" s="141"/>
      <c r="U2629" s="28"/>
    </row>
    <row r="2630" ht="15.75" customHeight="1">
      <c r="P2630" s="25"/>
      <c r="Q2630" s="25"/>
      <c r="R2630" s="25"/>
      <c r="S2630" s="25"/>
      <c r="T2630" s="141"/>
      <c r="U2630" s="28"/>
    </row>
    <row r="2631" ht="15.75" customHeight="1">
      <c r="P2631" s="25"/>
      <c r="Q2631" s="25"/>
      <c r="R2631" s="25"/>
      <c r="S2631" s="25"/>
      <c r="T2631" s="141"/>
      <c r="U2631" s="28"/>
    </row>
    <row r="2632" ht="15.75" customHeight="1">
      <c r="P2632" s="25"/>
      <c r="Q2632" s="25"/>
      <c r="R2632" s="25"/>
      <c r="S2632" s="25"/>
      <c r="T2632" s="141"/>
      <c r="U2632" s="28"/>
    </row>
    <row r="2633" ht="15.75" customHeight="1">
      <c r="P2633" s="25"/>
      <c r="Q2633" s="25"/>
      <c r="R2633" s="25"/>
      <c r="S2633" s="25"/>
      <c r="T2633" s="141"/>
      <c r="U2633" s="28"/>
    </row>
    <row r="2634" ht="15.75" customHeight="1">
      <c r="P2634" s="25"/>
      <c r="Q2634" s="25"/>
      <c r="R2634" s="25"/>
      <c r="S2634" s="25"/>
      <c r="T2634" s="141"/>
      <c r="U2634" s="28"/>
    </row>
    <row r="2635" ht="15.75" customHeight="1">
      <c r="P2635" s="25"/>
      <c r="Q2635" s="25"/>
      <c r="R2635" s="25"/>
      <c r="S2635" s="25"/>
      <c r="T2635" s="141"/>
      <c r="U2635" s="28"/>
    </row>
    <row r="2636" ht="15.75" customHeight="1">
      <c r="P2636" s="25"/>
      <c r="Q2636" s="25"/>
      <c r="R2636" s="25"/>
      <c r="S2636" s="25"/>
      <c r="T2636" s="141"/>
      <c r="U2636" s="28"/>
    </row>
    <row r="2637" ht="15.75" customHeight="1">
      <c r="P2637" s="25"/>
      <c r="Q2637" s="25"/>
      <c r="R2637" s="25"/>
      <c r="S2637" s="25"/>
      <c r="T2637" s="141"/>
      <c r="U2637" s="28"/>
    </row>
    <row r="2638" ht="15.75" customHeight="1">
      <c r="P2638" s="25"/>
      <c r="Q2638" s="25"/>
      <c r="R2638" s="25"/>
      <c r="S2638" s="25"/>
      <c r="T2638" s="141"/>
      <c r="U2638" s="28"/>
    </row>
    <row r="2639" ht="15.75" customHeight="1">
      <c r="P2639" s="25"/>
      <c r="Q2639" s="25"/>
      <c r="R2639" s="25"/>
      <c r="S2639" s="25"/>
      <c r="T2639" s="141"/>
      <c r="U2639" s="28"/>
    </row>
    <row r="2640" ht="15.75" customHeight="1">
      <c r="P2640" s="25"/>
      <c r="Q2640" s="25"/>
      <c r="R2640" s="25"/>
      <c r="S2640" s="25"/>
      <c r="T2640" s="141"/>
      <c r="U2640" s="28"/>
    </row>
    <row r="2641" ht="15.75" customHeight="1">
      <c r="P2641" s="25"/>
      <c r="Q2641" s="25"/>
      <c r="R2641" s="25"/>
      <c r="S2641" s="25"/>
      <c r="T2641" s="141"/>
      <c r="U2641" s="28"/>
    </row>
    <row r="2642" ht="15.75" customHeight="1">
      <c r="P2642" s="25"/>
      <c r="Q2642" s="25"/>
      <c r="R2642" s="25"/>
      <c r="S2642" s="25"/>
      <c r="T2642" s="141"/>
      <c r="U2642" s="28"/>
    </row>
    <row r="2643" ht="15.75" customHeight="1">
      <c r="P2643" s="25"/>
      <c r="Q2643" s="25"/>
      <c r="R2643" s="25"/>
      <c r="S2643" s="25"/>
      <c r="T2643" s="141"/>
      <c r="U2643" s="28"/>
    </row>
    <row r="2644" ht="15.75" customHeight="1">
      <c r="P2644" s="25"/>
      <c r="Q2644" s="25"/>
      <c r="R2644" s="25"/>
      <c r="S2644" s="25"/>
      <c r="T2644" s="141"/>
      <c r="U2644" s="28"/>
    </row>
    <row r="2645" ht="15.75" customHeight="1">
      <c r="P2645" s="25"/>
      <c r="Q2645" s="25"/>
      <c r="R2645" s="25"/>
      <c r="S2645" s="25"/>
      <c r="T2645" s="141"/>
      <c r="U2645" s="28"/>
    </row>
    <row r="2646" ht="15.75" customHeight="1">
      <c r="P2646" s="25"/>
      <c r="Q2646" s="25"/>
      <c r="R2646" s="25"/>
      <c r="S2646" s="25"/>
      <c r="T2646" s="141"/>
      <c r="U2646" s="28"/>
    </row>
    <row r="2647" ht="15.75" customHeight="1">
      <c r="P2647" s="25"/>
      <c r="Q2647" s="25"/>
      <c r="R2647" s="25"/>
      <c r="S2647" s="25"/>
      <c r="T2647" s="141"/>
      <c r="U2647" s="28"/>
    </row>
    <row r="2648" ht="15.75" customHeight="1">
      <c r="P2648" s="25"/>
      <c r="Q2648" s="25"/>
      <c r="R2648" s="25"/>
      <c r="S2648" s="25"/>
      <c r="T2648" s="141"/>
      <c r="U2648" s="28"/>
    </row>
    <row r="2649" ht="15.75" customHeight="1">
      <c r="P2649" s="25"/>
      <c r="Q2649" s="25"/>
      <c r="R2649" s="25"/>
      <c r="S2649" s="25"/>
      <c r="T2649" s="141"/>
      <c r="U2649" s="28"/>
    </row>
    <row r="2650" ht="15.75" customHeight="1">
      <c r="P2650" s="25"/>
      <c r="Q2650" s="25"/>
      <c r="R2650" s="25"/>
      <c r="S2650" s="25"/>
      <c r="T2650" s="141"/>
      <c r="U2650" s="28"/>
    </row>
    <row r="2651" ht="15.75" customHeight="1">
      <c r="P2651" s="25"/>
      <c r="Q2651" s="25"/>
      <c r="R2651" s="25"/>
      <c r="S2651" s="25"/>
      <c r="T2651" s="141"/>
      <c r="U2651" s="28"/>
    </row>
    <row r="2652" ht="15.75" customHeight="1">
      <c r="P2652" s="25"/>
      <c r="Q2652" s="25"/>
      <c r="R2652" s="25"/>
      <c r="S2652" s="25"/>
      <c r="T2652" s="141"/>
      <c r="U2652" s="28"/>
    </row>
    <row r="2653" ht="15.75" customHeight="1">
      <c r="P2653" s="25"/>
      <c r="Q2653" s="25"/>
      <c r="R2653" s="25"/>
      <c r="S2653" s="25"/>
      <c r="T2653" s="141"/>
      <c r="U2653" s="28"/>
    </row>
    <row r="2654" ht="15.75" customHeight="1">
      <c r="P2654" s="25"/>
      <c r="Q2654" s="25"/>
      <c r="R2654" s="25"/>
      <c r="S2654" s="25"/>
      <c r="T2654" s="141"/>
      <c r="U2654" s="28"/>
    </row>
    <row r="2655" ht="15.75" customHeight="1">
      <c r="P2655" s="25"/>
      <c r="Q2655" s="25"/>
      <c r="R2655" s="25"/>
      <c r="S2655" s="25"/>
      <c r="T2655" s="141"/>
      <c r="U2655" s="28"/>
    </row>
    <row r="2656" ht="15.75" customHeight="1">
      <c r="P2656" s="25"/>
      <c r="Q2656" s="25"/>
      <c r="R2656" s="25"/>
      <c r="S2656" s="25"/>
      <c r="T2656" s="141"/>
      <c r="U2656" s="28"/>
    </row>
    <row r="2657" ht="15.75" customHeight="1">
      <c r="P2657" s="25"/>
      <c r="Q2657" s="25"/>
      <c r="R2657" s="25"/>
      <c r="S2657" s="25"/>
      <c r="T2657" s="141"/>
      <c r="U2657" s="28"/>
    </row>
    <row r="2658" ht="15.75" customHeight="1">
      <c r="P2658" s="25"/>
      <c r="Q2658" s="25"/>
      <c r="R2658" s="25"/>
      <c r="S2658" s="25"/>
      <c r="T2658" s="141"/>
      <c r="U2658" s="28"/>
    </row>
    <row r="2659" ht="15.75" customHeight="1">
      <c r="P2659" s="25"/>
      <c r="Q2659" s="25"/>
      <c r="R2659" s="25"/>
      <c r="S2659" s="25"/>
      <c r="T2659" s="141"/>
      <c r="U2659" s="28"/>
    </row>
    <row r="2660" ht="15.75" customHeight="1">
      <c r="P2660" s="25"/>
      <c r="Q2660" s="25"/>
      <c r="R2660" s="25"/>
      <c r="S2660" s="25"/>
      <c r="T2660" s="141"/>
      <c r="U2660" s="28"/>
    </row>
    <row r="2661" ht="15.75" customHeight="1">
      <c r="P2661" s="25"/>
      <c r="Q2661" s="25"/>
      <c r="R2661" s="25"/>
      <c r="S2661" s="25"/>
      <c r="T2661" s="141"/>
      <c r="U2661" s="28"/>
    </row>
    <row r="2662" ht="15.75" customHeight="1">
      <c r="P2662" s="25"/>
      <c r="Q2662" s="25"/>
      <c r="R2662" s="25"/>
      <c r="S2662" s="25"/>
      <c r="T2662" s="141"/>
      <c r="U2662" s="28"/>
    </row>
    <row r="2663" ht="15.75" customHeight="1">
      <c r="P2663" s="25"/>
      <c r="Q2663" s="25"/>
      <c r="R2663" s="25"/>
      <c r="S2663" s="25"/>
      <c r="T2663" s="141"/>
      <c r="U2663" s="28"/>
    </row>
    <row r="2664" ht="15.75" customHeight="1">
      <c r="P2664" s="25"/>
      <c r="Q2664" s="25"/>
      <c r="R2664" s="25"/>
      <c r="S2664" s="25"/>
      <c r="T2664" s="141"/>
      <c r="U2664" s="28"/>
    </row>
    <row r="2665" ht="15.75" customHeight="1">
      <c r="P2665" s="25"/>
      <c r="Q2665" s="25"/>
      <c r="R2665" s="25"/>
      <c r="S2665" s="25"/>
      <c r="T2665" s="141"/>
      <c r="U2665" s="28"/>
    </row>
    <row r="2666" ht="15.75" customHeight="1">
      <c r="P2666" s="25"/>
      <c r="Q2666" s="25"/>
      <c r="R2666" s="25"/>
      <c r="S2666" s="25"/>
      <c r="T2666" s="141"/>
      <c r="U2666" s="28"/>
    </row>
    <row r="2667" ht="15.75" customHeight="1">
      <c r="P2667" s="25"/>
      <c r="Q2667" s="25"/>
      <c r="R2667" s="25"/>
      <c r="S2667" s="25"/>
      <c r="T2667" s="141"/>
      <c r="U2667" s="28"/>
    </row>
    <row r="2668" ht="15.75" customHeight="1">
      <c r="P2668" s="25"/>
      <c r="Q2668" s="25"/>
      <c r="R2668" s="25"/>
      <c r="S2668" s="25"/>
      <c r="T2668" s="141"/>
      <c r="U2668" s="28"/>
    </row>
    <row r="2669" ht="15.75" customHeight="1">
      <c r="P2669" s="25"/>
      <c r="Q2669" s="25"/>
      <c r="R2669" s="25"/>
      <c r="S2669" s="25"/>
      <c r="T2669" s="141"/>
      <c r="U2669" s="28"/>
    </row>
    <row r="2670" ht="15.75" customHeight="1">
      <c r="P2670" s="25"/>
      <c r="Q2670" s="25"/>
      <c r="R2670" s="25"/>
      <c r="S2670" s="25"/>
      <c r="T2670" s="141"/>
      <c r="U2670" s="28"/>
    </row>
    <row r="2671" ht="15.75" customHeight="1">
      <c r="P2671" s="25"/>
      <c r="Q2671" s="25"/>
      <c r="R2671" s="25"/>
      <c r="S2671" s="25"/>
      <c r="T2671" s="141"/>
      <c r="U2671" s="28"/>
    </row>
    <row r="2672" ht="15.75" customHeight="1">
      <c r="P2672" s="25"/>
      <c r="Q2672" s="25"/>
      <c r="R2672" s="25"/>
      <c r="S2672" s="25"/>
      <c r="T2672" s="141"/>
      <c r="U2672" s="28"/>
    </row>
    <row r="2673" ht="15.75" customHeight="1">
      <c r="P2673" s="25"/>
      <c r="Q2673" s="25"/>
      <c r="R2673" s="25"/>
      <c r="S2673" s="25"/>
      <c r="T2673" s="141"/>
      <c r="U2673" s="28"/>
    </row>
    <row r="2674" ht="15.75" customHeight="1">
      <c r="P2674" s="25"/>
      <c r="Q2674" s="25"/>
      <c r="R2674" s="25"/>
      <c r="S2674" s="25"/>
      <c r="T2674" s="141"/>
      <c r="U2674" s="28"/>
    </row>
    <row r="2675" ht="15.75" customHeight="1">
      <c r="P2675" s="25"/>
      <c r="Q2675" s="25"/>
      <c r="R2675" s="25"/>
      <c r="S2675" s="25"/>
      <c r="T2675" s="141"/>
      <c r="U2675" s="28"/>
    </row>
    <row r="2676" ht="15.75" customHeight="1">
      <c r="P2676" s="25"/>
      <c r="Q2676" s="25"/>
      <c r="R2676" s="25"/>
      <c r="S2676" s="25"/>
      <c r="T2676" s="141"/>
      <c r="U2676" s="28"/>
    </row>
    <row r="2677" ht="15.75" customHeight="1">
      <c r="P2677" s="25"/>
      <c r="Q2677" s="25"/>
      <c r="R2677" s="25"/>
      <c r="S2677" s="25"/>
      <c r="T2677" s="141"/>
      <c r="U2677" s="28"/>
    </row>
    <row r="2678" ht="15.75" customHeight="1">
      <c r="P2678" s="25"/>
      <c r="Q2678" s="25"/>
      <c r="R2678" s="25"/>
      <c r="S2678" s="25"/>
      <c r="T2678" s="141"/>
      <c r="U2678" s="28"/>
    </row>
    <row r="2679" ht="15.75" customHeight="1">
      <c r="P2679" s="25"/>
      <c r="Q2679" s="25"/>
      <c r="R2679" s="25"/>
      <c r="S2679" s="25"/>
      <c r="T2679" s="141"/>
      <c r="U2679" s="28"/>
    </row>
    <row r="2680" ht="15.75" customHeight="1">
      <c r="P2680" s="25"/>
      <c r="Q2680" s="25"/>
      <c r="R2680" s="25"/>
      <c r="S2680" s="25"/>
      <c r="T2680" s="141"/>
      <c r="U2680" s="28"/>
    </row>
    <row r="2681" ht="15.75" customHeight="1">
      <c r="P2681" s="25"/>
      <c r="Q2681" s="25"/>
      <c r="R2681" s="25"/>
      <c r="S2681" s="25"/>
      <c r="T2681" s="141"/>
      <c r="U2681" s="28"/>
    </row>
    <row r="2682" ht="15.75" customHeight="1">
      <c r="P2682" s="25"/>
      <c r="Q2682" s="25"/>
      <c r="R2682" s="25"/>
      <c r="S2682" s="25"/>
      <c r="T2682" s="141"/>
      <c r="U2682" s="28"/>
    </row>
    <row r="2683" ht="15.75" customHeight="1">
      <c r="P2683" s="25"/>
      <c r="Q2683" s="25"/>
      <c r="R2683" s="25"/>
      <c r="S2683" s="25"/>
      <c r="T2683" s="141"/>
      <c r="U2683" s="28"/>
    </row>
    <row r="2684" ht="15.75" customHeight="1">
      <c r="P2684" s="25"/>
      <c r="Q2684" s="25"/>
      <c r="R2684" s="25"/>
      <c r="S2684" s="25"/>
      <c r="T2684" s="141"/>
      <c r="U2684" s="28"/>
    </row>
    <row r="2685" ht="15.75" customHeight="1">
      <c r="P2685" s="25"/>
      <c r="Q2685" s="25"/>
      <c r="R2685" s="25"/>
      <c r="S2685" s="25"/>
      <c r="T2685" s="141"/>
      <c r="U2685" s="28"/>
    </row>
    <row r="2686" ht="15.75" customHeight="1">
      <c r="P2686" s="25"/>
      <c r="Q2686" s="25"/>
      <c r="R2686" s="25"/>
      <c r="S2686" s="25"/>
      <c r="T2686" s="141"/>
      <c r="U2686" s="28"/>
    </row>
    <row r="2687" ht="15.75" customHeight="1">
      <c r="P2687" s="25"/>
      <c r="Q2687" s="25"/>
      <c r="R2687" s="25"/>
      <c r="S2687" s="25"/>
      <c r="T2687" s="141"/>
      <c r="U2687" s="28"/>
    </row>
    <row r="2688" ht="15.75" customHeight="1">
      <c r="P2688" s="25"/>
      <c r="Q2688" s="25"/>
      <c r="R2688" s="25"/>
      <c r="S2688" s="25"/>
      <c r="T2688" s="141"/>
      <c r="U2688" s="28"/>
    </row>
    <row r="2689" ht="15.75" customHeight="1">
      <c r="P2689" s="25"/>
      <c r="Q2689" s="25"/>
      <c r="R2689" s="25"/>
      <c r="S2689" s="25"/>
      <c r="T2689" s="141"/>
      <c r="U2689" s="28"/>
    </row>
    <row r="2690" ht="15.75" customHeight="1">
      <c r="P2690" s="25"/>
      <c r="Q2690" s="25"/>
      <c r="R2690" s="25"/>
      <c r="S2690" s="25"/>
      <c r="T2690" s="141"/>
      <c r="U2690" s="28"/>
    </row>
    <row r="2691" ht="15.75" customHeight="1">
      <c r="P2691" s="25"/>
      <c r="Q2691" s="25"/>
      <c r="R2691" s="25"/>
      <c r="S2691" s="25"/>
      <c r="T2691" s="141"/>
      <c r="U2691" s="28"/>
    </row>
    <row r="2692" ht="15.75" customHeight="1">
      <c r="P2692" s="25"/>
      <c r="Q2692" s="25"/>
      <c r="R2692" s="25"/>
      <c r="S2692" s="25"/>
      <c r="T2692" s="141"/>
      <c r="U2692" s="28"/>
    </row>
    <row r="2693" ht="15.75" customHeight="1">
      <c r="P2693" s="25"/>
      <c r="Q2693" s="25"/>
      <c r="R2693" s="25"/>
      <c r="S2693" s="25"/>
      <c r="T2693" s="141"/>
      <c r="U2693" s="28"/>
    </row>
    <row r="2694" ht="15.75" customHeight="1">
      <c r="P2694" s="25"/>
      <c r="Q2694" s="25"/>
      <c r="R2694" s="25"/>
      <c r="S2694" s="25"/>
      <c r="T2694" s="141"/>
      <c r="U2694" s="28"/>
    </row>
    <row r="2695" ht="15.75" customHeight="1">
      <c r="P2695" s="25"/>
      <c r="Q2695" s="25"/>
      <c r="R2695" s="25"/>
      <c r="S2695" s="25"/>
      <c r="T2695" s="141"/>
      <c r="U2695" s="28"/>
    </row>
    <row r="2696" ht="15.75" customHeight="1">
      <c r="P2696" s="25"/>
      <c r="Q2696" s="25"/>
      <c r="R2696" s="25"/>
      <c r="S2696" s="25"/>
      <c r="T2696" s="141"/>
      <c r="U2696" s="28"/>
    </row>
    <row r="2697" ht="15.75" customHeight="1">
      <c r="P2697" s="25"/>
      <c r="Q2697" s="25"/>
      <c r="R2697" s="25"/>
      <c r="S2697" s="25"/>
      <c r="T2697" s="141"/>
      <c r="U2697" s="28"/>
    </row>
    <row r="2698" ht="15.75" customHeight="1">
      <c r="P2698" s="25"/>
      <c r="Q2698" s="25"/>
      <c r="R2698" s="25"/>
      <c r="S2698" s="25"/>
      <c r="T2698" s="141"/>
      <c r="U2698" s="28"/>
    </row>
    <row r="2699" ht="15.75" customHeight="1">
      <c r="P2699" s="25"/>
      <c r="Q2699" s="25"/>
      <c r="R2699" s="25"/>
      <c r="S2699" s="25"/>
      <c r="T2699" s="141"/>
      <c r="U2699" s="28"/>
    </row>
    <row r="2700" ht="15.75" customHeight="1">
      <c r="P2700" s="25"/>
      <c r="Q2700" s="25"/>
      <c r="R2700" s="25"/>
      <c r="S2700" s="25"/>
      <c r="T2700" s="141"/>
      <c r="U2700" s="28"/>
    </row>
    <row r="2701" ht="15.75" customHeight="1">
      <c r="P2701" s="25"/>
      <c r="Q2701" s="25"/>
      <c r="R2701" s="25"/>
      <c r="S2701" s="25"/>
      <c r="T2701" s="141"/>
      <c r="U2701" s="28"/>
    </row>
    <row r="2702" ht="15.75" customHeight="1">
      <c r="P2702" s="25"/>
      <c r="Q2702" s="25"/>
      <c r="R2702" s="25"/>
      <c r="S2702" s="25"/>
      <c r="T2702" s="141"/>
      <c r="U2702" s="28"/>
    </row>
    <row r="2703" ht="15.75" customHeight="1">
      <c r="P2703" s="25"/>
      <c r="Q2703" s="25"/>
      <c r="R2703" s="25"/>
      <c r="S2703" s="25"/>
      <c r="T2703" s="141"/>
      <c r="U2703" s="28"/>
    </row>
    <row r="2704" ht="15.75" customHeight="1">
      <c r="P2704" s="25"/>
      <c r="Q2704" s="25"/>
      <c r="R2704" s="25"/>
      <c r="S2704" s="25"/>
      <c r="T2704" s="141"/>
      <c r="U2704" s="28"/>
    </row>
    <row r="2705" ht="15.75" customHeight="1">
      <c r="P2705" s="25"/>
      <c r="Q2705" s="25"/>
      <c r="R2705" s="25"/>
      <c r="S2705" s="25"/>
      <c r="T2705" s="141"/>
      <c r="U2705" s="28"/>
    </row>
    <row r="2706" ht="15.75" customHeight="1">
      <c r="P2706" s="25"/>
      <c r="Q2706" s="25"/>
      <c r="R2706" s="25"/>
      <c r="S2706" s="25"/>
      <c r="T2706" s="141"/>
      <c r="U2706" s="28"/>
    </row>
    <row r="2707" ht="15.75" customHeight="1">
      <c r="P2707" s="25"/>
      <c r="Q2707" s="25"/>
      <c r="R2707" s="25"/>
      <c r="S2707" s="25"/>
      <c r="T2707" s="141"/>
      <c r="U2707" s="28"/>
    </row>
    <row r="2708" ht="15.75" customHeight="1">
      <c r="P2708" s="25"/>
      <c r="Q2708" s="25"/>
      <c r="R2708" s="25"/>
      <c r="S2708" s="25"/>
      <c r="T2708" s="141"/>
      <c r="U2708" s="28"/>
    </row>
    <row r="2709" ht="15.75" customHeight="1">
      <c r="P2709" s="25"/>
      <c r="Q2709" s="25"/>
      <c r="R2709" s="25"/>
      <c r="S2709" s="25"/>
      <c r="T2709" s="141"/>
      <c r="U2709" s="28"/>
    </row>
    <row r="2710" ht="15.75" customHeight="1">
      <c r="P2710" s="25"/>
      <c r="Q2710" s="25"/>
      <c r="R2710" s="25"/>
      <c r="S2710" s="25"/>
      <c r="T2710" s="141"/>
      <c r="U2710" s="28"/>
    </row>
    <row r="2711" ht="15.75" customHeight="1">
      <c r="P2711" s="25"/>
      <c r="Q2711" s="25"/>
      <c r="R2711" s="25"/>
      <c r="S2711" s="25"/>
      <c r="T2711" s="141"/>
      <c r="U2711" s="28"/>
    </row>
    <row r="2712" ht="15.75" customHeight="1">
      <c r="P2712" s="25"/>
      <c r="Q2712" s="25"/>
      <c r="R2712" s="25"/>
      <c r="S2712" s="25"/>
      <c r="T2712" s="141"/>
      <c r="U2712" s="28"/>
    </row>
    <row r="2713" ht="15.75" customHeight="1">
      <c r="P2713" s="25"/>
      <c r="Q2713" s="25"/>
      <c r="R2713" s="25"/>
      <c r="S2713" s="25"/>
      <c r="T2713" s="141"/>
      <c r="U2713" s="28"/>
    </row>
    <row r="2714" ht="15.75" customHeight="1">
      <c r="P2714" s="25"/>
      <c r="Q2714" s="25"/>
      <c r="R2714" s="25"/>
      <c r="S2714" s="25"/>
      <c r="T2714" s="141"/>
      <c r="U2714" s="28"/>
    </row>
    <row r="2715" ht="15.75" customHeight="1">
      <c r="P2715" s="25"/>
      <c r="Q2715" s="25"/>
      <c r="R2715" s="25"/>
      <c r="S2715" s="25"/>
      <c r="T2715" s="141"/>
      <c r="U2715" s="28"/>
    </row>
    <row r="2716" ht="15.75" customHeight="1">
      <c r="P2716" s="25"/>
      <c r="Q2716" s="25"/>
      <c r="R2716" s="25"/>
      <c r="S2716" s="25"/>
      <c r="T2716" s="141"/>
      <c r="U2716" s="28"/>
    </row>
    <row r="2717" ht="15.75" customHeight="1">
      <c r="P2717" s="25"/>
      <c r="Q2717" s="25"/>
      <c r="R2717" s="25"/>
      <c r="S2717" s="25"/>
      <c r="T2717" s="141"/>
      <c r="U2717" s="28"/>
    </row>
    <row r="2718" ht="15.75" customHeight="1">
      <c r="P2718" s="25"/>
      <c r="Q2718" s="25"/>
      <c r="R2718" s="25"/>
      <c r="S2718" s="25"/>
      <c r="T2718" s="141"/>
      <c r="U2718" s="28"/>
    </row>
    <row r="2719" ht="15.75" customHeight="1">
      <c r="P2719" s="25"/>
      <c r="Q2719" s="25"/>
      <c r="R2719" s="25"/>
      <c r="S2719" s="25"/>
      <c r="T2719" s="141"/>
      <c r="U2719" s="28"/>
    </row>
    <row r="2720" ht="15.75" customHeight="1">
      <c r="P2720" s="25"/>
      <c r="Q2720" s="25"/>
      <c r="R2720" s="25"/>
      <c r="S2720" s="25"/>
      <c r="T2720" s="141"/>
      <c r="U2720" s="28"/>
    </row>
    <row r="2721" ht="15.75" customHeight="1">
      <c r="P2721" s="25"/>
      <c r="Q2721" s="25"/>
      <c r="R2721" s="25"/>
      <c r="S2721" s="25"/>
      <c r="T2721" s="141"/>
      <c r="U2721" s="28"/>
    </row>
    <row r="2722" ht="15.75" customHeight="1">
      <c r="P2722" s="25"/>
      <c r="Q2722" s="25"/>
      <c r="R2722" s="25"/>
      <c r="S2722" s="25"/>
      <c r="T2722" s="141"/>
      <c r="U2722" s="28"/>
    </row>
    <row r="2723" ht="15.75" customHeight="1">
      <c r="P2723" s="25"/>
      <c r="Q2723" s="25"/>
      <c r="R2723" s="25"/>
      <c r="S2723" s="25"/>
      <c r="T2723" s="141"/>
      <c r="U2723" s="28"/>
    </row>
    <row r="2724" ht="15.75" customHeight="1">
      <c r="P2724" s="25"/>
      <c r="Q2724" s="25"/>
      <c r="R2724" s="25"/>
      <c r="S2724" s="25"/>
      <c r="T2724" s="141"/>
      <c r="U2724" s="28"/>
    </row>
    <row r="2725" ht="15.75" customHeight="1">
      <c r="P2725" s="25"/>
      <c r="Q2725" s="25"/>
      <c r="R2725" s="25"/>
      <c r="S2725" s="25"/>
      <c r="T2725" s="141"/>
      <c r="U2725" s="28"/>
    </row>
    <row r="2726" ht="15.75" customHeight="1">
      <c r="P2726" s="25"/>
      <c r="Q2726" s="25"/>
      <c r="R2726" s="25"/>
      <c r="S2726" s="25"/>
      <c r="T2726" s="141"/>
      <c r="U2726" s="28"/>
    </row>
    <row r="2727" ht="15.75" customHeight="1">
      <c r="P2727" s="25"/>
      <c r="Q2727" s="25"/>
      <c r="R2727" s="25"/>
      <c r="S2727" s="25"/>
      <c r="T2727" s="141"/>
      <c r="U2727" s="28"/>
    </row>
    <row r="2728" ht="15.75" customHeight="1">
      <c r="P2728" s="25"/>
      <c r="Q2728" s="25"/>
      <c r="R2728" s="25"/>
      <c r="S2728" s="25"/>
      <c r="T2728" s="141"/>
      <c r="U2728" s="28"/>
    </row>
    <row r="2729" ht="15.75" customHeight="1">
      <c r="P2729" s="25"/>
      <c r="Q2729" s="25"/>
      <c r="R2729" s="25"/>
      <c r="S2729" s="25"/>
      <c r="T2729" s="141"/>
      <c r="U2729" s="28"/>
    </row>
    <row r="2730" ht="15.75" customHeight="1">
      <c r="P2730" s="25"/>
      <c r="Q2730" s="25"/>
      <c r="R2730" s="25"/>
      <c r="S2730" s="25"/>
      <c r="T2730" s="141"/>
      <c r="U2730" s="28"/>
    </row>
    <row r="2731" ht="15.75" customHeight="1">
      <c r="P2731" s="25"/>
      <c r="Q2731" s="25"/>
      <c r="R2731" s="25"/>
      <c r="S2731" s="25"/>
      <c r="T2731" s="141"/>
      <c r="U2731" s="28"/>
    </row>
    <row r="2732" ht="15.75" customHeight="1">
      <c r="P2732" s="25"/>
      <c r="Q2732" s="25"/>
      <c r="R2732" s="25"/>
      <c r="S2732" s="25"/>
      <c r="T2732" s="141"/>
      <c r="U2732" s="28"/>
    </row>
    <row r="2733" ht="15.75" customHeight="1">
      <c r="P2733" s="25"/>
      <c r="Q2733" s="25"/>
      <c r="R2733" s="25"/>
      <c r="S2733" s="25"/>
      <c r="T2733" s="141"/>
      <c r="U2733" s="28"/>
    </row>
    <row r="2734" ht="15.75" customHeight="1">
      <c r="P2734" s="25"/>
      <c r="Q2734" s="25"/>
      <c r="R2734" s="25"/>
      <c r="S2734" s="25"/>
      <c r="T2734" s="141"/>
      <c r="U2734" s="28"/>
    </row>
    <row r="2735" ht="15.75" customHeight="1">
      <c r="P2735" s="25"/>
      <c r="Q2735" s="25"/>
      <c r="R2735" s="25"/>
      <c r="S2735" s="25"/>
      <c r="T2735" s="141"/>
      <c r="U2735" s="28"/>
    </row>
    <row r="2736" ht="15.75" customHeight="1">
      <c r="P2736" s="25"/>
      <c r="Q2736" s="25"/>
      <c r="R2736" s="25"/>
      <c r="S2736" s="25"/>
      <c r="T2736" s="141"/>
      <c r="U2736" s="28"/>
    </row>
    <row r="2737" ht="15.75" customHeight="1">
      <c r="P2737" s="25"/>
      <c r="Q2737" s="25"/>
      <c r="R2737" s="25"/>
      <c r="S2737" s="25"/>
      <c r="T2737" s="141"/>
      <c r="U2737" s="28"/>
    </row>
    <row r="2738" ht="15.75" customHeight="1">
      <c r="P2738" s="25"/>
      <c r="Q2738" s="25"/>
      <c r="R2738" s="25"/>
      <c r="S2738" s="25"/>
      <c r="T2738" s="141"/>
      <c r="U2738" s="28"/>
    </row>
    <row r="2739" ht="15.75" customHeight="1">
      <c r="P2739" s="25"/>
      <c r="Q2739" s="25"/>
      <c r="R2739" s="25"/>
      <c r="S2739" s="25"/>
      <c r="T2739" s="141"/>
      <c r="U2739" s="28"/>
    </row>
    <row r="2740" ht="15.75" customHeight="1">
      <c r="P2740" s="25"/>
      <c r="Q2740" s="25"/>
      <c r="R2740" s="25"/>
      <c r="S2740" s="25"/>
      <c r="T2740" s="141"/>
      <c r="U2740" s="28"/>
    </row>
    <row r="2741" ht="15.75" customHeight="1">
      <c r="P2741" s="25"/>
      <c r="Q2741" s="25"/>
      <c r="R2741" s="25"/>
      <c r="S2741" s="25"/>
      <c r="T2741" s="141"/>
      <c r="U2741" s="28"/>
    </row>
    <row r="2742" ht="15.75" customHeight="1">
      <c r="P2742" s="25"/>
      <c r="Q2742" s="25"/>
      <c r="R2742" s="25"/>
      <c r="S2742" s="25"/>
      <c r="T2742" s="141"/>
      <c r="U2742" s="28"/>
    </row>
    <row r="2743" ht="15.75" customHeight="1">
      <c r="P2743" s="25"/>
      <c r="Q2743" s="25"/>
      <c r="R2743" s="25"/>
      <c r="S2743" s="25"/>
      <c r="T2743" s="141"/>
      <c r="U2743" s="28"/>
    </row>
    <row r="2744" ht="15.75" customHeight="1">
      <c r="P2744" s="25"/>
      <c r="Q2744" s="25"/>
      <c r="R2744" s="25"/>
      <c r="S2744" s="25"/>
      <c r="T2744" s="141"/>
      <c r="U2744" s="28"/>
    </row>
    <row r="2745" ht="15.75" customHeight="1">
      <c r="P2745" s="25"/>
      <c r="Q2745" s="25"/>
      <c r="R2745" s="25"/>
      <c r="S2745" s="25"/>
      <c r="T2745" s="141"/>
      <c r="U2745" s="28"/>
    </row>
    <row r="2746" ht="15.75" customHeight="1">
      <c r="P2746" s="25"/>
      <c r="Q2746" s="25"/>
      <c r="R2746" s="25"/>
      <c r="S2746" s="25"/>
      <c r="T2746" s="141"/>
      <c r="U2746" s="28"/>
    </row>
    <row r="2747" ht="15.75" customHeight="1">
      <c r="P2747" s="25"/>
      <c r="Q2747" s="25"/>
      <c r="R2747" s="25"/>
      <c r="S2747" s="25"/>
      <c r="T2747" s="141"/>
      <c r="U2747" s="28"/>
    </row>
    <row r="2748" ht="15.75" customHeight="1">
      <c r="P2748" s="25"/>
      <c r="Q2748" s="25"/>
      <c r="R2748" s="25"/>
      <c r="S2748" s="25"/>
      <c r="T2748" s="141"/>
      <c r="U2748" s="28"/>
    </row>
    <row r="2749" ht="15.75" customHeight="1">
      <c r="P2749" s="25"/>
      <c r="Q2749" s="25"/>
      <c r="R2749" s="25"/>
      <c r="S2749" s="25"/>
      <c r="T2749" s="141"/>
      <c r="U2749" s="28"/>
    </row>
    <row r="2750" ht="15.75" customHeight="1">
      <c r="P2750" s="25"/>
      <c r="Q2750" s="25"/>
      <c r="R2750" s="25"/>
      <c r="S2750" s="25"/>
      <c r="T2750" s="141"/>
      <c r="U2750" s="28"/>
    </row>
    <row r="2751" ht="15.75" customHeight="1">
      <c r="P2751" s="25"/>
      <c r="Q2751" s="25"/>
      <c r="R2751" s="25"/>
      <c r="S2751" s="25"/>
      <c r="T2751" s="141"/>
      <c r="U2751" s="28"/>
    </row>
    <row r="2752" ht="15.75" customHeight="1">
      <c r="P2752" s="25"/>
      <c r="Q2752" s="25"/>
      <c r="R2752" s="25"/>
      <c r="S2752" s="25"/>
      <c r="T2752" s="141"/>
      <c r="U2752" s="28"/>
    </row>
    <row r="2753" ht="15.75" customHeight="1">
      <c r="P2753" s="25"/>
      <c r="Q2753" s="25"/>
      <c r="R2753" s="25"/>
      <c r="S2753" s="25"/>
      <c r="T2753" s="141"/>
      <c r="U2753" s="28"/>
    </row>
    <row r="2754" ht="15.75" customHeight="1">
      <c r="P2754" s="25"/>
      <c r="Q2754" s="25"/>
      <c r="R2754" s="25"/>
      <c r="S2754" s="25"/>
      <c r="T2754" s="141"/>
      <c r="U2754" s="28"/>
    </row>
    <row r="2755" ht="15.75" customHeight="1">
      <c r="P2755" s="25"/>
      <c r="Q2755" s="25"/>
      <c r="R2755" s="25"/>
      <c r="S2755" s="25"/>
      <c r="T2755" s="141"/>
      <c r="U2755" s="28"/>
    </row>
    <row r="2756" ht="15.75" customHeight="1">
      <c r="P2756" s="25"/>
      <c r="Q2756" s="25"/>
      <c r="R2756" s="25"/>
      <c r="S2756" s="25"/>
      <c r="T2756" s="141"/>
      <c r="U2756" s="28"/>
    </row>
    <row r="2757" ht="15.75" customHeight="1">
      <c r="P2757" s="25"/>
      <c r="Q2757" s="25"/>
      <c r="R2757" s="25"/>
      <c r="S2757" s="25"/>
      <c r="T2757" s="141"/>
      <c r="U2757" s="28"/>
    </row>
    <row r="2758" ht="15.75" customHeight="1">
      <c r="P2758" s="25"/>
      <c r="Q2758" s="25"/>
      <c r="R2758" s="25"/>
      <c r="S2758" s="25"/>
      <c r="T2758" s="141"/>
      <c r="U2758" s="28"/>
    </row>
    <row r="2759" ht="15.75" customHeight="1">
      <c r="P2759" s="25"/>
      <c r="Q2759" s="25"/>
      <c r="R2759" s="25"/>
      <c r="S2759" s="25"/>
      <c r="T2759" s="141"/>
      <c r="U2759" s="28"/>
    </row>
    <row r="2760" ht="15.75" customHeight="1">
      <c r="P2760" s="25"/>
      <c r="Q2760" s="25"/>
      <c r="R2760" s="25"/>
      <c r="S2760" s="25"/>
      <c r="T2760" s="141"/>
      <c r="U2760" s="28"/>
    </row>
    <row r="2761" ht="15.75" customHeight="1">
      <c r="P2761" s="25"/>
      <c r="Q2761" s="25"/>
      <c r="R2761" s="25"/>
      <c r="S2761" s="25"/>
      <c r="T2761" s="141"/>
      <c r="U2761" s="28"/>
    </row>
    <row r="2762" ht="15.75" customHeight="1">
      <c r="P2762" s="25"/>
      <c r="Q2762" s="25"/>
      <c r="R2762" s="25"/>
      <c r="S2762" s="25"/>
      <c r="T2762" s="141"/>
      <c r="U2762" s="28"/>
    </row>
    <row r="2763" ht="15.75" customHeight="1">
      <c r="P2763" s="25"/>
      <c r="Q2763" s="25"/>
      <c r="R2763" s="25"/>
      <c r="S2763" s="25"/>
      <c r="T2763" s="141"/>
      <c r="U2763" s="28"/>
    </row>
    <row r="2764" ht="15.75" customHeight="1">
      <c r="P2764" s="25"/>
      <c r="Q2764" s="25"/>
      <c r="R2764" s="25"/>
      <c r="S2764" s="25"/>
      <c r="T2764" s="141"/>
      <c r="U2764" s="28"/>
    </row>
    <row r="2765" ht="15.75" customHeight="1">
      <c r="P2765" s="25"/>
      <c r="Q2765" s="25"/>
      <c r="R2765" s="25"/>
      <c r="S2765" s="25"/>
      <c r="T2765" s="141"/>
      <c r="U2765" s="28"/>
    </row>
    <row r="2766" ht="15.75" customHeight="1">
      <c r="P2766" s="25"/>
      <c r="Q2766" s="25"/>
      <c r="R2766" s="25"/>
      <c r="S2766" s="25"/>
      <c r="T2766" s="141"/>
      <c r="U2766" s="28"/>
    </row>
    <row r="2767" ht="15.75" customHeight="1">
      <c r="P2767" s="25"/>
      <c r="Q2767" s="25"/>
      <c r="R2767" s="25"/>
      <c r="S2767" s="25"/>
      <c r="T2767" s="141"/>
      <c r="U2767" s="28"/>
    </row>
    <row r="2768" ht="15.75" customHeight="1">
      <c r="P2768" s="25"/>
      <c r="Q2768" s="25"/>
      <c r="R2768" s="25"/>
      <c r="S2768" s="25"/>
      <c r="T2768" s="141"/>
      <c r="U2768" s="28"/>
    </row>
    <row r="2769" ht="15.75" customHeight="1">
      <c r="P2769" s="25"/>
      <c r="Q2769" s="25"/>
      <c r="R2769" s="25"/>
      <c r="S2769" s="25"/>
      <c r="T2769" s="141"/>
      <c r="U2769" s="28"/>
    </row>
    <row r="2770" ht="15.75" customHeight="1">
      <c r="P2770" s="25"/>
      <c r="Q2770" s="25"/>
      <c r="R2770" s="25"/>
      <c r="S2770" s="25"/>
      <c r="T2770" s="141"/>
      <c r="U2770" s="28"/>
    </row>
    <row r="2771" ht="15.75" customHeight="1">
      <c r="P2771" s="25"/>
      <c r="Q2771" s="25"/>
      <c r="R2771" s="25"/>
      <c r="S2771" s="25"/>
      <c r="T2771" s="141"/>
      <c r="U2771" s="28"/>
    </row>
    <row r="2772" ht="15.75" customHeight="1">
      <c r="P2772" s="25"/>
      <c r="Q2772" s="25"/>
      <c r="R2772" s="25"/>
      <c r="S2772" s="25"/>
      <c r="T2772" s="141"/>
      <c r="U2772" s="28"/>
    </row>
    <row r="2773" ht="15.75" customHeight="1">
      <c r="P2773" s="25"/>
      <c r="Q2773" s="25"/>
      <c r="R2773" s="25"/>
      <c r="S2773" s="25"/>
      <c r="T2773" s="141"/>
      <c r="U2773" s="28"/>
    </row>
    <row r="2774" ht="15.75" customHeight="1">
      <c r="P2774" s="25"/>
      <c r="Q2774" s="25"/>
      <c r="R2774" s="25"/>
      <c r="S2774" s="25"/>
      <c r="T2774" s="141"/>
      <c r="U2774" s="28"/>
    </row>
    <row r="2775" ht="15.75" customHeight="1">
      <c r="P2775" s="25"/>
      <c r="Q2775" s="25"/>
      <c r="R2775" s="25"/>
      <c r="S2775" s="25"/>
      <c r="T2775" s="141"/>
      <c r="U2775" s="28"/>
    </row>
    <row r="2776" ht="15.75" customHeight="1">
      <c r="P2776" s="25"/>
      <c r="Q2776" s="25"/>
      <c r="R2776" s="25"/>
      <c r="S2776" s="25"/>
      <c r="T2776" s="141"/>
      <c r="U2776" s="28"/>
    </row>
    <row r="2777" ht="15.75" customHeight="1">
      <c r="P2777" s="25"/>
      <c r="Q2777" s="25"/>
      <c r="R2777" s="25"/>
      <c r="S2777" s="25"/>
      <c r="T2777" s="141"/>
      <c r="U2777" s="28"/>
    </row>
    <row r="2778" ht="15.75" customHeight="1">
      <c r="P2778" s="25"/>
      <c r="Q2778" s="25"/>
      <c r="R2778" s="25"/>
      <c r="S2778" s="25"/>
      <c r="T2778" s="141"/>
      <c r="U2778" s="28"/>
    </row>
    <row r="2779" ht="15.75" customHeight="1">
      <c r="P2779" s="25"/>
      <c r="Q2779" s="25"/>
      <c r="R2779" s="25"/>
      <c r="S2779" s="25"/>
      <c r="T2779" s="141"/>
      <c r="U2779" s="28"/>
    </row>
    <row r="2780" ht="15.75" customHeight="1">
      <c r="P2780" s="25"/>
      <c r="Q2780" s="25"/>
      <c r="R2780" s="25"/>
      <c r="S2780" s="25"/>
      <c r="T2780" s="141"/>
      <c r="U2780" s="28"/>
    </row>
    <row r="2781" ht="15.75" customHeight="1">
      <c r="P2781" s="25"/>
      <c r="Q2781" s="25"/>
      <c r="R2781" s="25"/>
      <c r="S2781" s="25"/>
      <c r="T2781" s="141"/>
      <c r="U2781" s="28"/>
    </row>
    <row r="2782" ht="15.75" customHeight="1">
      <c r="P2782" s="25"/>
      <c r="Q2782" s="25"/>
      <c r="R2782" s="25"/>
      <c r="S2782" s="25"/>
      <c r="T2782" s="141"/>
      <c r="U2782" s="28"/>
    </row>
    <row r="2783" ht="15.75" customHeight="1">
      <c r="P2783" s="25"/>
      <c r="Q2783" s="25"/>
      <c r="R2783" s="25"/>
      <c r="S2783" s="25"/>
      <c r="T2783" s="141"/>
      <c r="U2783" s="28"/>
    </row>
    <row r="2784" ht="15.75" customHeight="1">
      <c r="P2784" s="25"/>
      <c r="Q2784" s="25"/>
      <c r="R2784" s="25"/>
      <c r="S2784" s="25"/>
      <c r="T2784" s="141"/>
      <c r="U2784" s="28"/>
    </row>
    <row r="2785" ht="15.75" customHeight="1">
      <c r="P2785" s="25"/>
      <c r="Q2785" s="25"/>
      <c r="R2785" s="25"/>
      <c r="S2785" s="25"/>
      <c r="T2785" s="141"/>
      <c r="U2785" s="28"/>
    </row>
    <row r="2786" ht="15.75" customHeight="1">
      <c r="P2786" s="25"/>
      <c r="Q2786" s="25"/>
      <c r="R2786" s="25"/>
      <c r="S2786" s="25"/>
      <c r="T2786" s="141"/>
      <c r="U2786" s="28"/>
    </row>
    <row r="2787" ht="15.75" customHeight="1">
      <c r="P2787" s="25"/>
      <c r="Q2787" s="25"/>
      <c r="R2787" s="25"/>
      <c r="S2787" s="25"/>
      <c r="T2787" s="141"/>
      <c r="U2787" s="28"/>
    </row>
    <row r="2788" ht="15.75" customHeight="1">
      <c r="P2788" s="25"/>
      <c r="Q2788" s="25"/>
      <c r="R2788" s="25"/>
      <c r="S2788" s="25"/>
      <c r="T2788" s="141"/>
      <c r="U2788" s="28"/>
    </row>
    <row r="2789" ht="15.75" customHeight="1">
      <c r="P2789" s="25"/>
      <c r="Q2789" s="25"/>
      <c r="R2789" s="25"/>
      <c r="S2789" s="25"/>
      <c r="T2789" s="141"/>
      <c r="U2789" s="28"/>
    </row>
    <row r="2790" ht="15.75" customHeight="1">
      <c r="P2790" s="25"/>
      <c r="Q2790" s="25"/>
      <c r="R2790" s="25"/>
      <c r="S2790" s="25"/>
      <c r="T2790" s="141"/>
      <c r="U2790" s="28"/>
    </row>
    <row r="2791" ht="15.75" customHeight="1">
      <c r="P2791" s="25"/>
      <c r="Q2791" s="25"/>
      <c r="R2791" s="25"/>
      <c r="S2791" s="25"/>
      <c r="T2791" s="141"/>
      <c r="U2791" s="28"/>
    </row>
    <row r="2792" ht="15.75" customHeight="1">
      <c r="P2792" s="25"/>
      <c r="Q2792" s="25"/>
      <c r="R2792" s="25"/>
      <c r="S2792" s="25"/>
      <c r="T2792" s="141"/>
      <c r="U2792" s="28"/>
    </row>
    <row r="2793" ht="15.75" customHeight="1">
      <c r="P2793" s="25"/>
      <c r="Q2793" s="25"/>
      <c r="R2793" s="25"/>
      <c r="S2793" s="25"/>
      <c r="T2793" s="141"/>
      <c r="U2793" s="28"/>
    </row>
    <row r="2794" ht="15.75" customHeight="1">
      <c r="P2794" s="25"/>
      <c r="Q2794" s="25"/>
      <c r="R2794" s="25"/>
      <c r="S2794" s="25"/>
      <c r="T2794" s="141"/>
      <c r="U2794" s="28"/>
    </row>
    <row r="2795" ht="15.75" customHeight="1">
      <c r="P2795" s="25"/>
      <c r="Q2795" s="25"/>
      <c r="R2795" s="25"/>
      <c r="S2795" s="25"/>
      <c r="T2795" s="141"/>
      <c r="U2795" s="28"/>
    </row>
    <row r="2796" ht="15.75" customHeight="1">
      <c r="P2796" s="25"/>
      <c r="Q2796" s="25"/>
      <c r="R2796" s="25"/>
      <c r="S2796" s="25"/>
      <c r="T2796" s="141"/>
      <c r="U2796" s="28"/>
    </row>
    <row r="2797" ht="15.75" customHeight="1">
      <c r="P2797" s="25"/>
      <c r="Q2797" s="25"/>
      <c r="R2797" s="25"/>
      <c r="S2797" s="25"/>
      <c r="T2797" s="141"/>
      <c r="U2797" s="28"/>
    </row>
    <row r="2798" ht="15.75" customHeight="1">
      <c r="P2798" s="25"/>
      <c r="Q2798" s="25"/>
      <c r="R2798" s="25"/>
      <c r="S2798" s="25"/>
      <c r="T2798" s="141"/>
      <c r="U2798" s="28"/>
    </row>
    <row r="2799" ht="15.75" customHeight="1">
      <c r="P2799" s="25"/>
      <c r="Q2799" s="25"/>
      <c r="R2799" s="25"/>
      <c r="S2799" s="25"/>
      <c r="T2799" s="141"/>
      <c r="U2799" s="28"/>
    </row>
    <row r="2800" ht="15.75" customHeight="1">
      <c r="P2800" s="25"/>
      <c r="Q2800" s="25"/>
      <c r="R2800" s="25"/>
      <c r="S2800" s="25"/>
      <c r="T2800" s="141"/>
      <c r="U2800" s="28"/>
    </row>
    <row r="2801" ht="15.75" customHeight="1">
      <c r="P2801" s="25"/>
      <c r="Q2801" s="25"/>
      <c r="R2801" s="25"/>
      <c r="S2801" s="25"/>
      <c r="T2801" s="141"/>
      <c r="U2801" s="28"/>
    </row>
    <row r="2802" ht="15.75" customHeight="1">
      <c r="P2802" s="25"/>
      <c r="Q2802" s="25"/>
      <c r="R2802" s="25"/>
      <c r="S2802" s="25"/>
      <c r="T2802" s="141"/>
      <c r="U2802" s="28"/>
    </row>
    <row r="2803" ht="15.75" customHeight="1">
      <c r="P2803" s="25"/>
      <c r="Q2803" s="25"/>
      <c r="R2803" s="25"/>
      <c r="S2803" s="25"/>
      <c r="T2803" s="141"/>
      <c r="U2803" s="28"/>
    </row>
    <row r="2804" ht="15.75" customHeight="1">
      <c r="P2804" s="25"/>
      <c r="Q2804" s="25"/>
      <c r="R2804" s="25"/>
      <c r="S2804" s="25"/>
      <c r="T2804" s="141"/>
      <c r="U2804" s="28"/>
    </row>
    <row r="2805" ht="15.75" customHeight="1">
      <c r="P2805" s="25"/>
      <c r="Q2805" s="25"/>
      <c r="R2805" s="25"/>
      <c r="S2805" s="25"/>
      <c r="T2805" s="141"/>
      <c r="U2805" s="28"/>
    </row>
    <row r="2806" ht="15.75" customHeight="1">
      <c r="P2806" s="25"/>
      <c r="Q2806" s="25"/>
      <c r="R2806" s="25"/>
      <c r="S2806" s="25"/>
      <c r="T2806" s="141"/>
      <c r="U2806" s="28"/>
    </row>
    <row r="2807" ht="15.75" customHeight="1">
      <c r="P2807" s="25"/>
      <c r="Q2807" s="25"/>
      <c r="R2807" s="25"/>
      <c r="S2807" s="25"/>
      <c r="T2807" s="141"/>
      <c r="U2807" s="28"/>
    </row>
    <row r="2808" ht="15.75" customHeight="1">
      <c r="P2808" s="25"/>
      <c r="Q2808" s="25"/>
      <c r="R2808" s="25"/>
      <c r="S2808" s="25"/>
      <c r="T2808" s="141"/>
      <c r="U2808" s="28"/>
    </row>
    <row r="2809" ht="15.75" customHeight="1">
      <c r="P2809" s="25"/>
      <c r="Q2809" s="25"/>
      <c r="R2809" s="25"/>
      <c r="S2809" s="25"/>
      <c r="T2809" s="141"/>
      <c r="U2809" s="28"/>
    </row>
    <row r="2810" ht="15.75" customHeight="1">
      <c r="P2810" s="25"/>
      <c r="Q2810" s="25"/>
      <c r="R2810" s="25"/>
      <c r="S2810" s="25"/>
      <c r="T2810" s="141"/>
      <c r="U2810" s="28"/>
    </row>
    <row r="2811" ht="15.75" customHeight="1">
      <c r="P2811" s="25"/>
      <c r="Q2811" s="25"/>
      <c r="R2811" s="25"/>
      <c r="S2811" s="25"/>
      <c r="T2811" s="141"/>
      <c r="U2811" s="28"/>
    </row>
    <row r="2812" ht="15.75" customHeight="1">
      <c r="P2812" s="25"/>
      <c r="Q2812" s="25"/>
      <c r="R2812" s="25"/>
      <c r="S2812" s="25"/>
      <c r="T2812" s="141"/>
      <c r="U2812" s="28"/>
    </row>
    <row r="2813" ht="15.75" customHeight="1">
      <c r="P2813" s="25"/>
      <c r="Q2813" s="25"/>
      <c r="R2813" s="25"/>
      <c r="S2813" s="25"/>
      <c r="T2813" s="141"/>
      <c r="U2813" s="28"/>
    </row>
    <row r="2814" ht="15.75" customHeight="1">
      <c r="P2814" s="25"/>
      <c r="Q2814" s="25"/>
      <c r="R2814" s="25"/>
      <c r="S2814" s="25"/>
      <c r="T2814" s="141"/>
      <c r="U2814" s="28"/>
    </row>
    <row r="2815" ht="15.75" customHeight="1">
      <c r="P2815" s="25"/>
      <c r="Q2815" s="25"/>
      <c r="R2815" s="25"/>
      <c r="S2815" s="25"/>
      <c r="T2815" s="141"/>
      <c r="U2815" s="28"/>
    </row>
    <row r="2816" ht="15.75" customHeight="1">
      <c r="P2816" s="25"/>
      <c r="Q2816" s="25"/>
      <c r="R2816" s="25"/>
      <c r="S2816" s="25"/>
      <c r="T2816" s="141"/>
      <c r="U2816" s="28"/>
    </row>
    <row r="2817" ht="15.75" customHeight="1">
      <c r="P2817" s="25"/>
      <c r="Q2817" s="25"/>
      <c r="R2817" s="25"/>
      <c r="S2817" s="25"/>
      <c r="T2817" s="141"/>
      <c r="U2817" s="28"/>
    </row>
    <row r="2818" ht="15.75" customHeight="1">
      <c r="P2818" s="25"/>
      <c r="Q2818" s="25"/>
      <c r="R2818" s="25"/>
      <c r="S2818" s="25"/>
      <c r="T2818" s="141"/>
      <c r="U2818" s="28"/>
    </row>
    <row r="2819" ht="15.75" customHeight="1">
      <c r="P2819" s="25"/>
      <c r="Q2819" s="25"/>
      <c r="R2819" s="25"/>
      <c r="S2819" s="25"/>
      <c r="T2819" s="141"/>
      <c r="U2819" s="28"/>
    </row>
    <row r="2820" ht="15.75" customHeight="1">
      <c r="P2820" s="25"/>
      <c r="Q2820" s="25"/>
      <c r="R2820" s="25"/>
      <c r="S2820" s="25"/>
      <c r="T2820" s="141"/>
      <c r="U2820" s="28"/>
    </row>
    <row r="2821" ht="15.75" customHeight="1">
      <c r="P2821" s="25"/>
      <c r="Q2821" s="25"/>
      <c r="R2821" s="25"/>
      <c r="S2821" s="25"/>
      <c r="T2821" s="141"/>
      <c r="U2821" s="28"/>
    </row>
    <row r="2822" ht="15.75" customHeight="1">
      <c r="P2822" s="25"/>
      <c r="Q2822" s="25"/>
      <c r="R2822" s="25"/>
      <c r="S2822" s="25"/>
      <c r="T2822" s="141"/>
      <c r="U2822" s="28"/>
    </row>
    <row r="2823" ht="15.75" customHeight="1">
      <c r="P2823" s="25"/>
      <c r="Q2823" s="25"/>
      <c r="R2823" s="25"/>
      <c r="S2823" s="25"/>
      <c r="T2823" s="141"/>
      <c r="U2823" s="28"/>
    </row>
    <row r="2824" ht="15.75" customHeight="1">
      <c r="P2824" s="25"/>
      <c r="Q2824" s="25"/>
      <c r="R2824" s="25"/>
      <c r="S2824" s="25"/>
      <c r="T2824" s="141"/>
      <c r="U2824" s="28"/>
    </row>
    <row r="2825" ht="15.75" customHeight="1">
      <c r="P2825" s="25"/>
      <c r="Q2825" s="25"/>
      <c r="R2825" s="25"/>
      <c r="S2825" s="25"/>
      <c r="T2825" s="141"/>
      <c r="U2825" s="28"/>
    </row>
    <row r="2826" ht="15.75" customHeight="1">
      <c r="P2826" s="25"/>
      <c r="Q2826" s="25"/>
      <c r="R2826" s="25"/>
      <c r="S2826" s="25"/>
      <c r="T2826" s="141"/>
      <c r="U2826" s="28"/>
    </row>
    <row r="2827" ht="15.75" customHeight="1">
      <c r="P2827" s="25"/>
      <c r="Q2827" s="25"/>
      <c r="R2827" s="25"/>
      <c r="S2827" s="25"/>
      <c r="T2827" s="141"/>
      <c r="U2827" s="28"/>
    </row>
    <row r="2828" ht="15.75" customHeight="1">
      <c r="P2828" s="25"/>
      <c r="Q2828" s="25"/>
      <c r="R2828" s="25"/>
      <c r="S2828" s="25"/>
      <c r="T2828" s="141"/>
      <c r="U2828" s="28"/>
    </row>
    <row r="2829" ht="15.75" customHeight="1">
      <c r="P2829" s="25"/>
      <c r="Q2829" s="25"/>
      <c r="R2829" s="25"/>
      <c r="S2829" s="25"/>
      <c r="T2829" s="141"/>
      <c r="U2829" s="28"/>
    </row>
    <row r="2830" ht="15.75" customHeight="1">
      <c r="P2830" s="25"/>
      <c r="Q2830" s="25"/>
      <c r="R2830" s="25"/>
      <c r="S2830" s="25"/>
      <c r="T2830" s="141"/>
      <c r="U2830" s="28"/>
    </row>
    <row r="2831" ht="15.75" customHeight="1">
      <c r="P2831" s="25"/>
      <c r="Q2831" s="25"/>
      <c r="R2831" s="25"/>
      <c r="S2831" s="25"/>
      <c r="T2831" s="141"/>
      <c r="U2831" s="28"/>
    </row>
    <row r="2832" ht="15.75" customHeight="1">
      <c r="P2832" s="25"/>
      <c r="Q2832" s="25"/>
      <c r="R2832" s="25"/>
      <c r="S2832" s="25"/>
      <c r="T2832" s="141"/>
      <c r="U2832" s="28"/>
    </row>
    <row r="2833" ht="15.75" customHeight="1">
      <c r="P2833" s="25"/>
      <c r="Q2833" s="25"/>
      <c r="R2833" s="25"/>
      <c r="S2833" s="25"/>
      <c r="T2833" s="141"/>
      <c r="U2833" s="28"/>
    </row>
    <row r="2834" ht="15.75" customHeight="1">
      <c r="P2834" s="25"/>
      <c r="Q2834" s="25"/>
      <c r="R2834" s="25"/>
      <c r="S2834" s="25"/>
      <c r="T2834" s="141"/>
      <c r="U2834" s="28"/>
    </row>
    <row r="2835" ht="15.75" customHeight="1">
      <c r="P2835" s="25"/>
      <c r="Q2835" s="25"/>
      <c r="R2835" s="25"/>
      <c r="S2835" s="25"/>
      <c r="T2835" s="141"/>
      <c r="U2835" s="28"/>
    </row>
    <row r="2836" ht="15.75" customHeight="1">
      <c r="P2836" s="25"/>
      <c r="Q2836" s="25"/>
      <c r="R2836" s="25"/>
      <c r="S2836" s="25"/>
      <c r="T2836" s="141"/>
      <c r="U2836" s="28"/>
    </row>
    <row r="2837" ht="15.75" customHeight="1">
      <c r="P2837" s="25"/>
      <c r="Q2837" s="25"/>
      <c r="R2837" s="25"/>
      <c r="S2837" s="25"/>
      <c r="T2837" s="141"/>
      <c r="U2837" s="28"/>
    </row>
    <row r="2838" ht="15.75" customHeight="1">
      <c r="P2838" s="25"/>
      <c r="Q2838" s="25"/>
      <c r="R2838" s="25"/>
      <c r="S2838" s="25"/>
      <c r="T2838" s="141"/>
      <c r="U2838" s="28"/>
    </row>
    <row r="2839" ht="15.75" customHeight="1">
      <c r="P2839" s="25"/>
      <c r="Q2839" s="25"/>
      <c r="R2839" s="25"/>
      <c r="S2839" s="25"/>
      <c r="T2839" s="141"/>
      <c r="U2839" s="28"/>
    </row>
    <row r="2840" ht="15.75" customHeight="1">
      <c r="P2840" s="25"/>
      <c r="Q2840" s="25"/>
      <c r="R2840" s="25"/>
      <c r="S2840" s="25"/>
      <c r="T2840" s="141"/>
      <c r="U2840" s="28"/>
    </row>
    <row r="2841" ht="15.75" customHeight="1">
      <c r="P2841" s="25"/>
      <c r="Q2841" s="25"/>
      <c r="R2841" s="25"/>
      <c r="S2841" s="25"/>
      <c r="T2841" s="141"/>
      <c r="U2841" s="28"/>
    </row>
    <row r="2842" ht="15.75" customHeight="1">
      <c r="P2842" s="25"/>
      <c r="Q2842" s="25"/>
      <c r="R2842" s="25"/>
      <c r="S2842" s="25"/>
      <c r="T2842" s="141"/>
      <c r="U2842" s="28"/>
    </row>
    <row r="2843" ht="15.75" customHeight="1">
      <c r="P2843" s="25"/>
      <c r="Q2843" s="25"/>
      <c r="R2843" s="25"/>
      <c r="S2843" s="25"/>
      <c r="T2843" s="141"/>
      <c r="U2843" s="28"/>
    </row>
    <row r="2844" ht="15.75" customHeight="1">
      <c r="P2844" s="25"/>
      <c r="Q2844" s="25"/>
      <c r="R2844" s="25"/>
      <c r="S2844" s="25"/>
      <c r="T2844" s="141"/>
      <c r="U2844" s="28"/>
    </row>
    <row r="2845" ht="15.75" customHeight="1">
      <c r="P2845" s="25"/>
      <c r="Q2845" s="25"/>
      <c r="R2845" s="25"/>
      <c r="S2845" s="25"/>
      <c r="T2845" s="141"/>
      <c r="U2845" s="28"/>
    </row>
    <row r="2846" ht="15.75" customHeight="1">
      <c r="P2846" s="25"/>
      <c r="Q2846" s="25"/>
      <c r="R2846" s="25"/>
      <c r="S2846" s="25"/>
      <c r="T2846" s="141"/>
      <c r="U2846" s="28"/>
    </row>
    <row r="2847" ht="15.75" customHeight="1">
      <c r="P2847" s="25"/>
      <c r="Q2847" s="25"/>
      <c r="R2847" s="25"/>
      <c r="S2847" s="25"/>
      <c r="T2847" s="141"/>
      <c r="U2847" s="28"/>
    </row>
    <row r="2848" ht="15.75" customHeight="1">
      <c r="P2848" s="25"/>
      <c r="Q2848" s="25"/>
      <c r="R2848" s="25"/>
      <c r="S2848" s="25"/>
      <c r="T2848" s="141"/>
      <c r="U2848" s="28"/>
    </row>
    <row r="2849" ht="15.75" customHeight="1">
      <c r="P2849" s="25"/>
      <c r="Q2849" s="25"/>
      <c r="R2849" s="25"/>
      <c r="S2849" s="25"/>
      <c r="T2849" s="141"/>
      <c r="U2849" s="28"/>
    </row>
    <row r="2850" ht="15.75" customHeight="1">
      <c r="P2850" s="25"/>
      <c r="Q2850" s="25"/>
      <c r="R2850" s="25"/>
      <c r="S2850" s="25"/>
      <c r="T2850" s="141"/>
      <c r="U2850" s="28"/>
    </row>
    <row r="2851" ht="15.75" customHeight="1">
      <c r="P2851" s="25"/>
      <c r="Q2851" s="25"/>
      <c r="R2851" s="25"/>
      <c r="S2851" s="25"/>
      <c r="T2851" s="141"/>
      <c r="U2851" s="28"/>
    </row>
    <row r="2852" ht="15.75" customHeight="1">
      <c r="P2852" s="25"/>
      <c r="Q2852" s="25"/>
      <c r="R2852" s="25"/>
      <c r="S2852" s="25"/>
      <c r="T2852" s="141"/>
      <c r="U2852" s="28"/>
    </row>
    <row r="2853" ht="15.75" customHeight="1">
      <c r="P2853" s="25"/>
      <c r="Q2853" s="25"/>
      <c r="R2853" s="25"/>
      <c r="S2853" s="25"/>
      <c r="T2853" s="141"/>
      <c r="U2853" s="28"/>
    </row>
    <row r="2854" ht="15.75" customHeight="1">
      <c r="P2854" s="25"/>
      <c r="Q2854" s="25"/>
      <c r="R2854" s="25"/>
      <c r="S2854" s="25"/>
      <c r="T2854" s="141"/>
      <c r="U2854" s="28"/>
    </row>
    <row r="2855" ht="15.75" customHeight="1">
      <c r="P2855" s="25"/>
      <c r="Q2855" s="25"/>
      <c r="R2855" s="25"/>
      <c r="S2855" s="25"/>
      <c r="T2855" s="141"/>
      <c r="U2855" s="28"/>
    </row>
    <row r="2856" ht="15.75" customHeight="1">
      <c r="P2856" s="25"/>
      <c r="Q2856" s="25"/>
      <c r="R2856" s="25"/>
      <c r="S2856" s="25"/>
      <c r="T2856" s="141"/>
      <c r="U2856" s="28"/>
    </row>
    <row r="2857" ht="15.75" customHeight="1">
      <c r="P2857" s="25"/>
      <c r="Q2857" s="25"/>
      <c r="R2857" s="25"/>
      <c r="S2857" s="25"/>
      <c r="T2857" s="141"/>
      <c r="U2857" s="28"/>
    </row>
    <row r="2858" ht="15.75" customHeight="1">
      <c r="P2858" s="25"/>
      <c r="Q2858" s="25"/>
      <c r="R2858" s="25"/>
      <c r="S2858" s="25"/>
      <c r="T2858" s="141"/>
      <c r="U2858" s="28"/>
    </row>
    <row r="2859" ht="15.75" customHeight="1">
      <c r="P2859" s="25"/>
      <c r="Q2859" s="25"/>
      <c r="R2859" s="25"/>
      <c r="S2859" s="25"/>
      <c r="T2859" s="141"/>
      <c r="U2859" s="28"/>
    </row>
    <row r="2860" ht="15.75" customHeight="1">
      <c r="P2860" s="25"/>
      <c r="Q2860" s="25"/>
      <c r="R2860" s="25"/>
      <c r="S2860" s="25"/>
      <c r="T2860" s="141"/>
      <c r="U2860" s="28"/>
    </row>
    <row r="2861" ht="15.75" customHeight="1">
      <c r="P2861" s="25"/>
      <c r="Q2861" s="25"/>
      <c r="R2861" s="25"/>
      <c r="S2861" s="25"/>
      <c r="T2861" s="141"/>
      <c r="U2861" s="28"/>
    </row>
    <row r="2862" ht="15.75" customHeight="1">
      <c r="P2862" s="25"/>
      <c r="Q2862" s="25"/>
      <c r="R2862" s="25"/>
      <c r="S2862" s="25"/>
      <c r="T2862" s="141"/>
      <c r="U2862" s="28"/>
    </row>
    <row r="2863" ht="15.75" customHeight="1">
      <c r="P2863" s="25"/>
      <c r="Q2863" s="25"/>
      <c r="R2863" s="25"/>
      <c r="S2863" s="25"/>
      <c r="T2863" s="141"/>
      <c r="U2863" s="28"/>
    </row>
    <row r="2864" ht="15.75" customHeight="1">
      <c r="P2864" s="25"/>
      <c r="Q2864" s="25"/>
      <c r="R2864" s="25"/>
      <c r="S2864" s="25"/>
      <c r="T2864" s="141"/>
      <c r="U2864" s="28"/>
    </row>
    <row r="2865" ht="15.75" customHeight="1">
      <c r="P2865" s="25"/>
      <c r="Q2865" s="25"/>
      <c r="R2865" s="25"/>
      <c r="S2865" s="25"/>
      <c r="T2865" s="141"/>
      <c r="U2865" s="28"/>
    </row>
    <row r="2866" ht="15.75" customHeight="1">
      <c r="P2866" s="25"/>
      <c r="Q2866" s="25"/>
      <c r="R2866" s="25"/>
      <c r="S2866" s="25"/>
      <c r="T2866" s="141"/>
      <c r="U2866" s="28"/>
    </row>
    <row r="2867" ht="15.75" customHeight="1">
      <c r="P2867" s="25"/>
      <c r="Q2867" s="25"/>
      <c r="R2867" s="25"/>
      <c r="S2867" s="25"/>
      <c r="T2867" s="141"/>
      <c r="U2867" s="28"/>
    </row>
    <row r="2868" ht="15.75" customHeight="1">
      <c r="P2868" s="25"/>
      <c r="Q2868" s="25"/>
      <c r="R2868" s="25"/>
      <c r="S2868" s="25"/>
      <c r="T2868" s="141"/>
      <c r="U2868" s="28"/>
    </row>
    <row r="2869" ht="15.75" customHeight="1">
      <c r="P2869" s="25"/>
      <c r="Q2869" s="25"/>
      <c r="R2869" s="25"/>
      <c r="S2869" s="25"/>
      <c r="T2869" s="141"/>
      <c r="U2869" s="28"/>
    </row>
    <row r="2870" ht="15.75" customHeight="1">
      <c r="P2870" s="25"/>
      <c r="Q2870" s="25"/>
      <c r="R2870" s="25"/>
      <c r="S2870" s="25"/>
      <c r="T2870" s="141"/>
      <c r="U2870" s="28"/>
    </row>
    <row r="2871" ht="15.75" customHeight="1">
      <c r="P2871" s="25"/>
      <c r="Q2871" s="25"/>
      <c r="R2871" s="25"/>
      <c r="S2871" s="25"/>
      <c r="T2871" s="141"/>
      <c r="U2871" s="28"/>
    </row>
    <row r="2872" ht="15.75" customHeight="1">
      <c r="P2872" s="25"/>
      <c r="Q2872" s="25"/>
      <c r="R2872" s="25"/>
      <c r="S2872" s="25"/>
      <c r="T2872" s="141"/>
      <c r="U2872" s="28"/>
    </row>
    <row r="2873" ht="15.75" customHeight="1">
      <c r="P2873" s="25"/>
      <c r="Q2873" s="25"/>
      <c r="R2873" s="25"/>
      <c r="S2873" s="25"/>
      <c r="T2873" s="141"/>
      <c r="U2873" s="28"/>
    </row>
    <row r="2874" ht="15.75" customHeight="1">
      <c r="P2874" s="25"/>
      <c r="Q2874" s="25"/>
      <c r="R2874" s="25"/>
      <c r="S2874" s="25"/>
      <c r="T2874" s="141"/>
      <c r="U2874" s="28"/>
    </row>
    <row r="2875" ht="15.75" customHeight="1">
      <c r="P2875" s="25"/>
      <c r="Q2875" s="25"/>
      <c r="R2875" s="25"/>
      <c r="S2875" s="25"/>
      <c r="T2875" s="141"/>
      <c r="U2875" s="28"/>
    </row>
    <row r="2876" ht="15.75" customHeight="1">
      <c r="P2876" s="25"/>
      <c r="Q2876" s="25"/>
      <c r="R2876" s="25"/>
      <c r="S2876" s="25"/>
      <c r="T2876" s="141"/>
      <c r="U2876" s="28"/>
    </row>
    <row r="2877" ht="15.75" customHeight="1">
      <c r="P2877" s="25"/>
      <c r="Q2877" s="25"/>
      <c r="R2877" s="25"/>
      <c r="S2877" s="25"/>
      <c r="T2877" s="141"/>
      <c r="U2877" s="28"/>
    </row>
    <row r="2878" ht="15.75" customHeight="1">
      <c r="P2878" s="25"/>
      <c r="Q2878" s="25"/>
      <c r="R2878" s="25"/>
      <c r="S2878" s="25"/>
      <c r="T2878" s="141"/>
      <c r="U2878" s="28"/>
    </row>
    <row r="2879" ht="15.75" customHeight="1">
      <c r="P2879" s="25"/>
      <c r="Q2879" s="25"/>
      <c r="R2879" s="25"/>
      <c r="S2879" s="25"/>
      <c r="T2879" s="141"/>
      <c r="U2879" s="28"/>
    </row>
    <row r="2880" ht="15.75" customHeight="1">
      <c r="P2880" s="25"/>
      <c r="Q2880" s="25"/>
      <c r="R2880" s="25"/>
      <c r="S2880" s="25"/>
      <c r="T2880" s="141"/>
      <c r="U2880" s="28"/>
    </row>
    <row r="2881" ht="15.75" customHeight="1">
      <c r="P2881" s="25"/>
      <c r="Q2881" s="25"/>
      <c r="R2881" s="25"/>
      <c r="S2881" s="25"/>
      <c r="T2881" s="141"/>
      <c r="U2881" s="28"/>
    </row>
    <row r="2882" ht="15.75" customHeight="1">
      <c r="P2882" s="25"/>
      <c r="Q2882" s="25"/>
      <c r="R2882" s="25"/>
      <c r="S2882" s="25"/>
      <c r="T2882" s="141"/>
      <c r="U2882" s="28"/>
    </row>
    <row r="2883" ht="15.75" customHeight="1">
      <c r="P2883" s="25"/>
      <c r="Q2883" s="25"/>
      <c r="R2883" s="25"/>
      <c r="S2883" s="25"/>
      <c r="T2883" s="141"/>
      <c r="U2883" s="28"/>
    </row>
    <row r="2884" ht="15.75" customHeight="1">
      <c r="P2884" s="25"/>
      <c r="Q2884" s="25"/>
      <c r="R2884" s="25"/>
      <c r="S2884" s="25"/>
      <c r="T2884" s="141"/>
      <c r="U2884" s="28"/>
    </row>
    <row r="2885" ht="15.75" customHeight="1">
      <c r="P2885" s="25"/>
      <c r="Q2885" s="25"/>
      <c r="R2885" s="25"/>
      <c r="S2885" s="25"/>
      <c r="T2885" s="141"/>
      <c r="U2885" s="28"/>
    </row>
    <row r="2886" ht="15.75" customHeight="1">
      <c r="P2886" s="25"/>
      <c r="Q2886" s="25"/>
      <c r="R2886" s="25"/>
      <c r="S2886" s="25"/>
      <c r="T2886" s="141"/>
      <c r="U2886" s="28"/>
    </row>
    <row r="2887" ht="15.75" customHeight="1">
      <c r="P2887" s="25"/>
      <c r="Q2887" s="25"/>
      <c r="R2887" s="25"/>
      <c r="S2887" s="25"/>
      <c r="T2887" s="141"/>
      <c r="U2887" s="28"/>
    </row>
    <row r="2888" ht="15.75" customHeight="1">
      <c r="P2888" s="25"/>
      <c r="Q2888" s="25"/>
      <c r="R2888" s="25"/>
      <c r="S2888" s="25"/>
      <c r="T2888" s="141"/>
      <c r="U2888" s="28"/>
    </row>
    <row r="2889" ht="15.75" customHeight="1">
      <c r="P2889" s="25"/>
      <c r="Q2889" s="25"/>
      <c r="R2889" s="25"/>
      <c r="S2889" s="25"/>
      <c r="T2889" s="141"/>
      <c r="U2889" s="28"/>
    </row>
    <row r="2890" ht="15.75" customHeight="1">
      <c r="P2890" s="25"/>
      <c r="Q2890" s="25"/>
      <c r="R2890" s="25"/>
      <c r="S2890" s="25"/>
      <c r="T2890" s="141"/>
      <c r="U2890" s="28"/>
    </row>
    <row r="2891" ht="15.75" customHeight="1">
      <c r="P2891" s="25"/>
      <c r="Q2891" s="25"/>
      <c r="R2891" s="25"/>
      <c r="S2891" s="25"/>
      <c r="T2891" s="141"/>
      <c r="U2891" s="28"/>
    </row>
    <row r="2892" ht="15.75" customHeight="1">
      <c r="P2892" s="25"/>
      <c r="Q2892" s="25"/>
      <c r="R2892" s="25"/>
      <c r="S2892" s="25"/>
      <c r="T2892" s="141"/>
      <c r="U2892" s="28"/>
    </row>
    <row r="2893" ht="15.75" customHeight="1">
      <c r="P2893" s="25"/>
      <c r="Q2893" s="25"/>
      <c r="R2893" s="25"/>
      <c r="S2893" s="25"/>
      <c r="T2893" s="141"/>
      <c r="U2893" s="28"/>
    </row>
    <row r="2894" ht="15.75" customHeight="1">
      <c r="P2894" s="25"/>
      <c r="Q2894" s="25"/>
      <c r="R2894" s="25"/>
      <c r="S2894" s="25"/>
      <c r="T2894" s="141"/>
      <c r="U2894" s="28"/>
    </row>
    <row r="2895" ht="15.75" customHeight="1">
      <c r="P2895" s="25"/>
      <c r="Q2895" s="25"/>
      <c r="R2895" s="25"/>
      <c r="S2895" s="25"/>
      <c r="T2895" s="141"/>
      <c r="U2895" s="28"/>
    </row>
    <row r="2896" ht="15.75" customHeight="1">
      <c r="P2896" s="25"/>
      <c r="Q2896" s="25"/>
      <c r="R2896" s="25"/>
      <c r="S2896" s="25"/>
      <c r="T2896" s="141"/>
      <c r="U2896" s="28"/>
    </row>
    <row r="2897" ht="15.75" customHeight="1">
      <c r="P2897" s="25"/>
      <c r="Q2897" s="25"/>
      <c r="R2897" s="25"/>
      <c r="S2897" s="25"/>
      <c r="T2897" s="141"/>
      <c r="U2897" s="28"/>
    </row>
    <row r="2898" ht="15.75" customHeight="1">
      <c r="P2898" s="25"/>
      <c r="Q2898" s="25"/>
      <c r="R2898" s="25"/>
      <c r="S2898" s="25"/>
      <c r="T2898" s="141"/>
      <c r="U2898" s="28"/>
    </row>
    <row r="2899" ht="15.75" customHeight="1">
      <c r="P2899" s="25"/>
      <c r="Q2899" s="25"/>
      <c r="R2899" s="25"/>
      <c r="S2899" s="25"/>
      <c r="T2899" s="141"/>
      <c r="U2899" s="28"/>
    </row>
    <row r="2900" ht="15.75" customHeight="1">
      <c r="P2900" s="25"/>
      <c r="Q2900" s="25"/>
      <c r="R2900" s="25"/>
      <c r="S2900" s="25"/>
      <c r="T2900" s="141"/>
      <c r="U2900" s="28"/>
    </row>
    <row r="2901" ht="15.75" customHeight="1">
      <c r="P2901" s="25"/>
      <c r="Q2901" s="25"/>
      <c r="R2901" s="25"/>
      <c r="S2901" s="25"/>
      <c r="T2901" s="141"/>
      <c r="U2901" s="28"/>
    </row>
    <row r="2902" ht="15.75" customHeight="1">
      <c r="P2902" s="25"/>
      <c r="Q2902" s="25"/>
      <c r="R2902" s="25"/>
      <c r="S2902" s="25"/>
      <c r="T2902" s="141"/>
      <c r="U2902" s="28"/>
    </row>
    <row r="2903" ht="15.75" customHeight="1">
      <c r="P2903" s="25"/>
      <c r="Q2903" s="25"/>
      <c r="R2903" s="25"/>
      <c r="S2903" s="25"/>
      <c r="T2903" s="141"/>
      <c r="U2903" s="28"/>
    </row>
    <row r="2904" ht="15.75" customHeight="1">
      <c r="P2904" s="25"/>
      <c r="Q2904" s="25"/>
      <c r="R2904" s="25"/>
      <c r="S2904" s="25"/>
      <c r="T2904" s="141"/>
      <c r="U2904" s="28"/>
    </row>
    <row r="2905" ht="15.75" customHeight="1">
      <c r="P2905" s="25"/>
      <c r="Q2905" s="25"/>
      <c r="R2905" s="25"/>
      <c r="S2905" s="25"/>
      <c r="T2905" s="141"/>
      <c r="U2905" s="28"/>
    </row>
    <row r="2906" ht="15.75" customHeight="1">
      <c r="P2906" s="25"/>
      <c r="Q2906" s="25"/>
      <c r="R2906" s="25"/>
      <c r="S2906" s="25"/>
      <c r="T2906" s="141"/>
      <c r="U2906" s="28"/>
    </row>
    <row r="2907" ht="15.75" customHeight="1">
      <c r="P2907" s="25"/>
      <c r="Q2907" s="25"/>
      <c r="R2907" s="25"/>
      <c r="S2907" s="25"/>
      <c r="T2907" s="141"/>
      <c r="U2907" s="28"/>
    </row>
    <row r="2908" ht="15.75" customHeight="1">
      <c r="P2908" s="25"/>
      <c r="Q2908" s="25"/>
      <c r="R2908" s="25"/>
      <c r="S2908" s="25"/>
      <c r="T2908" s="141"/>
      <c r="U2908" s="28"/>
    </row>
    <row r="2909" ht="15.75" customHeight="1">
      <c r="P2909" s="25"/>
      <c r="Q2909" s="25"/>
      <c r="R2909" s="25"/>
      <c r="S2909" s="25"/>
      <c r="T2909" s="141"/>
      <c r="U2909" s="28"/>
    </row>
    <row r="2910" ht="15.75" customHeight="1">
      <c r="P2910" s="25"/>
      <c r="Q2910" s="25"/>
      <c r="R2910" s="25"/>
      <c r="S2910" s="25"/>
      <c r="T2910" s="141"/>
      <c r="U2910" s="28"/>
    </row>
    <row r="2911" ht="15.75" customHeight="1">
      <c r="P2911" s="25"/>
      <c r="Q2911" s="25"/>
      <c r="R2911" s="25"/>
      <c r="S2911" s="25"/>
      <c r="T2911" s="141"/>
      <c r="U2911" s="28"/>
    </row>
    <row r="2912" ht="15.75" customHeight="1">
      <c r="P2912" s="25"/>
      <c r="Q2912" s="25"/>
      <c r="R2912" s="25"/>
      <c r="S2912" s="25"/>
      <c r="T2912" s="141"/>
      <c r="U2912" s="28"/>
    </row>
    <row r="2913" ht="15.75" customHeight="1">
      <c r="P2913" s="25"/>
      <c r="Q2913" s="25"/>
      <c r="R2913" s="25"/>
      <c r="S2913" s="25"/>
      <c r="T2913" s="141"/>
      <c r="U2913" s="28"/>
    </row>
    <row r="2914" ht="15.75" customHeight="1">
      <c r="P2914" s="25"/>
      <c r="Q2914" s="25"/>
      <c r="R2914" s="25"/>
      <c r="S2914" s="25"/>
      <c r="T2914" s="141"/>
      <c r="U2914" s="28"/>
    </row>
    <row r="2915" ht="15.75" customHeight="1">
      <c r="P2915" s="25"/>
      <c r="Q2915" s="25"/>
      <c r="R2915" s="25"/>
      <c r="S2915" s="25"/>
      <c r="T2915" s="141"/>
      <c r="U2915" s="28"/>
    </row>
    <row r="2916" ht="15.75" customHeight="1">
      <c r="P2916" s="25"/>
      <c r="Q2916" s="25"/>
      <c r="R2916" s="25"/>
      <c r="S2916" s="25"/>
      <c r="T2916" s="141"/>
      <c r="U2916" s="28"/>
    </row>
    <row r="2917" ht="15.75" customHeight="1">
      <c r="P2917" s="25"/>
      <c r="Q2917" s="25"/>
      <c r="R2917" s="25"/>
      <c r="S2917" s="25"/>
      <c r="T2917" s="141"/>
      <c r="U2917" s="28"/>
    </row>
    <row r="2918" ht="15.75" customHeight="1">
      <c r="P2918" s="25"/>
      <c r="Q2918" s="25"/>
      <c r="R2918" s="25"/>
      <c r="S2918" s="25"/>
      <c r="T2918" s="141"/>
      <c r="U2918" s="28"/>
    </row>
    <row r="2919" ht="15.75" customHeight="1">
      <c r="P2919" s="25"/>
      <c r="Q2919" s="25"/>
      <c r="R2919" s="25"/>
      <c r="S2919" s="25"/>
      <c r="T2919" s="141"/>
      <c r="U2919" s="28"/>
    </row>
    <row r="2920" ht="15.75" customHeight="1">
      <c r="P2920" s="25"/>
      <c r="Q2920" s="25"/>
      <c r="R2920" s="25"/>
      <c r="S2920" s="25"/>
      <c r="T2920" s="141"/>
      <c r="U2920" s="28"/>
    </row>
    <row r="2921" ht="15.75" customHeight="1">
      <c r="P2921" s="25"/>
      <c r="Q2921" s="25"/>
      <c r="R2921" s="25"/>
      <c r="S2921" s="25"/>
      <c r="T2921" s="141"/>
      <c r="U2921" s="28"/>
    </row>
    <row r="2922" ht="15.75" customHeight="1">
      <c r="P2922" s="25"/>
      <c r="Q2922" s="25"/>
      <c r="R2922" s="25"/>
      <c r="S2922" s="25"/>
      <c r="T2922" s="141"/>
      <c r="U2922" s="28"/>
    </row>
    <row r="2923" ht="15.75" customHeight="1">
      <c r="P2923" s="25"/>
      <c r="Q2923" s="25"/>
      <c r="R2923" s="25"/>
      <c r="S2923" s="25"/>
      <c r="T2923" s="141"/>
      <c r="U2923" s="28"/>
    </row>
    <row r="2924" ht="15.75" customHeight="1">
      <c r="P2924" s="25"/>
      <c r="Q2924" s="25"/>
      <c r="R2924" s="25"/>
      <c r="S2924" s="25"/>
      <c r="T2924" s="141"/>
      <c r="U2924" s="28"/>
    </row>
    <row r="2925" ht="15.75" customHeight="1">
      <c r="P2925" s="25"/>
      <c r="Q2925" s="25"/>
      <c r="R2925" s="25"/>
      <c r="S2925" s="25"/>
      <c r="T2925" s="141"/>
      <c r="U2925" s="28"/>
    </row>
    <row r="2926" ht="15.75" customHeight="1">
      <c r="P2926" s="25"/>
      <c r="Q2926" s="25"/>
      <c r="R2926" s="25"/>
      <c r="S2926" s="25"/>
      <c r="T2926" s="141"/>
      <c r="U2926" s="28"/>
    </row>
    <row r="2927" ht="15.75" customHeight="1">
      <c r="P2927" s="25"/>
      <c r="Q2927" s="25"/>
      <c r="R2927" s="25"/>
      <c r="S2927" s="25"/>
      <c r="T2927" s="141"/>
      <c r="U2927" s="28"/>
    </row>
    <row r="2928" ht="15.75" customHeight="1">
      <c r="P2928" s="25"/>
      <c r="Q2928" s="25"/>
      <c r="R2928" s="25"/>
      <c r="S2928" s="25"/>
      <c r="T2928" s="141"/>
      <c r="U2928" s="28"/>
    </row>
    <row r="2929" ht="15.75" customHeight="1">
      <c r="P2929" s="25"/>
      <c r="Q2929" s="25"/>
      <c r="R2929" s="25"/>
      <c r="S2929" s="25"/>
      <c r="T2929" s="141"/>
      <c r="U2929" s="28"/>
    </row>
    <row r="2930" ht="15.75" customHeight="1">
      <c r="P2930" s="25"/>
      <c r="Q2930" s="25"/>
      <c r="R2930" s="25"/>
      <c r="S2930" s="25"/>
      <c r="T2930" s="141"/>
      <c r="U2930" s="28"/>
    </row>
    <row r="2931" ht="15.75" customHeight="1">
      <c r="P2931" s="25"/>
      <c r="Q2931" s="25"/>
      <c r="R2931" s="25"/>
      <c r="S2931" s="25"/>
      <c r="T2931" s="141"/>
      <c r="U2931" s="28"/>
    </row>
    <row r="2932" ht="15.75" customHeight="1">
      <c r="P2932" s="25"/>
      <c r="Q2932" s="25"/>
      <c r="R2932" s="25"/>
      <c r="S2932" s="25"/>
      <c r="T2932" s="141"/>
      <c r="U2932" s="28"/>
    </row>
    <row r="2933" ht="15.75" customHeight="1">
      <c r="P2933" s="25"/>
      <c r="Q2933" s="25"/>
      <c r="R2933" s="25"/>
      <c r="S2933" s="25"/>
      <c r="T2933" s="141"/>
      <c r="U2933" s="28"/>
    </row>
    <row r="2934" ht="15.75" customHeight="1">
      <c r="P2934" s="25"/>
      <c r="Q2934" s="25"/>
      <c r="R2934" s="25"/>
      <c r="S2934" s="25"/>
      <c r="T2934" s="141"/>
      <c r="U2934" s="28"/>
    </row>
    <row r="2935" ht="15.75" customHeight="1">
      <c r="P2935" s="25"/>
      <c r="Q2935" s="25"/>
      <c r="R2935" s="25"/>
      <c r="S2935" s="25"/>
      <c r="T2935" s="141"/>
      <c r="U2935" s="28"/>
    </row>
    <row r="2936" ht="15.75" customHeight="1">
      <c r="P2936" s="25"/>
      <c r="Q2936" s="25"/>
      <c r="R2936" s="25"/>
      <c r="S2936" s="25"/>
      <c r="T2936" s="141"/>
      <c r="U2936" s="28"/>
    </row>
    <row r="2937" ht="15.75" customHeight="1">
      <c r="P2937" s="25"/>
      <c r="Q2937" s="25"/>
      <c r="R2937" s="25"/>
      <c r="S2937" s="25"/>
      <c r="T2937" s="141"/>
      <c r="U2937" s="28"/>
    </row>
    <row r="2938" ht="15.75" customHeight="1">
      <c r="P2938" s="25"/>
      <c r="Q2938" s="25"/>
      <c r="R2938" s="25"/>
      <c r="S2938" s="25"/>
      <c r="T2938" s="141"/>
      <c r="U2938" s="28"/>
    </row>
    <row r="2939" ht="15.75" customHeight="1">
      <c r="P2939" s="25"/>
      <c r="Q2939" s="25"/>
      <c r="R2939" s="25"/>
      <c r="S2939" s="25"/>
      <c r="T2939" s="141"/>
      <c r="U2939" s="28"/>
    </row>
    <row r="2940" ht="15.75" customHeight="1">
      <c r="P2940" s="25"/>
      <c r="Q2940" s="25"/>
      <c r="R2940" s="25"/>
      <c r="S2940" s="25"/>
      <c r="T2940" s="141"/>
      <c r="U2940" s="28"/>
    </row>
    <row r="2941" ht="15.75" customHeight="1">
      <c r="P2941" s="25"/>
      <c r="Q2941" s="25"/>
      <c r="R2941" s="25"/>
      <c r="S2941" s="25"/>
      <c r="T2941" s="141"/>
      <c r="U2941" s="28"/>
    </row>
    <row r="2942" ht="15.75" customHeight="1">
      <c r="P2942" s="25"/>
      <c r="Q2942" s="25"/>
      <c r="R2942" s="25"/>
      <c r="S2942" s="25"/>
      <c r="T2942" s="141"/>
      <c r="U2942" s="28"/>
    </row>
    <row r="2943" ht="15.75" customHeight="1">
      <c r="P2943" s="25"/>
      <c r="Q2943" s="25"/>
      <c r="R2943" s="25"/>
      <c r="S2943" s="25"/>
      <c r="T2943" s="141"/>
      <c r="U2943" s="28"/>
    </row>
    <row r="2944" ht="15.75" customHeight="1">
      <c r="P2944" s="25"/>
      <c r="Q2944" s="25"/>
      <c r="R2944" s="25"/>
      <c r="S2944" s="25"/>
      <c r="T2944" s="141"/>
      <c r="U2944" s="28"/>
    </row>
    <row r="2945" ht="15.75" customHeight="1">
      <c r="P2945" s="25"/>
      <c r="Q2945" s="25"/>
      <c r="R2945" s="25"/>
      <c r="S2945" s="25"/>
      <c r="T2945" s="141"/>
      <c r="U2945" s="28"/>
    </row>
    <row r="2946" ht="15.75" customHeight="1">
      <c r="P2946" s="25"/>
      <c r="Q2946" s="25"/>
      <c r="R2946" s="25"/>
      <c r="S2946" s="25"/>
      <c r="T2946" s="141"/>
      <c r="U2946" s="28"/>
    </row>
    <row r="2947" ht="15.75" customHeight="1">
      <c r="P2947" s="25"/>
      <c r="Q2947" s="25"/>
      <c r="R2947" s="25"/>
      <c r="S2947" s="25"/>
      <c r="T2947" s="141"/>
      <c r="U2947" s="28"/>
    </row>
    <row r="2948" ht="15.75" customHeight="1">
      <c r="P2948" s="25"/>
      <c r="Q2948" s="25"/>
      <c r="R2948" s="25"/>
      <c r="S2948" s="25"/>
      <c r="T2948" s="141"/>
      <c r="U2948" s="28"/>
    </row>
    <row r="2949" ht="15.75" customHeight="1">
      <c r="P2949" s="25"/>
      <c r="Q2949" s="25"/>
      <c r="R2949" s="25"/>
      <c r="S2949" s="25"/>
      <c r="T2949" s="141"/>
      <c r="U2949" s="28"/>
    </row>
    <row r="2950" ht="15.75" customHeight="1">
      <c r="P2950" s="25"/>
      <c r="Q2950" s="25"/>
      <c r="R2950" s="25"/>
      <c r="S2950" s="25"/>
      <c r="T2950" s="141"/>
      <c r="U2950" s="28"/>
    </row>
    <row r="2951" ht="15.75" customHeight="1">
      <c r="P2951" s="25"/>
      <c r="Q2951" s="25"/>
      <c r="R2951" s="25"/>
      <c r="S2951" s="25"/>
      <c r="T2951" s="141"/>
      <c r="U2951" s="28"/>
    </row>
    <row r="2952" ht="15.75" customHeight="1">
      <c r="P2952" s="25"/>
      <c r="Q2952" s="25"/>
      <c r="R2952" s="25"/>
      <c r="S2952" s="25"/>
      <c r="T2952" s="141"/>
      <c r="U2952" s="28"/>
    </row>
    <row r="2953" ht="15.75" customHeight="1">
      <c r="P2953" s="25"/>
      <c r="Q2953" s="25"/>
      <c r="R2953" s="25"/>
      <c r="S2953" s="25"/>
      <c r="T2953" s="141"/>
      <c r="U2953" s="28"/>
    </row>
    <row r="2954" ht="15.75" customHeight="1">
      <c r="P2954" s="25"/>
      <c r="Q2954" s="25"/>
      <c r="R2954" s="25"/>
      <c r="S2954" s="25"/>
      <c r="T2954" s="141"/>
      <c r="U2954" s="28"/>
    </row>
    <row r="2955" ht="15.75" customHeight="1">
      <c r="P2955" s="25"/>
      <c r="Q2955" s="25"/>
      <c r="R2955" s="25"/>
      <c r="S2955" s="25"/>
      <c r="T2955" s="141"/>
      <c r="U2955" s="28"/>
    </row>
    <row r="2956" ht="15.75" customHeight="1">
      <c r="P2956" s="25"/>
      <c r="Q2956" s="25"/>
      <c r="R2956" s="25"/>
      <c r="S2956" s="25"/>
      <c r="T2956" s="141"/>
      <c r="U2956" s="28"/>
    </row>
    <row r="2957" ht="15.75" customHeight="1">
      <c r="P2957" s="25"/>
      <c r="Q2957" s="25"/>
      <c r="R2957" s="25"/>
      <c r="S2957" s="25"/>
      <c r="T2957" s="141"/>
      <c r="U2957" s="28"/>
    </row>
    <row r="2958" ht="15.75" customHeight="1">
      <c r="P2958" s="25"/>
      <c r="Q2958" s="25"/>
      <c r="R2958" s="25"/>
      <c r="S2958" s="25"/>
      <c r="T2958" s="141"/>
      <c r="U2958" s="28"/>
    </row>
    <row r="2959" ht="15.75" customHeight="1">
      <c r="P2959" s="25"/>
      <c r="Q2959" s="25"/>
      <c r="R2959" s="25"/>
      <c r="S2959" s="25"/>
      <c r="T2959" s="141"/>
      <c r="U2959" s="28"/>
    </row>
    <row r="2960" ht="15.75" customHeight="1">
      <c r="P2960" s="25"/>
      <c r="Q2960" s="25"/>
      <c r="R2960" s="25"/>
      <c r="S2960" s="25"/>
      <c r="T2960" s="141"/>
      <c r="U2960" s="28"/>
    </row>
    <row r="2961" ht="15.75" customHeight="1">
      <c r="P2961" s="25"/>
      <c r="Q2961" s="25"/>
      <c r="R2961" s="25"/>
      <c r="S2961" s="25"/>
      <c r="T2961" s="141"/>
      <c r="U2961" s="28"/>
    </row>
    <row r="2962" ht="15.75" customHeight="1">
      <c r="P2962" s="25"/>
      <c r="Q2962" s="25"/>
      <c r="R2962" s="25"/>
      <c r="S2962" s="25"/>
      <c r="T2962" s="141"/>
      <c r="U2962" s="28"/>
    </row>
    <row r="2963" ht="15.75" customHeight="1">
      <c r="P2963" s="25"/>
      <c r="Q2963" s="25"/>
      <c r="R2963" s="25"/>
      <c r="S2963" s="25"/>
      <c r="T2963" s="141"/>
      <c r="U2963" s="28"/>
    </row>
    <row r="2964" ht="15.75" customHeight="1">
      <c r="P2964" s="25"/>
      <c r="Q2964" s="25"/>
      <c r="R2964" s="25"/>
      <c r="S2964" s="25"/>
      <c r="T2964" s="141"/>
      <c r="U2964" s="28"/>
    </row>
    <row r="2965" ht="15.75" customHeight="1">
      <c r="P2965" s="25"/>
      <c r="Q2965" s="25"/>
      <c r="R2965" s="25"/>
      <c r="S2965" s="25"/>
      <c r="T2965" s="141"/>
      <c r="U2965" s="28"/>
    </row>
    <row r="2966" ht="15.75" customHeight="1">
      <c r="P2966" s="25"/>
      <c r="Q2966" s="25"/>
      <c r="R2966" s="25"/>
      <c r="S2966" s="25"/>
      <c r="T2966" s="141"/>
      <c r="U2966" s="28"/>
    </row>
    <row r="2967" ht="15.75" customHeight="1">
      <c r="P2967" s="25"/>
      <c r="Q2967" s="25"/>
      <c r="R2967" s="25"/>
      <c r="S2967" s="25"/>
      <c r="T2967" s="141"/>
      <c r="U2967" s="28"/>
    </row>
    <row r="2968" ht="15.75" customHeight="1">
      <c r="P2968" s="25"/>
      <c r="Q2968" s="25"/>
      <c r="R2968" s="25"/>
      <c r="S2968" s="25"/>
      <c r="T2968" s="141"/>
      <c r="U2968" s="28"/>
    </row>
    <row r="2969" ht="15.75" customHeight="1">
      <c r="P2969" s="25"/>
      <c r="Q2969" s="25"/>
      <c r="R2969" s="25"/>
      <c r="S2969" s="25"/>
      <c r="T2969" s="141"/>
      <c r="U2969" s="28"/>
    </row>
    <row r="2970" ht="15.75" customHeight="1">
      <c r="P2970" s="25"/>
      <c r="Q2970" s="25"/>
      <c r="R2970" s="25"/>
      <c r="S2970" s="25"/>
      <c r="T2970" s="141"/>
      <c r="U2970" s="28"/>
    </row>
    <row r="2971" ht="15.75" customHeight="1">
      <c r="P2971" s="25"/>
      <c r="Q2971" s="25"/>
      <c r="R2971" s="25"/>
      <c r="S2971" s="25"/>
      <c r="T2971" s="141"/>
      <c r="U2971" s="28"/>
    </row>
    <row r="2972" ht="15.75" customHeight="1">
      <c r="P2972" s="25"/>
      <c r="Q2972" s="25"/>
      <c r="R2972" s="25"/>
      <c r="S2972" s="25"/>
      <c r="T2972" s="141"/>
      <c r="U2972" s="28"/>
    </row>
    <row r="2973" ht="15.75" customHeight="1">
      <c r="P2973" s="25"/>
      <c r="Q2973" s="25"/>
      <c r="R2973" s="25"/>
      <c r="S2973" s="25"/>
      <c r="T2973" s="141"/>
      <c r="U2973" s="28"/>
    </row>
    <row r="2974" ht="15.75" customHeight="1">
      <c r="P2974" s="25"/>
      <c r="Q2974" s="25"/>
      <c r="R2974" s="25"/>
      <c r="S2974" s="25"/>
      <c r="T2974" s="141"/>
      <c r="U2974" s="28"/>
    </row>
    <row r="2975" ht="15.75" customHeight="1">
      <c r="P2975" s="25"/>
      <c r="Q2975" s="25"/>
      <c r="R2975" s="25"/>
      <c r="S2975" s="25"/>
      <c r="T2975" s="141"/>
      <c r="U2975" s="28"/>
    </row>
    <row r="2976" ht="15.75" customHeight="1">
      <c r="P2976" s="25"/>
      <c r="Q2976" s="25"/>
      <c r="R2976" s="25"/>
      <c r="S2976" s="25"/>
      <c r="T2976" s="141"/>
      <c r="U2976" s="28"/>
    </row>
    <row r="2977" ht="15.75" customHeight="1">
      <c r="P2977" s="25"/>
      <c r="Q2977" s="25"/>
      <c r="R2977" s="25"/>
      <c r="S2977" s="25"/>
      <c r="T2977" s="141"/>
      <c r="U2977" s="28"/>
    </row>
    <row r="2978" ht="15.75" customHeight="1">
      <c r="P2978" s="25"/>
      <c r="Q2978" s="25"/>
      <c r="R2978" s="25"/>
      <c r="S2978" s="25"/>
      <c r="T2978" s="141"/>
      <c r="U2978" s="28"/>
    </row>
    <row r="2979" ht="15.75" customHeight="1">
      <c r="P2979" s="25"/>
      <c r="Q2979" s="25"/>
      <c r="R2979" s="25"/>
      <c r="S2979" s="25"/>
      <c r="T2979" s="141"/>
      <c r="U2979" s="28"/>
    </row>
    <row r="2980" ht="15.75" customHeight="1">
      <c r="P2980" s="25"/>
      <c r="Q2980" s="25"/>
      <c r="R2980" s="25"/>
      <c r="S2980" s="25"/>
      <c r="T2980" s="141"/>
      <c r="U2980" s="28"/>
    </row>
    <row r="2981" ht="15.75" customHeight="1">
      <c r="P2981" s="25"/>
      <c r="Q2981" s="25"/>
      <c r="R2981" s="25"/>
      <c r="S2981" s="25"/>
      <c r="T2981" s="141"/>
      <c r="U2981" s="28"/>
    </row>
    <row r="2982" ht="15.75" customHeight="1">
      <c r="P2982" s="25"/>
      <c r="Q2982" s="25"/>
      <c r="R2982" s="25"/>
      <c r="S2982" s="25"/>
      <c r="T2982" s="141"/>
      <c r="U2982" s="28"/>
    </row>
    <row r="2983" ht="15.75" customHeight="1">
      <c r="P2983" s="25"/>
      <c r="Q2983" s="25"/>
      <c r="R2983" s="25"/>
      <c r="S2983" s="25"/>
      <c r="T2983" s="141"/>
      <c r="U2983" s="28"/>
    </row>
    <row r="2984" ht="15.75" customHeight="1">
      <c r="P2984" s="25"/>
      <c r="Q2984" s="25"/>
      <c r="R2984" s="25"/>
      <c r="S2984" s="25"/>
      <c r="T2984" s="141"/>
      <c r="U2984" s="28"/>
    </row>
    <row r="2985" ht="15.75" customHeight="1">
      <c r="P2985" s="25"/>
      <c r="Q2985" s="25"/>
      <c r="R2985" s="25"/>
      <c r="S2985" s="25"/>
      <c r="T2985" s="141"/>
      <c r="U2985" s="28"/>
    </row>
    <row r="2986" ht="15.75" customHeight="1">
      <c r="P2986" s="25"/>
      <c r="Q2986" s="25"/>
      <c r="R2986" s="25"/>
      <c r="S2986" s="25"/>
      <c r="T2986" s="141"/>
      <c r="U2986" s="28"/>
    </row>
    <row r="2987" ht="15.75" customHeight="1">
      <c r="P2987" s="25"/>
      <c r="Q2987" s="25"/>
      <c r="R2987" s="25"/>
      <c r="S2987" s="25"/>
      <c r="T2987" s="141"/>
      <c r="U2987" s="28"/>
    </row>
    <row r="2988" ht="15.75" customHeight="1">
      <c r="P2988" s="25"/>
      <c r="Q2988" s="25"/>
      <c r="R2988" s="25"/>
      <c r="S2988" s="25"/>
      <c r="T2988" s="141"/>
      <c r="U2988" s="28"/>
    </row>
    <row r="2989" ht="15.75" customHeight="1">
      <c r="P2989" s="25"/>
      <c r="Q2989" s="25"/>
      <c r="R2989" s="25"/>
      <c r="S2989" s="25"/>
      <c r="T2989" s="141"/>
      <c r="U2989" s="28"/>
    </row>
    <row r="2990" ht="15.75" customHeight="1">
      <c r="P2990" s="25"/>
      <c r="Q2990" s="25"/>
      <c r="R2990" s="25"/>
      <c r="S2990" s="25"/>
      <c r="T2990" s="141"/>
      <c r="U2990" s="28"/>
    </row>
    <row r="2991" ht="15.75" customHeight="1">
      <c r="P2991" s="25"/>
      <c r="Q2991" s="25"/>
      <c r="R2991" s="25"/>
      <c r="S2991" s="25"/>
      <c r="T2991" s="141"/>
      <c r="U2991" s="28"/>
    </row>
    <row r="2992" ht="15.75" customHeight="1">
      <c r="P2992" s="25"/>
      <c r="Q2992" s="25"/>
      <c r="R2992" s="25"/>
      <c r="S2992" s="25"/>
      <c r="T2992" s="141"/>
      <c r="U2992" s="28"/>
    </row>
    <row r="2993" ht="15.75" customHeight="1">
      <c r="P2993" s="25"/>
      <c r="Q2993" s="25"/>
      <c r="R2993" s="25"/>
      <c r="S2993" s="25"/>
      <c r="T2993" s="141"/>
      <c r="U2993" s="28"/>
    </row>
    <row r="2994" ht="15.75" customHeight="1">
      <c r="P2994" s="25"/>
      <c r="Q2994" s="25"/>
      <c r="R2994" s="25"/>
      <c r="S2994" s="25"/>
      <c r="T2994" s="141"/>
      <c r="U2994" s="28"/>
    </row>
    <row r="2995" ht="15.75" customHeight="1">
      <c r="P2995" s="25"/>
      <c r="Q2995" s="25"/>
      <c r="R2995" s="25"/>
      <c r="S2995" s="25"/>
      <c r="T2995" s="141"/>
      <c r="U2995" s="28"/>
    </row>
    <row r="2996" ht="15.75" customHeight="1">
      <c r="P2996" s="25"/>
      <c r="Q2996" s="25"/>
      <c r="R2996" s="25"/>
      <c r="S2996" s="25"/>
      <c r="T2996" s="141"/>
      <c r="U2996" s="28"/>
    </row>
    <row r="2997" ht="15.75" customHeight="1">
      <c r="P2997" s="25"/>
      <c r="Q2997" s="25"/>
      <c r="R2997" s="25"/>
      <c r="S2997" s="25"/>
      <c r="T2997" s="141"/>
      <c r="U2997" s="28"/>
    </row>
    <row r="2998" ht="15.75" customHeight="1">
      <c r="P2998" s="25"/>
      <c r="Q2998" s="25"/>
      <c r="R2998" s="25"/>
      <c r="S2998" s="25"/>
      <c r="T2998" s="141"/>
      <c r="U2998" s="28"/>
    </row>
    <row r="2999" ht="15.75" customHeight="1">
      <c r="P2999" s="25"/>
      <c r="Q2999" s="25"/>
      <c r="R2999" s="25"/>
      <c r="S2999" s="25"/>
      <c r="T2999" s="141"/>
      <c r="U2999" s="28"/>
    </row>
    <row r="3000" ht="15.75" customHeight="1">
      <c r="P3000" s="25"/>
      <c r="Q3000" s="25"/>
      <c r="R3000" s="25"/>
      <c r="S3000" s="25"/>
      <c r="T3000" s="141"/>
      <c r="U3000" s="28"/>
    </row>
    <row r="3001" ht="15.75" customHeight="1">
      <c r="P3001" s="25"/>
      <c r="Q3001" s="25"/>
      <c r="R3001" s="25"/>
      <c r="S3001" s="25"/>
      <c r="T3001" s="141"/>
      <c r="U3001" s="28"/>
    </row>
    <row r="3002" ht="15.75" customHeight="1">
      <c r="P3002" s="25"/>
      <c r="Q3002" s="25"/>
      <c r="R3002" s="25"/>
      <c r="S3002" s="25"/>
      <c r="T3002" s="141"/>
      <c r="U3002" s="28"/>
    </row>
    <row r="3003" ht="15.75" customHeight="1">
      <c r="P3003" s="25"/>
      <c r="Q3003" s="25"/>
      <c r="R3003" s="25"/>
      <c r="S3003" s="25"/>
      <c r="T3003" s="141"/>
      <c r="U3003" s="28"/>
    </row>
    <row r="3004" ht="15.75" customHeight="1">
      <c r="P3004" s="25"/>
      <c r="Q3004" s="25"/>
      <c r="R3004" s="25"/>
      <c r="S3004" s="25"/>
      <c r="T3004" s="141"/>
      <c r="U3004" s="28"/>
    </row>
    <row r="3005" ht="15.75" customHeight="1">
      <c r="P3005" s="25"/>
      <c r="Q3005" s="25"/>
      <c r="R3005" s="25"/>
      <c r="S3005" s="25"/>
      <c r="T3005" s="141"/>
      <c r="U3005" s="28"/>
    </row>
    <row r="3006" ht="15.75" customHeight="1">
      <c r="P3006" s="25"/>
      <c r="Q3006" s="25"/>
      <c r="R3006" s="25"/>
      <c r="S3006" s="25"/>
      <c r="T3006" s="141"/>
      <c r="U3006" s="28"/>
    </row>
    <row r="3007" ht="15.75" customHeight="1">
      <c r="P3007" s="25"/>
      <c r="Q3007" s="25"/>
      <c r="R3007" s="25"/>
      <c r="S3007" s="25"/>
      <c r="T3007" s="141"/>
      <c r="U3007" s="28"/>
    </row>
    <row r="3008" ht="15.75" customHeight="1">
      <c r="P3008" s="25"/>
      <c r="Q3008" s="25"/>
      <c r="R3008" s="25"/>
      <c r="S3008" s="25"/>
      <c r="T3008" s="141"/>
      <c r="U3008" s="28"/>
    </row>
    <row r="3009" ht="15.75" customHeight="1">
      <c r="P3009" s="25"/>
      <c r="Q3009" s="25"/>
      <c r="R3009" s="25"/>
      <c r="S3009" s="25"/>
      <c r="T3009" s="141"/>
      <c r="U3009" s="28"/>
    </row>
    <row r="3010" ht="15.75" customHeight="1">
      <c r="P3010" s="25"/>
      <c r="Q3010" s="25"/>
      <c r="R3010" s="25"/>
      <c r="S3010" s="25"/>
      <c r="T3010" s="141"/>
      <c r="U3010" s="28"/>
    </row>
    <row r="3011" ht="15.75" customHeight="1">
      <c r="P3011" s="25"/>
      <c r="Q3011" s="25"/>
      <c r="R3011" s="25"/>
      <c r="S3011" s="25"/>
      <c r="T3011" s="141"/>
      <c r="U3011" s="28"/>
    </row>
    <row r="3012" ht="15.75" customHeight="1">
      <c r="P3012" s="25"/>
      <c r="Q3012" s="25"/>
      <c r="R3012" s="25"/>
      <c r="S3012" s="25"/>
      <c r="T3012" s="141"/>
      <c r="U3012" s="28"/>
    </row>
    <row r="3013" ht="15.75" customHeight="1">
      <c r="P3013" s="25"/>
      <c r="Q3013" s="25"/>
      <c r="R3013" s="25"/>
      <c r="S3013" s="25"/>
      <c r="T3013" s="141"/>
      <c r="U3013" s="28"/>
    </row>
    <row r="3014" ht="15.75" customHeight="1">
      <c r="P3014" s="25"/>
      <c r="Q3014" s="25"/>
      <c r="R3014" s="25"/>
      <c r="S3014" s="25"/>
      <c r="T3014" s="141"/>
      <c r="U3014" s="28"/>
    </row>
    <row r="3015" ht="15.75" customHeight="1">
      <c r="P3015" s="25"/>
      <c r="Q3015" s="25"/>
      <c r="R3015" s="25"/>
      <c r="S3015" s="25"/>
      <c r="T3015" s="141"/>
      <c r="U3015" s="28"/>
    </row>
    <row r="3016" ht="15.75" customHeight="1">
      <c r="P3016" s="25"/>
      <c r="Q3016" s="25"/>
      <c r="R3016" s="25"/>
      <c r="S3016" s="25"/>
      <c r="T3016" s="141"/>
      <c r="U3016" s="28"/>
    </row>
    <row r="3017" ht="15.75" customHeight="1">
      <c r="P3017" s="25"/>
      <c r="Q3017" s="25"/>
      <c r="R3017" s="25"/>
      <c r="S3017" s="25"/>
      <c r="T3017" s="141"/>
      <c r="U3017" s="28"/>
    </row>
    <row r="3018" ht="15.75" customHeight="1">
      <c r="P3018" s="25"/>
      <c r="Q3018" s="25"/>
      <c r="R3018" s="25"/>
      <c r="S3018" s="25"/>
      <c r="T3018" s="141"/>
      <c r="U3018" s="28"/>
    </row>
    <row r="3019" ht="15.75" customHeight="1">
      <c r="P3019" s="25"/>
      <c r="Q3019" s="25"/>
      <c r="R3019" s="25"/>
      <c r="S3019" s="25"/>
      <c r="T3019" s="141"/>
      <c r="U3019" s="28"/>
    </row>
    <row r="3020" ht="15.75" customHeight="1">
      <c r="P3020" s="25"/>
      <c r="Q3020" s="25"/>
      <c r="R3020" s="25"/>
      <c r="S3020" s="25"/>
      <c r="T3020" s="141"/>
      <c r="U3020" s="28"/>
    </row>
    <row r="3021" ht="15.75" customHeight="1">
      <c r="P3021" s="25"/>
      <c r="Q3021" s="25"/>
      <c r="R3021" s="25"/>
      <c r="S3021" s="25"/>
      <c r="T3021" s="141"/>
      <c r="U3021" s="28"/>
    </row>
    <row r="3022" ht="15.75" customHeight="1">
      <c r="P3022" s="25"/>
      <c r="Q3022" s="25"/>
      <c r="R3022" s="25"/>
      <c r="S3022" s="25"/>
      <c r="T3022" s="141"/>
      <c r="U3022" s="28"/>
    </row>
    <row r="3023" ht="15.75" customHeight="1">
      <c r="P3023" s="25"/>
      <c r="Q3023" s="25"/>
      <c r="R3023" s="25"/>
      <c r="S3023" s="25"/>
      <c r="T3023" s="141"/>
      <c r="U3023" s="28"/>
    </row>
    <row r="3024" ht="15.75" customHeight="1">
      <c r="P3024" s="25"/>
      <c r="Q3024" s="25"/>
      <c r="R3024" s="25"/>
      <c r="S3024" s="25"/>
      <c r="T3024" s="141"/>
      <c r="U3024" s="28"/>
    </row>
    <row r="3025" ht="15.75" customHeight="1">
      <c r="P3025" s="25"/>
      <c r="Q3025" s="25"/>
      <c r="R3025" s="25"/>
      <c r="S3025" s="25"/>
      <c r="T3025" s="141"/>
      <c r="U3025" s="28"/>
    </row>
    <row r="3026" ht="15.75" customHeight="1">
      <c r="P3026" s="25"/>
      <c r="Q3026" s="25"/>
      <c r="R3026" s="25"/>
      <c r="S3026" s="25"/>
      <c r="T3026" s="141"/>
      <c r="U3026" s="28"/>
    </row>
    <row r="3027" ht="15.75" customHeight="1">
      <c r="P3027" s="25"/>
      <c r="Q3027" s="25"/>
      <c r="R3027" s="25"/>
      <c r="S3027" s="25"/>
      <c r="T3027" s="141"/>
      <c r="U3027" s="28"/>
    </row>
    <row r="3028" ht="15.75" customHeight="1">
      <c r="P3028" s="25"/>
      <c r="Q3028" s="25"/>
      <c r="R3028" s="25"/>
      <c r="S3028" s="25"/>
      <c r="T3028" s="141"/>
      <c r="U3028" s="28"/>
    </row>
    <row r="3029" ht="15.75" customHeight="1">
      <c r="P3029" s="25"/>
      <c r="Q3029" s="25"/>
      <c r="R3029" s="25"/>
      <c r="S3029" s="25"/>
      <c r="T3029" s="141"/>
      <c r="U3029" s="28"/>
    </row>
    <row r="3030" ht="15.75" customHeight="1">
      <c r="P3030" s="25"/>
      <c r="Q3030" s="25"/>
      <c r="R3030" s="25"/>
      <c r="S3030" s="25"/>
      <c r="T3030" s="141"/>
      <c r="U3030" s="28"/>
    </row>
    <row r="3031" ht="15.75" customHeight="1">
      <c r="P3031" s="25"/>
      <c r="Q3031" s="25"/>
      <c r="R3031" s="25"/>
      <c r="S3031" s="25"/>
      <c r="T3031" s="141"/>
      <c r="U3031" s="28"/>
    </row>
    <row r="3032" ht="15.75" customHeight="1">
      <c r="P3032" s="25"/>
      <c r="Q3032" s="25"/>
      <c r="R3032" s="25"/>
      <c r="S3032" s="25"/>
      <c r="T3032" s="141"/>
      <c r="U3032" s="28"/>
    </row>
    <row r="3033" ht="15.75" customHeight="1">
      <c r="P3033" s="25"/>
      <c r="Q3033" s="25"/>
      <c r="R3033" s="25"/>
      <c r="S3033" s="25"/>
      <c r="T3033" s="141"/>
      <c r="U3033" s="28"/>
    </row>
    <row r="3034" ht="15.75" customHeight="1">
      <c r="P3034" s="25"/>
      <c r="Q3034" s="25"/>
      <c r="R3034" s="25"/>
      <c r="S3034" s="25"/>
      <c r="T3034" s="141"/>
      <c r="U3034" s="28"/>
    </row>
    <row r="3035" ht="15.75" customHeight="1">
      <c r="P3035" s="25"/>
      <c r="Q3035" s="25"/>
      <c r="R3035" s="25"/>
      <c r="S3035" s="25"/>
      <c r="T3035" s="141"/>
      <c r="U3035" s="28"/>
    </row>
    <row r="3036" ht="15.75" customHeight="1">
      <c r="P3036" s="25"/>
      <c r="Q3036" s="25"/>
      <c r="R3036" s="25"/>
      <c r="S3036" s="25"/>
      <c r="T3036" s="141"/>
      <c r="U3036" s="28"/>
    </row>
    <row r="3037" ht="15.75" customHeight="1">
      <c r="P3037" s="25"/>
      <c r="Q3037" s="25"/>
      <c r="R3037" s="25"/>
      <c r="S3037" s="25"/>
      <c r="T3037" s="141"/>
      <c r="U3037" s="28"/>
    </row>
    <row r="3038" ht="15.75" customHeight="1">
      <c r="P3038" s="25"/>
      <c r="Q3038" s="25"/>
      <c r="R3038" s="25"/>
      <c r="S3038" s="25"/>
      <c r="T3038" s="141"/>
      <c r="U3038" s="28"/>
    </row>
    <row r="3039" ht="15.75" customHeight="1">
      <c r="P3039" s="25"/>
      <c r="Q3039" s="25"/>
      <c r="R3039" s="25"/>
      <c r="S3039" s="25"/>
      <c r="T3039" s="141"/>
      <c r="U3039" s="28"/>
    </row>
    <row r="3040" ht="15.75" customHeight="1">
      <c r="P3040" s="25"/>
      <c r="Q3040" s="25"/>
      <c r="R3040" s="25"/>
      <c r="S3040" s="25"/>
      <c r="T3040" s="141"/>
      <c r="U3040" s="28"/>
    </row>
    <row r="3041" ht="15.75" customHeight="1">
      <c r="P3041" s="25"/>
      <c r="Q3041" s="25"/>
      <c r="R3041" s="25"/>
      <c r="S3041" s="25"/>
      <c r="T3041" s="141"/>
      <c r="U3041" s="28"/>
    </row>
    <row r="3042" ht="15.75" customHeight="1">
      <c r="P3042" s="25"/>
      <c r="Q3042" s="25"/>
      <c r="R3042" s="25"/>
      <c r="S3042" s="25"/>
      <c r="T3042" s="141"/>
      <c r="U3042" s="28"/>
    </row>
    <row r="3043" ht="15.75" customHeight="1">
      <c r="P3043" s="25"/>
      <c r="Q3043" s="25"/>
      <c r="R3043" s="25"/>
      <c r="S3043" s="25"/>
      <c r="T3043" s="141"/>
      <c r="U3043" s="28"/>
    </row>
    <row r="3044" ht="15.75" customHeight="1">
      <c r="P3044" s="25"/>
      <c r="Q3044" s="25"/>
      <c r="R3044" s="25"/>
      <c r="S3044" s="25"/>
      <c r="T3044" s="141"/>
      <c r="U3044" s="28"/>
    </row>
    <row r="3045" ht="15.75" customHeight="1">
      <c r="P3045" s="25"/>
      <c r="Q3045" s="25"/>
      <c r="R3045" s="25"/>
      <c r="S3045" s="25"/>
      <c r="T3045" s="141"/>
      <c r="U3045" s="28"/>
    </row>
    <row r="3046" ht="15.75" customHeight="1">
      <c r="P3046" s="25"/>
      <c r="Q3046" s="25"/>
      <c r="R3046" s="25"/>
      <c r="S3046" s="25"/>
      <c r="T3046" s="141"/>
      <c r="U3046" s="28"/>
    </row>
    <row r="3047" ht="15.75" customHeight="1">
      <c r="P3047" s="25"/>
      <c r="Q3047" s="25"/>
      <c r="R3047" s="25"/>
      <c r="S3047" s="25"/>
      <c r="T3047" s="141"/>
      <c r="U3047" s="28"/>
    </row>
    <row r="3048" ht="15.75" customHeight="1">
      <c r="P3048" s="25"/>
      <c r="Q3048" s="25"/>
      <c r="R3048" s="25"/>
      <c r="S3048" s="25"/>
      <c r="T3048" s="141"/>
      <c r="U3048" s="28"/>
    </row>
    <row r="3049" ht="15.75" customHeight="1">
      <c r="P3049" s="25"/>
      <c r="Q3049" s="25"/>
      <c r="R3049" s="25"/>
      <c r="S3049" s="25"/>
      <c r="T3049" s="141"/>
      <c r="U3049" s="28"/>
    </row>
    <row r="3050" ht="15.75" customHeight="1">
      <c r="P3050" s="25"/>
      <c r="Q3050" s="25"/>
      <c r="R3050" s="25"/>
      <c r="S3050" s="25"/>
      <c r="T3050" s="141"/>
      <c r="U3050" s="28"/>
    </row>
    <row r="3051" ht="15.75" customHeight="1">
      <c r="P3051" s="25"/>
      <c r="Q3051" s="25"/>
      <c r="R3051" s="25"/>
      <c r="S3051" s="25"/>
      <c r="T3051" s="141"/>
      <c r="U3051" s="28"/>
    </row>
    <row r="3052" ht="15.75" customHeight="1">
      <c r="P3052" s="25"/>
      <c r="Q3052" s="25"/>
      <c r="R3052" s="25"/>
      <c r="S3052" s="25"/>
      <c r="T3052" s="141"/>
      <c r="U3052" s="28"/>
    </row>
    <row r="3053" ht="15.75" customHeight="1">
      <c r="P3053" s="25"/>
      <c r="Q3053" s="25"/>
      <c r="R3053" s="25"/>
      <c r="S3053" s="25"/>
      <c r="T3053" s="141"/>
      <c r="U3053" s="28"/>
    </row>
    <row r="3054" ht="15.75" customHeight="1">
      <c r="P3054" s="25"/>
      <c r="Q3054" s="25"/>
      <c r="R3054" s="25"/>
      <c r="S3054" s="25"/>
      <c r="T3054" s="141"/>
      <c r="U3054" s="28"/>
    </row>
    <row r="3055" ht="15.75" customHeight="1">
      <c r="P3055" s="25"/>
      <c r="Q3055" s="25"/>
      <c r="R3055" s="25"/>
      <c r="S3055" s="25"/>
      <c r="T3055" s="141"/>
      <c r="U3055" s="28"/>
    </row>
    <row r="3056" ht="15.75" customHeight="1">
      <c r="P3056" s="25"/>
      <c r="Q3056" s="25"/>
      <c r="R3056" s="25"/>
      <c r="S3056" s="25"/>
      <c r="T3056" s="141"/>
      <c r="U3056" s="28"/>
    </row>
    <row r="3057" ht="15.75" customHeight="1">
      <c r="P3057" s="25"/>
      <c r="Q3057" s="25"/>
      <c r="R3057" s="25"/>
      <c r="S3057" s="25"/>
      <c r="T3057" s="141"/>
      <c r="U3057" s="28"/>
    </row>
    <row r="3058" ht="15.75" customHeight="1">
      <c r="P3058" s="25"/>
      <c r="Q3058" s="25"/>
      <c r="R3058" s="25"/>
      <c r="S3058" s="25"/>
      <c r="T3058" s="141"/>
      <c r="U3058" s="28"/>
    </row>
    <row r="3059" ht="15.75" customHeight="1">
      <c r="P3059" s="25"/>
      <c r="Q3059" s="25"/>
      <c r="R3059" s="25"/>
      <c r="S3059" s="25"/>
      <c r="T3059" s="141"/>
      <c r="U3059" s="28"/>
    </row>
    <row r="3060" ht="15.75" customHeight="1">
      <c r="P3060" s="25"/>
      <c r="Q3060" s="25"/>
      <c r="R3060" s="25"/>
      <c r="S3060" s="25"/>
      <c r="T3060" s="141"/>
      <c r="U3060" s="28"/>
    </row>
    <row r="3061" ht="15.75" customHeight="1">
      <c r="P3061" s="25"/>
      <c r="Q3061" s="25"/>
      <c r="R3061" s="25"/>
      <c r="S3061" s="25"/>
      <c r="T3061" s="141"/>
      <c r="U3061" s="28"/>
    </row>
    <row r="3062" ht="15.75" customHeight="1">
      <c r="P3062" s="25"/>
      <c r="Q3062" s="25"/>
      <c r="R3062" s="25"/>
      <c r="S3062" s="25"/>
      <c r="T3062" s="141"/>
      <c r="U3062" s="28"/>
    </row>
    <row r="3063" ht="15.75" customHeight="1">
      <c r="P3063" s="25"/>
      <c r="Q3063" s="25"/>
      <c r="R3063" s="25"/>
      <c r="S3063" s="25"/>
      <c r="T3063" s="141"/>
      <c r="U3063" s="28"/>
    </row>
    <row r="3064" ht="15.75" customHeight="1">
      <c r="P3064" s="25"/>
      <c r="Q3064" s="25"/>
      <c r="R3064" s="25"/>
      <c r="S3064" s="25"/>
      <c r="T3064" s="141"/>
      <c r="U3064" s="28"/>
    </row>
    <row r="3065" ht="15.75" customHeight="1">
      <c r="P3065" s="25"/>
      <c r="Q3065" s="25"/>
      <c r="R3065" s="25"/>
      <c r="S3065" s="25"/>
      <c r="T3065" s="141"/>
      <c r="U3065" s="28"/>
    </row>
    <row r="3066" ht="15.75" customHeight="1">
      <c r="P3066" s="25"/>
      <c r="Q3066" s="25"/>
      <c r="R3066" s="25"/>
      <c r="S3066" s="25"/>
      <c r="T3066" s="141"/>
      <c r="U3066" s="28"/>
    </row>
    <row r="3067" ht="15.75" customHeight="1">
      <c r="P3067" s="25"/>
      <c r="Q3067" s="25"/>
      <c r="R3067" s="25"/>
      <c r="S3067" s="25"/>
      <c r="T3067" s="141"/>
      <c r="U3067" s="28"/>
    </row>
    <row r="3068" ht="15.75" customHeight="1">
      <c r="P3068" s="25"/>
      <c r="Q3068" s="25"/>
      <c r="R3068" s="25"/>
      <c r="S3068" s="25"/>
      <c r="T3068" s="141"/>
      <c r="U3068" s="28"/>
    </row>
    <row r="3069" ht="15.75" customHeight="1">
      <c r="P3069" s="25"/>
      <c r="Q3069" s="25"/>
      <c r="R3069" s="25"/>
      <c r="S3069" s="25"/>
      <c r="T3069" s="141"/>
      <c r="U3069" s="28"/>
    </row>
    <row r="3070" ht="15.75" customHeight="1">
      <c r="P3070" s="25"/>
      <c r="Q3070" s="25"/>
      <c r="R3070" s="25"/>
      <c r="S3070" s="25"/>
      <c r="T3070" s="141"/>
      <c r="U3070" s="28"/>
    </row>
    <row r="3071" ht="15.75" customHeight="1">
      <c r="P3071" s="25"/>
      <c r="Q3071" s="25"/>
      <c r="R3071" s="25"/>
      <c r="S3071" s="25"/>
      <c r="T3071" s="141"/>
      <c r="U3071" s="28"/>
    </row>
    <row r="3072" ht="15.75" customHeight="1">
      <c r="P3072" s="25"/>
      <c r="Q3072" s="25"/>
      <c r="R3072" s="25"/>
      <c r="S3072" s="25"/>
      <c r="T3072" s="141"/>
      <c r="U3072" s="28"/>
    </row>
    <row r="3073" ht="15.75" customHeight="1">
      <c r="P3073" s="25"/>
      <c r="Q3073" s="25"/>
      <c r="R3073" s="25"/>
      <c r="S3073" s="25"/>
      <c r="T3073" s="141"/>
      <c r="U3073" s="28"/>
    </row>
    <row r="3074" ht="15.75" customHeight="1">
      <c r="P3074" s="25"/>
      <c r="Q3074" s="25"/>
      <c r="R3074" s="25"/>
      <c r="S3074" s="25"/>
      <c r="T3074" s="141"/>
      <c r="U3074" s="28"/>
    </row>
    <row r="3075" ht="15.75" customHeight="1">
      <c r="P3075" s="25"/>
      <c r="Q3075" s="25"/>
      <c r="R3075" s="25"/>
      <c r="S3075" s="25"/>
      <c r="T3075" s="141"/>
      <c r="U3075" s="28"/>
    </row>
    <row r="3076" ht="15.75" customHeight="1">
      <c r="P3076" s="25"/>
      <c r="Q3076" s="25"/>
      <c r="R3076" s="25"/>
      <c r="S3076" s="25"/>
      <c r="T3076" s="141"/>
      <c r="U3076" s="28"/>
    </row>
    <row r="3077" ht="15.75" customHeight="1">
      <c r="P3077" s="25"/>
      <c r="Q3077" s="25"/>
      <c r="R3077" s="25"/>
      <c r="S3077" s="25"/>
      <c r="T3077" s="141"/>
      <c r="U3077" s="28"/>
    </row>
    <row r="3078" ht="15.75" customHeight="1">
      <c r="P3078" s="25"/>
      <c r="Q3078" s="25"/>
      <c r="R3078" s="25"/>
      <c r="S3078" s="25"/>
      <c r="T3078" s="141"/>
      <c r="U3078" s="28"/>
    </row>
    <row r="3079" ht="15.75" customHeight="1">
      <c r="P3079" s="25"/>
      <c r="Q3079" s="25"/>
      <c r="R3079" s="25"/>
      <c r="S3079" s="25"/>
      <c r="T3079" s="141"/>
      <c r="U3079" s="28"/>
    </row>
    <row r="3080" ht="15.75" customHeight="1">
      <c r="P3080" s="25"/>
      <c r="Q3080" s="25"/>
      <c r="R3080" s="25"/>
      <c r="S3080" s="25"/>
      <c r="T3080" s="141"/>
      <c r="U3080" s="28"/>
    </row>
    <row r="3081" ht="15.75" customHeight="1">
      <c r="P3081" s="25"/>
      <c r="Q3081" s="25"/>
      <c r="R3081" s="25"/>
      <c r="S3081" s="25"/>
      <c r="T3081" s="141"/>
      <c r="U3081" s="28"/>
    </row>
    <row r="3082" ht="15.75" customHeight="1">
      <c r="P3082" s="25"/>
      <c r="Q3082" s="25"/>
      <c r="R3082" s="25"/>
      <c r="S3082" s="25"/>
      <c r="T3082" s="141"/>
      <c r="U3082" s="28"/>
    </row>
    <row r="3083" ht="15.75" customHeight="1">
      <c r="P3083" s="25"/>
      <c r="Q3083" s="25"/>
      <c r="R3083" s="25"/>
      <c r="S3083" s="25"/>
      <c r="T3083" s="141"/>
      <c r="U3083" s="28"/>
    </row>
    <row r="3084" ht="15.75" customHeight="1">
      <c r="P3084" s="25"/>
      <c r="Q3084" s="25"/>
      <c r="R3084" s="25"/>
      <c r="S3084" s="25"/>
      <c r="T3084" s="141"/>
      <c r="U3084" s="28"/>
    </row>
    <row r="3085" ht="15.75" customHeight="1">
      <c r="P3085" s="25"/>
      <c r="Q3085" s="25"/>
      <c r="R3085" s="25"/>
      <c r="S3085" s="25"/>
      <c r="T3085" s="141"/>
      <c r="U3085" s="28"/>
    </row>
    <row r="3086" ht="15.75" customHeight="1">
      <c r="P3086" s="25"/>
      <c r="Q3086" s="25"/>
      <c r="R3086" s="25"/>
      <c r="S3086" s="25"/>
      <c r="T3086" s="141"/>
      <c r="U3086" s="28"/>
    </row>
    <row r="3087" ht="15.75" customHeight="1">
      <c r="P3087" s="25"/>
      <c r="Q3087" s="25"/>
      <c r="R3087" s="25"/>
      <c r="S3087" s="25"/>
      <c r="T3087" s="141"/>
      <c r="U3087" s="28"/>
    </row>
    <row r="3088" ht="15.75" customHeight="1">
      <c r="P3088" s="25"/>
      <c r="Q3088" s="25"/>
      <c r="R3088" s="25"/>
      <c r="S3088" s="25"/>
      <c r="T3088" s="141"/>
      <c r="U3088" s="28"/>
    </row>
    <row r="3089" ht="15.75" customHeight="1">
      <c r="P3089" s="25"/>
      <c r="Q3089" s="25"/>
      <c r="R3089" s="25"/>
      <c r="S3089" s="25"/>
      <c r="T3089" s="141"/>
      <c r="U3089" s="28"/>
    </row>
    <row r="3090" ht="15.75" customHeight="1">
      <c r="P3090" s="25"/>
      <c r="Q3090" s="25"/>
      <c r="R3090" s="25"/>
      <c r="S3090" s="25"/>
      <c r="T3090" s="141"/>
      <c r="U3090" s="28"/>
    </row>
    <row r="3091" ht="15.75" customHeight="1">
      <c r="P3091" s="25"/>
      <c r="Q3091" s="25"/>
      <c r="R3091" s="25"/>
      <c r="S3091" s="25"/>
      <c r="T3091" s="141"/>
      <c r="U3091" s="28"/>
    </row>
    <row r="3092" ht="15.75" customHeight="1">
      <c r="P3092" s="25"/>
      <c r="Q3092" s="25"/>
      <c r="R3092" s="25"/>
      <c r="S3092" s="25"/>
      <c r="T3092" s="141"/>
      <c r="U3092" s="28"/>
    </row>
    <row r="3093" ht="15.75" customHeight="1">
      <c r="P3093" s="25"/>
      <c r="Q3093" s="25"/>
      <c r="R3093" s="25"/>
      <c r="S3093" s="25"/>
      <c r="T3093" s="141"/>
      <c r="U3093" s="28"/>
    </row>
    <row r="3094" ht="15.75" customHeight="1">
      <c r="P3094" s="25"/>
      <c r="Q3094" s="25"/>
      <c r="R3094" s="25"/>
      <c r="S3094" s="25"/>
      <c r="T3094" s="141"/>
      <c r="U3094" s="28"/>
    </row>
    <row r="3095" ht="15.75" customHeight="1">
      <c r="P3095" s="25"/>
      <c r="Q3095" s="25"/>
      <c r="R3095" s="25"/>
      <c r="S3095" s="25"/>
      <c r="T3095" s="141"/>
      <c r="U3095" s="28"/>
    </row>
    <row r="3096" ht="15.75" customHeight="1">
      <c r="P3096" s="25"/>
      <c r="Q3096" s="25"/>
      <c r="R3096" s="25"/>
      <c r="S3096" s="25"/>
      <c r="T3096" s="141"/>
      <c r="U3096" s="28"/>
    </row>
    <row r="3097" ht="15.75" customHeight="1">
      <c r="P3097" s="25"/>
      <c r="Q3097" s="25"/>
      <c r="R3097" s="25"/>
      <c r="S3097" s="25"/>
      <c r="T3097" s="141"/>
      <c r="U3097" s="28"/>
    </row>
    <row r="3098" ht="15.75" customHeight="1">
      <c r="P3098" s="25"/>
      <c r="Q3098" s="25"/>
      <c r="R3098" s="25"/>
      <c r="S3098" s="25"/>
      <c r="T3098" s="141"/>
      <c r="U3098" s="28"/>
    </row>
    <row r="3099" ht="15.75" customHeight="1">
      <c r="P3099" s="25"/>
      <c r="Q3099" s="25"/>
      <c r="R3099" s="25"/>
      <c r="S3099" s="25"/>
      <c r="T3099" s="141"/>
      <c r="U3099" s="28"/>
    </row>
    <row r="3100" ht="15.75" customHeight="1">
      <c r="P3100" s="25"/>
      <c r="Q3100" s="25"/>
      <c r="R3100" s="25"/>
      <c r="S3100" s="25"/>
      <c r="T3100" s="141"/>
      <c r="U3100" s="28"/>
    </row>
    <row r="3101" ht="15.75" customHeight="1">
      <c r="P3101" s="25"/>
      <c r="Q3101" s="25"/>
      <c r="R3101" s="25"/>
      <c r="S3101" s="25"/>
      <c r="T3101" s="141"/>
      <c r="U3101" s="28"/>
    </row>
    <row r="3102" ht="15.75" customHeight="1">
      <c r="P3102" s="25"/>
      <c r="Q3102" s="25"/>
      <c r="R3102" s="25"/>
      <c r="S3102" s="25"/>
      <c r="T3102" s="141"/>
      <c r="U3102" s="28"/>
    </row>
    <row r="3103" ht="15.75" customHeight="1">
      <c r="P3103" s="25"/>
      <c r="Q3103" s="25"/>
      <c r="R3103" s="25"/>
      <c r="S3103" s="25"/>
      <c r="T3103" s="141"/>
      <c r="U3103" s="28"/>
    </row>
    <row r="3104" ht="15.75" customHeight="1">
      <c r="P3104" s="25"/>
      <c r="Q3104" s="25"/>
      <c r="R3104" s="25"/>
      <c r="S3104" s="25"/>
      <c r="T3104" s="141"/>
      <c r="U3104" s="28"/>
    </row>
    <row r="3105" ht="15.75" customHeight="1">
      <c r="P3105" s="25"/>
      <c r="Q3105" s="25"/>
      <c r="R3105" s="25"/>
      <c r="S3105" s="25"/>
      <c r="T3105" s="141"/>
      <c r="U3105" s="28"/>
    </row>
    <row r="3106" ht="15.75" customHeight="1">
      <c r="P3106" s="25"/>
      <c r="Q3106" s="25"/>
      <c r="R3106" s="25"/>
      <c r="S3106" s="25"/>
      <c r="T3106" s="141"/>
      <c r="U3106" s="28"/>
    </row>
    <row r="3107" ht="15.75" customHeight="1">
      <c r="P3107" s="25"/>
      <c r="Q3107" s="25"/>
      <c r="R3107" s="25"/>
      <c r="S3107" s="25"/>
      <c r="T3107" s="141"/>
      <c r="U3107" s="28"/>
    </row>
    <row r="3108" ht="15.75" customHeight="1">
      <c r="P3108" s="25"/>
      <c r="Q3108" s="25"/>
      <c r="R3108" s="25"/>
      <c r="S3108" s="25"/>
      <c r="T3108" s="141"/>
      <c r="U3108" s="28"/>
    </row>
    <row r="3109" ht="15.75" customHeight="1">
      <c r="P3109" s="25"/>
      <c r="Q3109" s="25"/>
      <c r="R3109" s="25"/>
      <c r="S3109" s="25"/>
      <c r="T3109" s="141"/>
      <c r="U3109" s="28"/>
    </row>
    <row r="3110" ht="15.75" customHeight="1">
      <c r="P3110" s="25"/>
      <c r="Q3110" s="25"/>
      <c r="R3110" s="25"/>
      <c r="S3110" s="25"/>
      <c r="T3110" s="141"/>
      <c r="U3110" s="28"/>
    </row>
    <row r="3111" ht="15.75" customHeight="1">
      <c r="P3111" s="25"/>
      <c r="Q3111" s="25"/>
      <c r="R3111" s="25"/>
      <c r="S3111" s="25"/>
      <c r="T3111" s="141"/>
      <c r="U3111" s="28"/>
    </row>
    <row r="3112" ht="15.75" customHeight="1">
      <c r="P3112" s="25"/>
      <c r="Q3112" s="25"/>
      <c r="R3112" s="25"/>
      <c r="S3112" s="25"/>
      <c r="T3112" s="141"/>
      <c r="U3112" s="28"/>
    </row>
    <row r="3113" ht="15.75" customHeight="1">
      <c r="P3113" s="25"/>
      <c r="Q3113" s="25"/>
      <c r="R3113" s="25"/>
      <c r="S3113" s="25"/>
      <c r="T3113" s="141"/>
      <c r="U3113" s="28"/>
    </row>
    <row r="3114" ht="15.75" customHeight="1">
      <c r="P3114" s="25"/>
      <c r="Q3114" s="25"/>
      <c r="R3114" s="25"/>
      <c r="S3114" s="25"/>
      <c r="T3114" s="141"/>
      <c r="U3114" s="28"/>
    </row>
    <row r="3115" ht="15.75" customHeight="1">
      <c r="P3115" s="25"/>
      <c r="Q3115" s="25"/>
      <c r="R3115" s="25"/>
      <c r="S3115" s="25"/>
      <c r="T3115" s="141"/>
      <c r="U3115" s="28"/>
    </row>
    <row r="3116" ht="15.75" customHeight="1">
      <c r="P3116" s="25"/>
      <c r="Q3116" s="25"/>
      <c r="R3116" s="25"/>
      <c r="S3116" s="25"/>
      <c r="T3116" s="141"/>
      <c r="U3116" s="28"/>
    </row>
    <row r="3117" ht="15.75" customHeight="1">
      <c r="P3117" s="25"/>
      <c r="Q3117" s="25"/>
      <c r="R3117" s="25"/>
      <c r="S3117" s="25"/>
      <c r="T3117" s="141"/>
      <c r="U3117" s="28"/>
    </row>
    <row r="3118" ht="15.75" customHeight="1">
      <c r="P3118" s="25"/>
      <c r="Q3118" s="25"/>
      <c r="R3118" s="25"/>
      <c r="S3118" s="25"/>
      <c r="T3118" s="141"/>
      <c r="U3118" s="28"/>
    </row>
    <row r="3119" ht="15.75" customHeight="1">
      <c r="P3119" s="25"/>
      <c r="Q3119" s="25"/>
      <c r="R3119" s="25"/>
      <c r="S3119" s="25"/>
      <c r="T3119" s="141"/>
      <c r="U3119" s="28"/>
    </row>
    <row r="3120" ht="15.75" customHeight="1">
      <c r="P3120" s="25"/>
      <c r="Q3120" s="25"/>
      <c r="R3120" s="25"/>
      <c r="S3120" s="25"/>
      <c r="T3120" s="141"/>
      <c r="U3120" s="28"/>
    </row>
    <row r="3121" ht="15.75" customHeight="1">
      <c r="P3121" s="25"/>
      <c r="Q3121" s="25"/>
      <c r="R3121" s="25"/>
      <c r="S3121" s="25"/>
      <c r="T3121" s="141"/>
      <c r="U3121" s="28"/>
    </row>
    <row r="3122" ht="15.75" customHeight="1">
      <c r="P3122" s="25"/>
      <c r="Q3122" s="25"/>
      <c r="R3122" s="25"/>
      <c r="S3122" s="25"/>
      <c r="T3122" s="141"/>
      <c r="U3122" s="28"/>
    </row>
    <row r="3123" ht="15.75" customHeight="1">
      <c r="P3123" s="25"/>
      <c r="Q3123" s="25"/>
      <c r="R3123" s="25"/>
      <c r="S3123" s="25"/>
      <c r="T3123" s="141"/>
      <c r="U3123" s="28"/>
    </row>
    <row r="3124" ht="15.75" customHeight="1">
      <c r="P3124" s="25"/>
      <c r="Q3124" s="25"/>
      <c r="R3124" s="25"/>
      <c r="S3124" s="25"/>
      <c r="T3124" s="141"/>
      <c r="U3124" s="28"/>
    </row>
    <row r="3125" ht="15.75" customHeight="1">
      <c r="P3125" s="25"/>
      <c r="Q3125" s="25"/>
      <c r="R3125" s="25"/>
      <c r="S3125" s="25"/>
      <c r="T3125" s="141"/>
      <c r="U3125" s="28"/>
    </row>
    <row r="3126" ht="15.75" customHeight="1">
      <c r="P3126" s="25"/>
      <c r="Q3126" s="25"/>
      <c r="R3126" s="25"/>
      <c r="S3126" s="25"/>
      <c r="T3126" s="141"/>
      <c r="U3126" s="28"/>
    </row>
    <row r="3127" ht="15.75" customHeight="1">
      <c r="P3127" s="25"/>
      <c r="Q3127" s="25"/>
      <c r="R3127" s="25"/>
      <c r="S3127" s="25"/>
      <c r="T3127" s="141"/>
      <c r="U3127" s="28"/>
    </row>
    <row r="3128" ht="15.75" customHeight="1">
      <c r="P3128" s="25"/>
      <c r="Q3128" s="25"/>
      <c r="R3128" s="25"/>
      <c r="S3128" s="25"/>
      <c r="T3128" s="141"/>
      <c r="U3128" s="28"/>
    </row>
    <row r="3129" ht="15.75" customHeight="1">
      <c r="P3129" s="25"/>
      <c r="Q3129" s="25"/>
      <c r="R3129" s="25"/>
      <c r="S3129" s="25"/>
      <c r="T3129" s="141"/>
      <c r="U3129" s="28"/>
    </row>
    <row r="3130" ht="15.75" customHeight="1">
      <c r="P3130" s="25"/>
      <c r="Q3130" s="25"/>
      <c r="R3130" s="25"/>
      <c r="S3130" s="25"/>
      <c r="T3130" s="141"/>
      <c r="U3130" s="28"/>
    </row>
    <row r="3131" ht="15.75" customHeight="1">
      <c r="P3131" s="25"/>
      <c r="Q3131" s="25"/>
      <c r="R3131" s="25"/>
      <c r="S3131" s="25"/>
      <c r="T3131" s="141"/>
      <c r="U3131" s="28"/>
    </row>
    <row r="3132" ht="15.75" customHeight="1">
      <c r="P3132" s="25"/>
      <c r="Q3132" s="25"/>
      <c r="R3132" s="25"/>
      <c r="S3132" s="25"/>
      <c r="T3132" s="141"/>
      <c r="U3132" s="28"/>
    </row>
    <row r="3133" ht="15.75" customHeight="1">
      <c r="P3133" s="25"/>
      <c r="Q3133" s="25"/>
      <c r="R3133" s="25"/>
      <c r="S3133" s="25"/>
      <c r="T3133" s="141"/>
      <c r="U3133" s="28"/>
    </row>
    <row r="3134" ht="15.75" customHeight="1">
      <c r="P3134" s="25"/>
      <c r="Q3134" s="25"/>
      <c r="R3134" s="25"/>
      <c r="S3134" s="25"/>
      <c r="T3134" s="141"/>
      <c r="U3134" s="28"/>
    </row>
    <row r="3135" ht="15.75" customHeight="1">
      <c r="P3135" s="25"/>
      <c r="Q3135" s="25"/>
      <c r="R3135" s="25"/>
      <c r="S3135" s="25"/>
      <c r="T3135" s="141"/>
      <c r="U3135" s="28"/>
    </row>
    <row r="3136" ht="15.75" customHeight="1">
      <c r="P3136" s="25"/>
      <c r="Q3136" s="25"/>
      <c r="R3136" s="25"/>
      <c r="S3136" s="25"/>
      <c r="T3136" s="141"/>
      <c r="U3136" s="28"/>
    </row>
    <row r="3137" ht="15.75" customHeight="1">
      <c r="P3137" s="25"/>
      <c r="Q3137" s="25"/>
      <c r="R3137" s="25"/>
      <c r="S3137" s="25"/>
      <c r="T3137" s="141"/>
      <c r="U3137" s="28"/>
    </row>
    <row r="3138" ht="15.75" customHeight="1">
      <c r="P3138" s="25"/>
      <c r="Q3138" s="25"/>
      <c r="R3138" s="25"/>
      <c r="S3138" s="25"/>
      <c r="T3138" s="141"/>
      <c r="U3138" s="28"/>
    </row>
    <row r="3139" ht="15.75" customHeight="1">
      <c r="P3139" s="25"/>
      <c r="Q3139" s="25"/>
      <c r="R3139" s="25"/>
      <c r="S3139" s="25"/>
      <c r="T3139" s="141"/>
      <c r="U3139" s="28"/>
    </row>
    <row r="3140" ht="15.75" customHeight="1">
      <c r="P3140" s="25"/>
      <c r="Q3140" s="25"/>
      <c r="R3140" s="25"/>
      <c r="S3140" s="25"/>
      <c r="T3140" s="141"/>
      <c r="U3140" s="28"/>
    </row>
    <row r="3141" ht="15.75" customHeight="1">
      <c r="P3141" s="25"/>
      <c r="Q3141" s="25"/>
      <c r="R3141" s="25"/>
      <c r="S3141" s="25"/>
      <c r="T3141" s="141"/>
      <c r="U3141" s="28"/>
    </row>
    <row r="3142" ht="15.75" customHeight="1">
      <c r="P3142" s="25"/>
      <c r="Q3142" s="25"/>
      <c r="R3142" s="25"/>
      <c r="S3142" s="25"/>
      <c r="T3142" s="141"/>
      <c r="U3142" s="28"/>
    </row>
    <row r="3143" ht="15.75" customHeight="1">
      <c r="P3143" s="25"/>
      <c r="Q3143" s="25"/>
      <c r="R3143" s="25"/>
      <c r="S3143" s="25"/>
      <c r="T3143" s="141"/>
      <c r="U3143" s="28"/>
    </row>
    <row r="3144" ht="15.75" customHeight="1">
      <c r="P3144" s="25"/>
      <c r="Q3144" s="25"/>
      <c r="R3144" s="25"/>
      <c r="S3144" s="25"/>
      <c r="T3144" s="141"/>
      <c r="U3144" s="28"/>
    </row>
    <row r="3145" ht="15.75" customHeight="1">
      <c r="P3145" s="25"/>
      <c r="Q3145" s="25"/>
      <c r="R3145" s="25"/>
      <c r="S3145" s="25"/>
      <c r="T3145" s="141"/>
      <c r="U3145" s="28"/>
    </row>
    <row r="3146" ht="15.75" customHeight="1">
      <c r="P3146" s="25"/>
      <c r="Q3146" s="25"/>
      <c r="R3146" s="25"/>
      <c r="S3146" s="25"/>
      <c r="T3146" s="141"/>
      <c r="U3146" s="28"/>
    </row>
    <row r="3147" ht="15.75" customHeight="1">
      <c r="P3147" s="25"/>
      <c r="Q3147" s="25"/>
      <c r="R3147" s="25"/>
      <c r="S3147" s="25"/>
      <c r="T3147" s="141"/>
      <c r="U3147" s="28"/>
    </row>
    <row r="3148" ht="15.75" customHeight="1">
      <c r="P3148" s="25"/>
      <c r="Q3148" s="25"/>
      <c r="R3148" s="25"/>
      <c r="S3148" s="25"/>
      <c r="T3148" s="141"/>
      <c r="U3148" s="28"/>
    </row>
    <row r="3149" ht="15.75" customHeight="1">
      <c r="P3149" s="25"/>
      <c r="Q3149" s="25"/>
      <c r="R3149" s="25"/>
      <c r="S3149" s="25"/>
      <c r="T3149" s="141"/>
      <c r="U3149" s="28"/>
    </row>
    <row r="3150" ht="15.75" customHeight="1">
      <c r="P3150" s="25"/>
      <c r="Q3150" s="25"/>
      <c r="R3150" s="25"/>
      <c r="S3150" s="25"/>
      <c r="T3150" s="141"/>
      <c r="U3150" s="28"/>
    </row>
    <row r="3151" ht="15.75" customHeight="1">
      <c r="P3151" s="25"/>
      <c r="Q3151" s="25"/>
      <c r="R3151" s="25"/>
      <c r="S3151" s="25"/>
      <c r="T3151" s="141"/>
      <c r="U3151" s="28"/>
    </row>
    <row r="3152" ht="15.75" customHeight="1">
      <c r="P3152" s="25"/>
      <c r="Q3152" s="25"/>
      <c r="R3152" s="25"/>
      <c r="S3152" s="25"/>
      <c r="T3152" s="141"/>
      <c r="U3152" s="28"/>
    </row>
    <row r="3153" ht="15.75" customHeight="1">
      <c r="P3153" s="25"/>
      <c r="Q3153" s="25"/>
      <c r="R3153" s="25"/>
      <c r="S3153" s="25"/>
      <c r="T3153" s="141"/>
      <c r="U3153" s="28"/>
    </row>
    <row r="3154" ht="15.75" customHeight="1">
      <c r="P3154" s="25"/>
      <c r="Q3154" s="25"/>
      <c r="R3154" s="25"/>
      <c r="S3154" s="25"/>
      <c r="T3154" s="141"/>
      <c r="U3154" s="28"/>
    </row>
    <row r="3155" ht="15.75" customHeight="1">
      <c r="P3155" s="25"/>
      <c r="Q3155" s="25"/>
      <c r="R3155" s="25"/>
      <c r="S3155" s="25"/>
      <c r="T3155" s="141"/>
      <c r="U3155" s="28"/>
    </row>
    <row r="3156" ht="15.75" customHeight="1">
      <c r="P3156" s="25"/>
      <c r="Q3156" s="25"/>
      <c r="R3156" s="25"/>
      <c r="S3156" s="25"/>
      <c r="T3156" s="141"/>
      <c r="U3156" s="28"/>
    </row>
    <row r="3157" ht="15.75" customHeight="1">
      <c r="P3157" s="25"/>
      <c r="Q3157" s="25"/>
      <c r="R3157" s="25"/>
      <c r="S3157" s="25"/>
      <c r="T3157" s="141"/>
      <c r="U3157" s="28"/>
    </row>
    <row r="3158" ht="15.75" customHeight="1">
      <c r="P3158" s="25"/>
      <c r="Q3158" s="25"/>
      <c r="R3158" s="25"/>
      <c r="S3158" s="25"/>
      <c r="T3158" s="141"/>
      <c r="U3158" s="28"/>
    </row>
    <row r="3159" ht="15.75" customHeight="1">
      <c r="P3159" s="25"/>
      <c r="Q3159" s="25"/>
      <c r="R3159" s="25"/>
      <c r="S3159" s="25"/>
      <c r="T3159" s="141"/>
      <c r="U3159" s="28"/>
    </row>
    <row r="3160" ht="15.75" customHeight="1">
      <c r="P3160" s="25"/>
      <c r="Q3160" s="25"/>
      <c r="R3160" s="25"/>
      <c r="S3160" s="25"/>
      <c r="T3160" s="141"/>
      <c r="U3160" s="28"/>
    </row>
    <row r="3161" ht="15.75" customHeight="1">
      <c r="P3161" s="25"/>
      <c r="Q3161" s="25"/>
      <c r="R3161" s="25"/>
      <c r="S3161" s="25"/>
      <c r="T3161" s="141"/>
      <c r="U3161" s="28"/>
    </row>
    <row r="3162" ht="15.75" customHeight="1">
      <c r="P3162" s="25"/>
      <c r="Q3162" s="25"/>
      <c r="R3162" s="25"/>
      <c r="S3162" s="25"/>
      <c r="T3162" s="141"/>
      <c r="U3162" s="28"/>
    </row>
    <row r="3163" ht="15.75" customHeight="1">
      <c r="P3163" s="25"/>
      <c r="Q3163" s="25"/>
      <c r="R3163" s="25"/>
      <c r="S3163" s="25"/>
      <c r="T3163" s="141"/>
      <c r="U3163" s="28"/>
    </row>
    <row r="3164" ht="15.75" customHeight="1">
      <c r="P3164" s="25"/>
      <c r="Q3164" s="25"/>
      <c r="R3164" s="25"/>
      <c r="S3164" s="25"/>
      <c r="T3164" s="141"/>
      <c r="U3164" s="28"/>
    </row>
    <row r="3165" ht="15.75" customHeight="1">
      <c r="P3165" s="25"/>
      <c r="Q3165" s="25"/>
      <c r="R3165" s="25"/>
      <c r="S3165" s="25"/>
      <c r="T3165" s="141"/>
      <c r="U3165" s="28"/>
    </row>
    <row r="3166" ht="15.75" customHeight="1">
      <c r="P3166" s="25"/>
      <c r="Q3166" s="25"/>
      <c r="R3166" s="25"/>
      <c r="S3166" s="25"/>
      <c r="T3166" s="141"/>
      <c r="U3166" s="28"/>
    </row>
    <row r="3167" ht="15.75" customHeight="1">
      <c r="P3167" s="25"/>
      <c r="Q3167" s="25"/>
      <c r="R3167" s="25"/>
      <c r="S3167" s="25"/>
      <c r="T3167" s="141"/>
      <c r="U3167" s="28"/>
    </row>
    <row r="3168" ht="15.75" customHeight="1">
      <c r="P3168" s="25"/>
      <c r="Q3168" s="25"/>
      <c r="R3168" s="25"/>
      <c r="S3168" s="25"/>
      <c r="T3168" s="141"/>
      <c r="U3168" s="28"/>
    </row>
    <row r="3169" ht="15.75" customHeight="1">
      <c r="P3169" s="25"/>
      <c r="Q3169" s="25"/>
      <c r="R3169" s="25"/>
      <c r="S3169" s="25"/>
      <c r="T3169" s="141"/>
      <c r="U3169" s="28"/>
    </row>
    <row r="3170" ht="15.75" customHeight="1">
      <c r="P3170" s="25"/>
      <c r="Q3170" s="25"/>
      <c r="R3170" s="25"/>
      <c r="S3170" s="25"/>
      <c r="T3170" s="141"/>
      <c r="U3170" s="28"/>
    </row>
    <row r="3171" ht="15.75" customHeight="1">
      <c r="P3171" s="25"/>
      <c r="Q3171" s="25"/>
      <c r="R3171" s="25"/>
      <c r="S3171" s="25"/>
      <c r="T3171" s="141"/>
      <c r="U3171" s="28"/>
    </row>
    <row r="3172" ht="15.75" customHeight="1">
      <c r="P3172" s="25"/>
      <c r="Q3172" s="25"/>
      <c r="R3172" s="25"/>
      <c r="S3172" s="25"/>
      <c r="T3172" s="141"/>
      <c r="U3172" s="28"/>
    </row>
    <row r="3173" ht="15.75" customHeight="1">
      <c r="P3173" s="25"/>
      <c r="Q3173" s="25"/>
      <c r="R3173" s="25"/>
      <c r="S3173" s="25"/>
      <c r="T3173" s="141"/>
      <c r="U3173" s="28"/>
    </row>
    <row r="3174" ht="15.75" customHeight="1">
      <c r="P3174" s="25"/>
      <c r="Q3174" s="25"/>
      <c r="R3174" s="25"/>
      <c r="S3174" s="25"/>
      <c r="T3174" s="141"/>
      <c r="U3174" s="28"/>
    </row>
    <row r="3175" ht="15.75" customHeight="1">
      <c r="P3175" s="25"/>
      <c r="Q3175" s="25"/>
      <c r="R3175" s="25"/>
      <c r="S3175" s="25"/>
      <c r="T3175" s="141"/>
      <c r="U3175" s="28"/>
    </row>
    <row r="3176" ht="15.75" customHeight="1">
      <c r="P3176" s="25"/>
      <c r="Q3176" s="25"/>
      <c r="R3176" s="25"/>
      <c r="S3176" s="25"/>
      <c r="T3176" s="141"/>
      <c r="U3176" s="28"/>
    </row>
    <row r="3177" ht="15.75" customHeight="1">
      <c r="P3177" s="25"/>
      <c r="Q3177" s="25"/>
      <c r="R3177" s="25"/>
      <c r="S3177" s="25"/>
      <c r="T3177" s="141"/>
      <c r="U3177" s="28"/>
    </row>
    <row r="3178" ht="15.75" customHeight="1">
      <c r="P3178" s="25"/>
      <c r="Q3178" s="25"/>
      <c r="R3178" s="25"/>
      <c r="S3178" s="25"/>
      <c r="T3178" s="141"/>
      <c r="U3178" s="28"/>
    </row>
    <row r="3179" ht="15.75" customHeight="1">
      <c r="P3179" s="25"/>
      <c r="Q3179" s="25"/>
      <c r="R3179" s="25"/>
      <c r="S3179" s="25"/>
      <c r="T3179" s="141"/>
      <c r="U3179" s="28"/>
    </row>
    <row r="3180" ht="15.75" customHeight="1">
      <c r="P3180" s="25"/>
      <c r="Q3180" s="25"/>
      <c r="R3180" s="25"/>
      <c r="S3180" s="25"/>
      <c r="T3180" s="141"/>
      <c r="U3180" s="28"/>
    </row>
    <row r="3181" ht="15.75" customHeight="1">
      <c r="P3181" s="25"/>
      <c r="Q3181" s="25"/>
      <c r="R3181" s="25"/>
      <c r="S3181" s="25"/>
      <c r="T3181" s="141"/>
      <c r="U3181" s="28"/>
    </row>
    <row r="3182" ht="15.75" customHeight="1">
      <c r="P3182" s="25"/>
      <c r="Q3182" s="25"/>
      <c r="R3182" s="25"/>
      <c r="S3182" s="25"/>
      <c r="T3182" s="141"/>
      <c r="U3182" s="28"/>
    </row>
    <row r="3183" ht="15.75" customHeight="1">
      <c r="P3183" s="25"/>
      <c r="Q3183" s="25"/>
      <c r="R3183" s="25"/>
      <c r="S3183" s="25"/>
      <c r="T3183" s="141"/>
      <c r="U3183" s="28"/>
    </row>
    <row r="3184" ht="15.75" customHeight="1">
      <c r="P3184" s="25"/>
      <c r="Q3184" s="25"/>
      <c r="R3184" s="25"/>
      <c r="S3184" s="25"/>
      <c r="T3184" s="141"/>
      <c r="U3184" s="28"/>
    </row>
    <row r="3185" ht="15.75" customHeight="1">
      <c r="P3185" s="25"/>
      <c r="Q3185" s="25"/>
      <c r="R3185" s="25"/>
      <c r="S3185" s="25"/>
      <c r="T3185" s="141"/>
      <c r="U3185" s="28"/>
    </row>
    <row r="3186" ht="15.75" customHeight="1">
      <c r="P3186" s="25"/>
      <c r="Q3186" s="25"/>
      <c r="R3186" s="25"/>
      <c r="S3186" s="25"/>
      <c r="T3186" s="141"/>
      <c r="U3186" s="28"/>
    </row>
    <row r="3187" ht="15.75" customHeight="1">
      <c r="P3187" s="25"/>
      <c r="Q3187" s="25"/>
      <c r="R3187" s="25"/>
      <c r="S3187" s="25"/>
      <c r="T3187" s="141"/>
      <c r="U3187" s="28"/>
    </row>
    <row r="3188" ht="15.75" customHeight="1">
      <c r="P3188" s="25"/>
      <c r="Q3188" s="25"/>
      <c r="R3188" s="25"/>
      <c r="S3188" s="25"/>
      <c r="T3188" s="141"/>
      <c r="U3188" s="28"/>
    </row>
    <row r="3189" ht="15.75" customHeight="1">
      <c r="P3189" s="25"/>
      <c r="Q3189" s="25"/>
      <c r="R3189" s="25"/>
      <c r="S3189" s="25"/>
      <c r="T3189" s="141"/>
      <c r="U3189" s="28"/>
    </row>
    <row r="3190" ht="15.75" customHeight="1">
      <c r="P3190" s="25"/>
      <c r="Q3190" s="25"/>
      <c r="R3190" s="25"/>
      <c r="S3190" s="25"/>
      <c r="T3190" s="141"/>
      <c r="U3190" s="28"/>
    </row>
    <row r="3191" ht="15.75" customHeight="1">
      <c r="P3191" s="25"/>
      <c r="Q3191" s="25"/>
      <c r="R3191" s="25"/>
      <c r="S3191" s="25"/>
      <c r="T3191" s="141"/>
      <c r="U3191" s="28"/>
    </row>
    <row r="3192" ht="15.75" customHeight="1">
      <c r="P3192" s="25"/>
      <c r="Q3192" s="25"/>
      <c r="R3192" s="25"/>
      <c r="S3192" s="25"/>
      <c r="T3192" s="141"/>
      <c r="U3192" s="28"/>
    </row>
    <row r="3193" ht="15.75" customHeight="1">
      <c r="P3193" s="25"/>
      <c r="Q3193" s="25"/>
      <c r="R3193" s="25"/>
      <c r="S3193" s="25"/>
      <c r="T3193" s="141"/>
      <c r="U3193" s="28"/>
    </row>
    <row r="3194" ht="15.75" customHeight="1">
      <c r="P3194" s="25"/>
      <c r="Q3194" s="25"/>
      <c r="R3194" s="25"/>
      <c r="S3194" s="25"/>
      <c r="T3194" s="141"/>
      <c r="U3194" s="28"/>
    </row>
    <row r="3195" ht="15.75" customHeight="1">
      <c r="P3195" s="25"/>
      <c r="Q3195" s="25"/>
      <c r="R3195" s="25"/>
      <c r="S3195" s="25"/>
      <c r="T3195" s="141"/>
      <c r="U3195" s="28"/>
    </row>
    <row r="3196" ht="15.75" customHeight="1">
      <c r="P3196" s="25"/>
      <c r="Q3196" s="25"/>
      <c r="R3196" s="25"/>
      <c r="S3196" s="25"/>
      <c r="T3196" s="141"/>
      <c r="U3196" s="28"/>
    </row>
    <row r="3197" ht="15.75" customHeight="1">
      <c r="P3197" s="25"/>
      <c r="Q3197" s="25"/>
      <c r="R3197" s="25"/>
      <c r="S3197" s="25"/>
      <c r="T3197" s="141"/>
      <c r="U3197" s="28"/>
    </row>
    <row r="3198" ht="15.75" customHeight="1">
      <c r="P3198" s="25"/>
      <c r="Q3198" s="25"/>
      <c r="R3198" s="25"/>
      <c r="S3198" s="25"/>
      <c r="T3198" s="141"/>
      <c r="U3198" s="28"/>
    </row>
    <row r="3199" ht="15.75" customHeight="1">
      <c r="P3199" s="25"/>
      <c r="Q3199" s="25"/>
      <c r="R3199" s="25"/>
      <c r="S3199" s="25"/>
      <c r="T3199" s="141"/>
      <c r="U3199" s="28"/>
    </row>
    <row r="3200" ht="15.75" customHeight="1">
      <c r="P3200" s="25"/>
      <c r="Q3200" s="25"/>
      <c r="R3200" s="25"/>
      <c r="S3200" s="25"/>
      <c r="T3200" s="141"/>
      <c r="U3200" s="28"/>
    </row>
    <row r="3201" ht="15.75" customHeight="1">
      <c r="P3201" s="25"/>
      <c r="Q3201" s="25"/>
      <c r="R3201" s="25"/>
      <c r="S3201" s="25"/>
      <c r="T3201" s="141"/>
      <c r="U3201" s="28"/>
    </row>
    <row r="3202" ht="15.75" customHeight="1">
      <c r="P3202" s="25"/>
      <c r="Q3202" s="25"/>
      <c r="R3202" s="25"/>
      <c r="S3202" s="25"/>
      <c r="T3202" s="141"/>
      <c r="U3202" s="28"/>
    </row>
    <row r="3203" ht="15.75" customHeight="1">
      <c r="P3203" s="25"/>
      <c r="Q3203" s="25"/>
      <c r="R3203" s="25"/>
      <c r="S3203" s="25"/>
      <c r="T3203" s="141"/>
      <c r="U3203" s="28"/>
    </row>
    <row r="3204" ht="15.75" customHeight="1">
      <c r="P3204" s="25"/>
      <c r="Q3204" s="25"/>
      <c r="R3204" s="25"/>
      <c r="S3204" s="25"/>
      <c r="T3204" s="141"/>
      <c r="U3204" s="28"/>
    </row>
    <row r="3205" ht="15.75" customHeight="1">
      <c r="P3205" s="25"/>
      <c r="Q3205" s="25"/>
      <c r="R3205" s="25"/>
      <c r="S3205" s="25"/>
      <c r="T3205" s="141"/>
      <c r="U3205" s="28"/>
    </row>
    <row r="3206" ht="15.75" customHeight="1">
      <c r="P3206" s="25"/>
      <c r="Q3206" s="25"/>
      <c r="R3206" s="25"/>
      <c r="S3206" s="25"/>
      <c r="T3206" s="141"/>
      <c r="U3206" s="28"/>
    </row>
    <row r="3207" ht="15.75" customHeight="1">
      <c r="P3207" s="25"/>
      <c r="Q3207" s="25"/>
      <c r="R3207" s="25"/>
      <c r="S3207" s="25"/>
      <c r="T3207" s="141"/>
      <c r="U3207" s="28"/>
    </row>
    <row r="3208" ht="15.75" customHeight="1">
      <c r="P3208" s="25"/>
      <c r="Q3208" s="25"/>
      <c r="R3208" s="25"/>
      <c r="S3208" s="25"/>
      <c r="T3208" s="141"/>
      <c r="U3208" s="28"/>
    </row>
    <row r="3209" ht="15.75" customHeight="1">
      <c r="P3209" s="25"/>
      <c r="Q3209" s="25"/>
      <c r="R3209" s="25"/>
      <c r="S3209" s="25"/>
      <c r="T3209" s="141"/>
      <c r="U3209" s="28"/>
    </row>
    <row r="3210" ht="15.75" customHeight="1">
      <c r="P3210" s="25"/>
      <c r="Q3210" s="25"/>
      <c r="R3210" s="25"/>
      <c r="S3210" s="25"/>
      <c r="T3210" s="141"/>
      <c r="U3210" s="28"/>
    </row>
    <row r="3211" ht="15.75" customHeight="1">
      <c r="P3211" s="25"/>
      <c r="Q3211" s="25"/>
      <c r="R3211" s="25"/>
      <c r="S3211" s="25"/>
      <c r="T3211" s="141"/>
      <c r="U3211" s="28"/>
    </row>
    <row r="3212" ht="15.75" customHeight="1">
      <c r="P3212" s="25"/>
      <c r="Q3212" s="25"/>
      <c r="R3212" s="25"/>
      <c r="S3212" s="25"/>
      <c r="T3212" s="141"/>
      <c r="U3212" s="28"/>
    </row>
    <row r="3213" ht="15.75" customHeight="1">
      <c r="P3213" s="25"/>
      <c r="Q3213" s="25"/>
      <c r="R3213" s="25"/>
      <c r="S3213" s="25"/>
      <c r="T3213" s="141"/>
      <c r="U3213" s="28"/>
    </row>
    <row r="3214" ht="15.75" customHeight="1">
      <c r="P3214" s="25"/>
      <c r="Q3214" s="25"/>
      <c r="R3214" s="25"/>
      <c r="S3214" s="25"/>
      <c r="T3214" s="141"/>
      <c r="U3214" s="28"/>
    </row>
    <row r="3215" ht="15.75" customHeight="1">
      <c r="P3215" s="25"/>
      <c r="Q3215" s="25"/>
      <c r="R3215" s="25"/>
      <c r="S3215" s="25"/>
      <c r="T3215" s="141"/>
      <c r="U3215" s="28"/>
    </row>
    <row r="3216" ht="15.75" customHeight="1">
      <c r="P3216" s="25"/>
      <c r="Q3216" s="25"/>
      <c r="R3216" s="25"/>
      <c r="S3216" s="25"/>
      <c r="T3216" s="141"/>
      <c r="U3216" s="28"/>
    </row>
    <row r="3217" ht="15.75" customHeight="1">
      <c r="P3217" s="25"/>
      <c r="Q3217" s="25"/>
      <c r="R3217" s="25"/>
      <c r="S3217" s="25"/>
      <c r="T3217" s="141"/>
      <c r="U3217" s="28"/>
    </row>
    <row r="3218" ht="15.75" customHeight="1">
      <c r="P3218" s="25"/>
      <c r="Q3218" s="25"/>
      <c r="R3218" s="25"/>
      <c r="S3218" s="25"/>
      <c r="T3218" s="141"/>
      <c r="U3218" s="28"/>
    </row>
    <row r="3219" ht="15.75" customHeight="1">
      <c r="P3219" s="25"/>
      <c r="Q3219" s="25"/>
      <c r="R3219" s="25"/>
      <c r="S3219" s="25"/>
      <c r="T3219" s="141"/>
      <c r="U3219" s="28"/>
    </row>
    <row r="3220" ht="15.75" customHeight="1">
      <c r="P3220" s="25"/>
      <c r="Q3220" s="25"/>
      <c r="R3220" s="25"/>
      <c r="S3220" s="25"/>
      <c r="T3220" s="141"/>
      <c r="U3220" s="28"/>
    </row>
    <row r="3221" ht="15.75" customHeight="1">
      <c r="P3221" s="25"/>
      <c r="Q3221" s="25"/>
      <c r="R3221" s="25"/>
      <c r="S3221" s="25"/>
      <c r="T3221" s="141"/>
      <c r="U3221" s="28"/>
    </row>
    <row r="3222" ht="15.75" customHeight="1">
      <c r="P3222" s="25"/>
      <c r="Q3222" s="25"/>
      <c r="R3222" s="25"/>
      <c r="S3222" s="25"/>
      <c r="T3222" s="141"/>
      <c r="U3222" s="28"/>
    </row>
    <row r="3223" ht="15.75" customHeight="1">
      <c r="P3223" s="25"/>
      <c r="Q3223" s="25"/>
      <c r="R3223" s="25"/>
      <c r="S3223" s="25"/>
      <c r="T3223" s="141"/>
      <c r="U3223" s="28"/>
    </row>
    <row r="3224" ht="15.75" customHeight="1">
      <c r="P3224" s="25"/>
      <c r="Q3224" s="25"/>
      <c r="R3224" s="25"/>
      <c r="S3224" s="25"/>
      <c r="T3224" s="141"/>
      <c r="U3224" s="28"/>
    </row>
    <row r="3225" ht="15.75" customHeight="1">
      <c r="P3225" s="25"/>
      <c r="Q3225" s="25"/>
      <c r="R3225" s="25"/>
      <c r="S3225" s="25"/>
      <c r="T3225" s="141"/>
      <c r="U3225" s="28"/>
    </row>
    <row r="3226" ht="15.75" customHeight="1">
      <c r="P3226" s="25"/>
      <c r="Q3226" s="25"/>
      <c r="R3226" s="25"/>
      <c r="S3226" s="25"/>
      <c r="T3226" s="141"/>
      <c r="U3226" s="28"/>
    </row>
    <row r="3227" ht="15.75" customHeight="1">
      <c r="P3227" s="25"/>
      <c r="Q3227" s="25"/>
      <c r="R3227" s="25"/>
      <c r="S3227" s="25"/>
      <c r="T3227" s="141"/>
      <c r="U3227" s="28"/>
    </row>
    <row r="3228" ht="15.75" customHeight="1">
      <c r="P3228" s="25"/>
      <c r="Q3228" s="25"/>
      <c r="R3228" s="25"/>
      <c r="S3228" s="25"/>
      <c r="T3228" s="141"/>
      <c r="U3228" s="28"/>
    </row>
    <row r="3229" ht="15.75" customHeight="1">
      <c r="P3229" s="25"/>
      <c r="Q3229" s="25"/>
      <c r="R3229" s="25"/>
      <c r="S3229" s="25"/>
      <c r="T3229" s="141"/>
      <c r="U3229" s="28"/>
    </row>
    <row r="3230" ht="15.75" customHeight="1">
      <c r="P3230" s="25"/>
      <c r="Q3230" s="25"/>
      <c r="R3230" s="25"/>
      <c r="S3230" s="25"/>
      <c r="T3230" s="141"/>
      <c r="U3230" s="28"/>
    </row>
    <row r="3231" ht="15.75" customHeight="1">
      <c r="P3231" s="25"/>
      <c r="Q3231" s="25"/>
      <c r="R3231" s="25"/>
      <c r="S3231" s="25"/>
      <c r="T3231" s="141"/>
      <c r="U3231" s="28"/>
    </row>
    <row r="3232" ht="15.75" customHeight="1">
      <c r="P3232" s="25"/>
      <c r="Q3232" s="25"/>
      <c r="R3232" s="25"/>
      <c r="S3232" s="25"/>
      <c r="T3232" s="141"/>
      <c r="U3232" s="28"/>
    </row>
    <row r="3233" ht="15.75" customHeight="1">
      <c r="P3233" s="25"/>
      <c r="Q3233" s="25"/>
      <c r="R3233" s="25"/>
      <c r="S3233" s="25"/>
      <c r="T3233" s="141"/>
      <c r="U3233" s="28"/>
    </row>
    <row r="3234" ht="15.75" customHeight="1">
      <c r="P3234" s="25"/>
      <c r="Q3234" s="25"/>
      <c r="R3234" s="25"/>
      <c r="S3234" s="25"/>
      <c r="T3234" s="141"/>
      <c r="U3234" s="28"/>
    </row>
    <row r="3235" ht="15.75" customHeight="1">
      <c r="P3235" s="25"/>
      <c r="Q3235" s="25"/>
      <c r="R3235" s="25"/>
      <c r="S3235" s="25"/>
      <c r="T3235" s="141"/>
      <c r="U3235" s="28"/>
    </row>
    <row r="3236" ht="15.75" customHeight="1">
      <c r="P3236" s="25"/>
      <c r="Q3236" s="25"/>
      <c r="R3236" s="25"/>
      <c r="S3236" s="25"/>
      <c r="T3236" s="141"/>
      <c r="U3236" s="28"/>
    </row>
    <row r="3237" ht="15.75" customHeight="1">
      <c r="P3237" s="25"/>
      <c r="Q3237" s="25"/>
      <c r="R3237" s="25"/>
      <c r="S3237" s="25"/>
      <c r="T3237" s="141"/>
      <c r="U3237" s="28"/>
    </row>
    <row r="3238" ht="15.75" customHeight="1">
      <c r="P3238" s="25"/>
      <c r="Q3238" s="25"/>
      <c r="R3238" s="25"/>
      <c r="S3238" s="25"/>
      <c r="T3238" s="141"/>
      <c r="U3238" s="28"/>
    </row>
    <row r="3239" ht="15.75" customHeight="1">
      <c r="P3239" s="25"/>
      <c r="Q3239" s="25"/>
      <c r="R3239" s="25"/>
      <c r="S3239" s="25"/>
      <c r="T3239" s="141"/>
      <c r="U3239" s="28"/>
    </row>
    <row r="3240" ht="15.75" customHeight="1">
      <c r="P3240" s="25"/>
      <c r="Q3240" s="25"/>
      <c r="R3240" s="25"/>
      <c r="S3240" s="25"/>
      <c r="T3240" s="141"/>
      <c r="U3240" s="28"/>
    </row>
    <row r="3241" ht="15.75" customHeight="1">
      <c r="P3241" s="25"/>
      <c r="Q3241" s="25"/>
      <c r="R3241" s="25"/>
      <c r="S3241" s="25"/>
      <c r="T3241" s="141"/>
      <c r="U3241" s="28"/>
    </row>
    <row r="3242" ht="15.75" customHeight="1">
      <c r="P3242" s="25"/>
      <c r="Q3242" s="25"/>
      <c r="R3242" s="25"/>
      <c r="S3242" s="25"/>
      <c r="T3242" s="141"/>
      <c r="U3242" s="28"/>
    </row>
    <row r="3243" ht="15.75" customHeight="1">
      <c r="P3243" s="25"/>
      <c r="Q3243" s="25"/>
      <c r="R3243" s="25"/>
      <c r="S3243" s="25"/>
      <c r="T3243" s="141"/>
      <c r="U3243" s="28"/>
    </row>
    <row r="3244" ht="15.75" customHeight="1">
      <c r="P3244" s="25"/>
      <c r="Q3244" s="25"/>
      <c r="R3244" s="25"/>
      <c r="S3244" s="25"/>
      <c r="T3244" s="141"/>
      <c r="U3244" s="28"/>
    </row>
    <row r="3245" ht="15.75" customHeight="1">
      <c r="P3245" s="25"/>
      <c r="Q3245" s="25"/>
      <c r="R3245" s="25"/>
      <c r="S3245" s="25"/>
      <c r="T3245" s="141"/>
      <c r="U3245" s="28"/>
    </row>
    <row r="3246" ht="15.75" customHeight="1">
      <c r="P3246" s="25"/>
      <c r="Q3246" s="25"/>
      <c r="R3246" s="25"/>
      <c r="S3246" s="25"/>
      <c r="T3246" s="141"/>
      <c r="U3246" s="28"/>
    </row>
    <row r="3247" ht="15.75" customHeight="1">
      <c r="P3247" s="25"/>
      <c r="Q3247" s="25"/>
      <c r="R3247" s="25"/>
      <c r="S3247" s="25"/>
      <c r="T3247" s="141"/>
      <c r="U3247" s="28"/>
    </row>
    <row r="3248" ht="15.75" customHeight="1">
      <c r="P3248" s="25"/>
      <c r="Q3248" s="25"/>
      <c r="R3248" s="25"/>
      <c r="S3248" s="25"/>
      <c r="T3248" s="141"/>
      <c r="U3248" s="28"/>
    </row>
    <row r="3249" ht="15.75" customHeight="1">
      <c r="P3249" s="25"/>
      <c r="Q3249" s="25"/>
      <c r="R3249" s="25"/>
      <c r="S3249" s="25"/>
      <c r="T3249" s="141"/>
      <c r="U3249" s="28"/>
    </row>
    <row r="3250" ht="15.75" customHeight="1">
      <c r="P3250" s="25"/>
      <c r="Q3250" s="25"/>
      <c r="R3250" s="25"/>
      <c r="S3250" s="25"/>
      <c r="T3250" s="141"/>
      <c r="U3250" s="28"/>
    </row>
    <row r="3251" ht="15.75" customHeight="1">
      <c r="P3251" s="25"/>
      <c r="Q3251" s="25"/>
      <c r="R3251" s="25"/>
      <c r="S3251" s="25"/>
      <c r="T3251" s="141"/>
      <c r="U3251" s="28"/>
    </row>
    <row r="3252" ht="15.75" customHeight="1">
      <c r="P3252" s="25"/>
      <c r="Q3252" s="25"/>
      <c r="R3252" s="25"/>
      <c r="S3252" s="25"/>
      <c r="T3252" s="141"/>
      <c r="U3252" s="28"/>
    </row>
    <row r="3253" ht="15.75" customHeight="1">
      <c r="P3253" s="25"/>
      <c r="Q3253" s="25"/>
      <c r="R3253" s="25"/>
      <c r="S3253" s="25"/>
      <c r="T3253" s="141"/>
      <c r="U3253" s="28"/>
    </row>
    <row r="3254" ht="15.75" customHeight="1">
      <c r="P3254" s="25"/>
      <c r="Q3254" s="25"/>
      <c r="R3254" s="25"/>
      <c r="S3254" s="25"/>
      <c r="T3254" s="141"/>
      <c r="U3254" s="28"/>
    </row>
    <row r="3255" ht="15.75" customHeight="1">
      <c r="P3255" s="25"/>
      <c r="Q3255" s="25"/>
      <c r="R3255" s="25"/>
      <c r="S3255" s="25"/>
      <c r="T3255" s="141"/>
      <c r="U3255" s="28"/>
    </row>
    <row r="3256" ht="15.75" customHeight="1">
      <c r="P3256" s="25"/>
      <c r="Q3256" s="25"/>
      <c r="R3256" s="25"/>
      <c r="S3256" s="25"/>
      <c r="T3256" s="141"/>
      <c r="U3256" s="28"/>
    </row>
    <row r="3257" ht="15.75" customHeight="1">
      <c r="P3257" s="25"/>
      <c r="Q3257" s="25"/>
      <c r="R3257" s="25"/>
      <c r="S3257" s="25"/>
      <c r="T3257" s="141"/>
      <c r="U3257" s="28"/>
    </row>
    <row r="3258" ht="15.75" customHeight="1">
      <c r="P3258" s="25"/>
      <c r="Q3258" s="25"/>
      <c r="R3258" s="25"/>
      <c r="S3258" s="25"/>
      <c r="T3258" s="141"/>
      <c r="U3258" s="28"/>
    </row>
    <row r="3259" ht="15.75" customHeight="1">
      <c r="P3259" s="25"/>
      <c r="Q3259" s="25"/>
      <c r="R3259" s="25"/>
      <c r="S3259" s="25"/>
      <c r="T3259" s="141"/>
      <c r="U3259" s="28"/>
    </row>
    <row r="3260" ht="15.75" customHeight="1">
      <c r="P3260" s="25"/>
      <c r="Q3260" s="25"/>
      <c r="R3260" s="25"/>
      <c r="S3260" s="25"/>
      <c r="T3260" s="141"/>
      <c r="U3260" s="28"/>
    </row>
    <row r="3261" ht="15.75" customHeight="1">
      <c r="P3261" s="25"/>
      <c r="Q3261" s="25"/>
      <c r="R3261" s="25"/>
      <c r="S3261" s="25"/>
      <c r="T3261" s="141"/>
      <c r="U3261" s="28"/>
    </row>
    <row r="3262" ht="15.75" customHeight="1">
      <c r="P3262" s="25"/>
      <c r="Q3262" s="25"/>
      <c r="R3262" s="25"/>
      <c r="S3262" s="25"/>
      <c r="T3262" s="141"/>
      <c r="U3262" s="28"/>
    </row>
    <row r="3263" ht="15.75" customHeight="1">
      <c r="P3263" s="25"/>
      <c r="Q3263" s="25"/>
      <c r="R3263" s="25"/>
      <c r="S3263" s="25"/>
      <c r="T3263" s="141"/>
      <c r="U3263" s="28"/>
    </row>
    <row r="3264" ht="15.75" customHeight="1">
      <c r="P3264" s="25"/>
      <c r="Q3264" s="25"/>
      <c r="R3264" s="25"/>
      <c r="S3264" s="25"/>
      <c r="T3264" s="141"/>
      <c r="U3264" s="28"/>
    </row>
    <row r="3265" ht="15.75" customHeight="1">
      <c r="P3265" s="25"/>
      <c r="Q3265" s="25"/>
      <c r="R3265" s="25"/>
      <c r="S3265" s="25"/>
      <c r="T3265" s="141"/>
      <c r="U3265" s="28"/>
    </row>
    <row r="3266" ht="15.75" customHeight="1">
      <c r="P3266" s="25"/>
      <c r="Q3266" s="25"/>
      <c r="R3266" s="25"/>
      <c r="S3266" s="25"/>
      <c r="T3266" s="141"/>
      <c r="U3266" s="28"/>
    </row>
    <row r="3267" ht="15.75" customHeight="1">
      <c r="P3267" s="25"/>
      <c r="Q3267" s="25"/>
      <c r="R3267" s="25"/>
      <c r="S3267" s="25"/>
      <c r="T3267" s="141"/>
      <c r="U3267" s="28"/>
    </row>
    <row r="3268" ht="15.75" customHeight="1">
      <c r="P3268" s="25"/>
      <c r="Q3268" s="25"/>
      <c r="R3268" s="25"/>
      <c r="S3268" s="25"/>
      <c r="T3268" s="141"/>
      <c r="U3268" s="28"/>
    </row>
    <row r="3269" ht="15.75" customHeight="1">
      <c r="P3269" s="25"/>
      <c r="Q3269" s="25"/>
      <c r="R3269" s="25"/>
      <c r="S3269" s="25"/>
      <c r="T3269" s="141"/>
      <c r="U3269" s="28"/>
    </row>
    <row r="3270" ht="15.75" customHeight="1">
      <c r="P3270" s="25"/>
      <c r="Q3270" s="25"/>
      <c r="R3270" s="25"/>
      <c r="S3270" s="25"/>
      <c r="T3270" s="141"/>
      <c r="U3270" s="28"/>
    </row>
    <row r="3271" ht="15.75" customHeight="1">
      <c r="P3271" s="25"/>
      <c r="Q3271" s="25"/>
      <c r="R3271" s="25"/>
      <c r="S3271" s="25"/>
      <c r="T3271" s="141"/>
      <c r="U3271" s="28"/>
    </row>
    <row r="3272" ht="15.75" customHeight="1">
      <c r="P3272" s="25"/>
      <c r="Q3272" s="25"/>
      <c r="R3272" s="25"/>
      <c r="S3272" s="25"/>
      <c r="T3272" s="141"/>
      <c r="U3272" s="28"/>
    </row>
    <row r="3273" ht="15.75" customHeight="1">
      <c r="P3273" s="25"/>
      <c r="Q3273" s="25"/>
      <c r="R3273" s="25"/>
      <c r="S3273" s="25"/>
      <c r="T3273" s="141"/>
      <c r="U3273" s="28"/>
    </row>
    <row r="3274" ht="15.75" customHeight="1">
      <c r="P3274" s="25"/>
      <c r="Q3274" s="25"/>
      <c r="R3274" s="25"/>
      <c r="S3274" s="25"/>
      <c r="T3274" s="141"/>
      <c r="U3274" s="28"/>
    </row>
    <row r="3275" ht="15.75" customHeight="1">
      <c r="P3275" s="25"/>
      <c r="Q3275" s="25"/>
      <c r="R3275" s="25"/>
      <c r="S3275" s="25"/>
      <c r="T3275" s="141"/>
      <c r="U3275" s="28"/>
    </row>
    <row r="3276" ht="15.75" customHeight="1">
      <c r="P3276" s="25"/>
      <c r="Q3276" s="25"/>
      <c r="R3276" s="25"/>
      <c r="S3276" s="25"/>
      <c r="T3276" s="141"/>
      <c r="U3276" s="28"/>
    </row>
    <row r="3277" ht="15.75" customHeight="1">
      <c r="P3277" s="25"/>
      <c r="Q3277" s="25"/>
      <c r="R3277" s="25"/>
      <c r="S3277" s="25"/>
      <c r="T3277" s="141"/>
      <c r="U3277" s="28"/>
    </row>
    <row r="3278" ht="15.75" customHeight="1">
      <c r="P3278" s="25"/>
      <c r="Q3278" s="25"/>
      <c r="R3278" s="25"/>
      <c r="S3278" s="25"/>
      <c r="T3278" s="141"/>
      <c r="U3278" s="28"/>
    </row>
    <row r="3279" ht="15.75" customHeight="1">
      <c r="P3279" s="25"/>
      <c r="Q3279" s="25"/>
      <c r="R3279" s="25"/>
      <c r="S3279" s="25"/>
      <c r="T3279" s="141"/>
      <c r="U3279" s="28"/>
    </row>
    <row r="3280" ht="15.75" customHeight="1">
      <c r="P3280" s="25"/>
      <c r="Q3280" s="25"/>
      <c r="R3280" s="25"/>
      <c r="S3280" s="25"/>
      <c r="T3280" s="141"/>
      <c r="U3280" s="28"/>
    </row>
    <row r="3281" ht="15.75" customHeight="1">
      <c r="P3281" s="25"/>
      <c r="Q3281" s="25"/>
      <c r="R3281" s="25"/>
      <c r="S3281" s="25"/>
      <c r="T3281" s="141"/>
      <c r="U3281" s="28"/>
    </row>
    <row r="3282" ht="15.75" customHeight="1">
      <c r="P3282" s="25"/>
      <c r="Q3282" s="25"/>
      <c r="R3282" s="25"/>
      <c r="S3282" s="25"/>
      <c r="T3282" s="141"/>
      <c r="U3282" s="28"/>
    </row>
    <row r="3283" ht="15.75" customHeight="1">
      <c r="P3283" s="25"/>
      <c r="Q3283" s="25"/>
      <c r="R3283" s="25"/>
      <c r="S3283" s="25"/>
      <c r="T3283" s="141"/>
      <c r="U3283" s="28"/>
    </row>
    <row r="3284" ht="15.75" customHeight="1">
      <c r="P3284" s="25"/>
      <c r="Q3284" s="25"/>
      <c r="R3284" s="25"/>
      <c r="S3284" s="25"/>
      <c r="T3284" s="141"/>
      <c r="U3284" s="28"/>
    </row>
    <row r="3285" ht="15.75" customHeight="1">
      <c r="P3285" s="25"/>
      <c r="Q3285" s="25"/>
      <c r="R3285" s="25"/>
      <c r="S3285" s="25"/>
      <c r="T3285" s="141"/>
      <c r="U3285" s="28"/>
    </row>
    <row r="3286" ht="15.75" customHeight="1">
      <c r="P3286" s="25"/>
      <c r="Q3286" s="25"/>
      <c r="R3286" s="25"/>
      <c r="S3286" s="25"/>
      <c r="T3286" s="141"/>
      <c r="U3286" s="28"/>
    </row>
    <row r="3287" ht="15.75" customHeight="1">
      <c r="P3287" s="25"/>
      <c r="Q3287" s="25"/>
      <c r="R3287" s="25"/>
      <c r="S3287" s="25"/>
      <c r="T3287" s="141"/>
      <c r="U3287" s="28"/>
    </row>
    <row r="3288" ht="15.75" customHeight="1">
      <c r="P3288" s="25"/>
      <c r="Q3288" s="25"/>
      <c r="R3288" s="25"/>
      <c r="S3288" s="25"/>
      <c r="T3288" s="141"/>
      <c r="U3288" s="28"/>
    </row>
    <row r="3289" ht="15.75" customHeight="1">
      <c r="P3289" s="25"/>
      <c r="Q3289" s="25"/>
      <c r="R3289" s="25"/>
      <c r="S3289" s="25"/>
      <c r="T3289" s="141"/>
      <c r="U3289" s="28"/>
    </row>
    <row r="3290" ht="15.75" customHeight="1">
      <c r="P3290" s="25"/>
      <c r="Q3290" s="25"/>
      <c r="R3290" s="25"/>
      <c r="S3290" s="25"/>
      <c r="T3290" s="141"/>
      <c r="U3290" s="28"/>
    </row>
    <row r="3291" ht="15.75" customHeight="1">
      <c r="P3291" s="25"/>
      <c r="Q3291" s="25"/>
      <c r="R3291" s="25"/>
      <c r="S3291" s="25"/>
      <c r="T3291" s="141"/>
      <c r="U3291" s="28"/>
    </row>
    <row r="3292" ht="15.75" customHeight="1">
      <c r="P3292" s="25"/>
      <c r="Q3292" s="25"/>
      <c r="R3292" s="25"/>
      <c r="S3292" s="25"/>
      <c r="T3292" s="141"/>
      <c r="U3292" s="28"/>
    </row>
    <row r="3293" ht="15.75" customHeight="1">
      <c r="P3293" s="25"/>
      <c r="Q3293" s="25"/>
      <c r="R3293" s="25"/>
      <c r="S3293" s="25"/>
      <c r="T3293" s="141"/>
      <c r="U3293" s="28"/>
    </row>
    <row r="3294" ht="15.75" customHeight="1">
      <c r="P3294" s="25"/>
      <c r="Q3294" s="25"/>
      <c r="R3294" s="25"/>
      <c r="S3294" s="25"/>
      <c r="T3294" s="141"/>
      <c r="U3294" s="28"/>
    </row>
    <row r="3295" ht="15.75" customHeight="1">
      <c r="P3295" s="25"/>
      <c r="Q3295" s="25"/>
      <c r="R3295" s="25"/>
      <c r="S3295" s="25"/>
      <c r="T3295" s="141"/>
      <c r="U3295" s="28"/>
    </row>
    <row r="3296" ht="15.75" customHeight="1">
      <c r="P3296" s="25"/>
      <c r="Q3296" s="25"/>
      <c r="R3296" s="25"/>
      <c r="S3296" s="25"/>
      <c r="T3296" s="141"/>
      <c r="U3296" s="28"/>
    </row>
    <row r="3297" ht="15.75" customHeight="1">
      <c r="P3297" s="25"/>
      <c r="Q3297" s="25"/>
      <c r="R3297" s="25"/>
      <c r="S3297" s="25"/>
      <c r="T3297" s="141"/>
      <c r="U3297" s="28"/>
    </row>
    <row r="3298" ht="15.75" customHeight="1">
      <c r="P3298" s="25"/>
      <c r="Q3298" s="25"/>
      <c r="R3298" s="25"/>
      <c r="S3298" s="25"/>
      <c r="T3298" s="141"/>
      <c r="U3298" s="28"/>
    </row>
    <row r="3299" ht="15.75" customHeight="1">
      <c r="P3299" s="25"/>
      <c r="Q3299" s="25"/>
      <c r="R3299" s="25"/>
      <c r="S3299" s="25"/>
      <c r="T3299" s="141"/>
      <c r="U3299" s="28"/>
    </row>
    <row r="3300" ht="15.75" customHeight="1">
      <c r="P3300" s="25"/>
      <c r="Q3300" s="25"/>
      <c r="R3300" s="25"/>
      <c r="S3300" s="25"/>
      <c r="T3300" s="141"/>
      <c r="U3300" s="28"/>
    </row>
    <row r="3301" ht="15.75" customHeight="1">
      <c r="P3301" s="25"/>
      <c r="Q3301" s="25"/>
      <c r="R3301" s="25"/>
      <c r="S3301" s="25"/>
      <c r="T3301" s="141"/>
      <c r="U3301" s="28"/>
    </row>
    <row r="3302" ht="15.75" customHeight="1">
      <c r="P3302" s="25"/>
      <c r="Q3302" s="25"/>
      <c r="R3302" s="25"/>
      <c r="S3302" s="25"/>
      <c r="T3302" s="141"/>
      <c r="U3302" s="28"/>
    </row>
    <row r="3303" ht="15.75" customHeight="1">
      <c r="P3303" s="25"/>
      <c r="Q3303" s="25"/>
      <c r="R3303" s="25"/>
      <c r="S3303" s="25"/>
      <c r="T3303" s="141"/>
      <c r="U3303" s="28"/>
    </row>
    <row r="3304" ht="15.75" customHeight="1">
      <c r="P3304" s="25"/>
      <c r="Q3304" s="25"/>
      <c r="R3304" s="25"/>
      <c r="S3304" s="25"/>
      <c r="T3304" s="141"/>
      <c r="U3304" s="28"/>
    </row>
    <row r="3305" ht="15.75" customHeight="1">
      <c r="P3305" s="25"/>
      <c r="Q3305" s="25"/>
      <c r="R3305" s="25"/>
      <c r="S3305" s="25"/>
      <c r="T3305" s="141"/>
      <c r="U3305" s="28"/>
    </row>
    <row r="3306" ht="15.75" customHeight="1">
      <c r="P3306" s="25"/>
      <c r="Q3306" s="25"/>
      <c r="R3306" s="25"/>
      <c r="S3306" s="25"/>
      <c r="T3306" s="141"/>
      <c r="U3306" s="28"/>
    </row>
    <row r="3307" ht="15.75" customHeight="1">
      <c r="P3307" s="25"/>
      <c r="Q3307" s="25"/>
      <c r="R3307" s="25"/>
      <c r="S3307" s="25"/>
      <c r="T3307" s="141"/>
      <c r="U3307" s="28"/>
    </row>
    <row r="3308" ht="15.75" customHeight="1">
      <c r="P3308" s="25"/>
      <c r="Q3308" s="25"/>
      <c r="R3308" s="25"/>
      <c r="S3308" s="25"/>
      <c r="T3308" s="141"/>
      <c r="U3308" s="28"/>
    </row>
    <row r="3309" ht="15.75" customHeight="1">
      <c r="P3309" s="25"/>
      <c r="Q3309" s="25"/>
      <c r="R3309" s="25"/>
      <c r="S3309" s="25"/>
      <c r="T3309" s="141"/>
      <c r="U3309" s="28"/>
    </row>
    <row r="3310" ht="15.75" customHeight="1">
      <c r="P3310" s="25"/>
      <c r="Q3310" s="25"/>
      <c r="R3310" s="25"/>
      <c r="S3310" s="25"/>
      <c r="T3310" s="141"/>
      <c r="U3310" s="28"/>
    </row>
    <row r="3311" ht="15.75" customHeight="1">
      <c r="P3311" s="25"/>
      <c r="Q3311" s="25"/>
      <c r="R3311" s="25"/>
      <c r="S3311" s="25"/>
      <c r="T3311" s="141"/>
      <c r="U3311" s="28"/>
    </row>
    <row r="3312" ht="15.75" customHeight="1">
      <c r="P3312" s="25"/>
      <c r="Q3312" s="25"/>
      <c r="R3312" s="25"/>
      <c r="S3312" s="25"/>
      <c r="T3312" s="141"/>
      <c r="U3312" s="28"/>
    </row>
    <row r="3313" ht="15.75" customHeight="1">
      <c r="P3313" s="25"/>
      <c r="Q3313" s="25"/>
      <c r="R3313" s="25"/>
      <c r="S3313" s="25"/>
      <c r="T3313" s="141"/>
      <c r="U3313" s="28"/>
    </row>
    <row r="3314" ht="15.75" customHeight="1">
      <c r="P3314" s="25"/>
      <c r="Q3314" s="25"/>
      <c r="R3314" s="25"/>
      <c r="S3314" s="25"/>
      <c r="T3314" s="141"/>
      <c r="U3314" s="28"/>
    </row>
    <row r="3315" ht="15.75" customHeight="1">
      <c r="P3315" s="25"/>
      <c r="Q3315" s="25"/>
      <c r="R3315" s="25"/>
      <c r="S3315" s="25"/>
      <c r="T3315" s="141"/>
      <c r="U3315" s="28"/>
    </row>
    <row r="3316" ht="15.75" customHeight="1">
      <c r="P3316" s="25"/>
      <c r="Q3316" s="25"/>
      <c r="R3316" s="25"/>
      <c r="S3316" s="25"/>
      <c r="T3316" s="141"/>
      <c r="U3316" s="28"/>
    </row>
    <row r="3317" ht="15.75" customHeight="1">
      <c r="P3317" s="25"/>
      <c r="Q3317" s="25"/>
      <c r="R3317" s="25"/>
      <c r="S3317" s="25"/>
      <c r="T3317" s="141"/>
      <c r="U3317" s="28"/>
    </row>
    <row r="3318" ht="15.75" customHeight="1">
      <c r="P3318" s="25"/>
      <c r="Q3318" s="25"/>
      <c r="R3318" s="25"/>
      <c r="S3318" s="25"/>
      <c r="T3318" s="141"/>
      <c r="U3318" s="28"/>
    </row>
    <row r="3319" ht="15.75" customHeight="1">
      <c r="P3319" s="25"/>
      <c r="Q3319" s="25"/>
      <c r="R3319" s="25"/>
      <c r="S3319" s="25"/>
      <c r="T3319" s="141"/>
      <c r="U3319" s="28"/>
    </row>
    <row r="3320" ht="15.75" customHeight="1">
      <c r="P3320" s="25"/>
      <c r="Q3320" s="25"/>
      <c r="R3320" s="25"/>
      <c r="S3320" s="25"/>
      <c r="T3320" s="141"/>
      <c r="U3320" s="28"/>
    </row>
    <row r="3321" ht="15.75" customHeight="1">
      <c r="P3321" s="25"/>
      <c r="Q3321" s="25"/>
      <c r="R3321" s="25"/>
      <c r="S3321" s="25"/>
      <c r="T3321" s="141"/>
      <c r="U3321" s="28"/>
    </row>
    <row r="3322" ht="15.75" customHeight="1">
      <c r="P3322" s="25"/>
      <c r="Q3322" s="25"/>
      <c r="R3322" s="25"/>
      <c r="S3322" s="25"/>
      <c r="T3322" s="141"/>
      <c r="U3322" s="28"/>
    </row>
    <row r="3323" ht="15.75" customHeight="1">
      <c r="P3323" s="25"/>
      <c r="Q3323" s="25"/>
      <c r="R3323" s="25"/>
      <c r="S3323" s="25"/>
      <c r="T3323" s="141"/>
      <c r="U3323" s="28"/>
    </row>
    <row r="3324" ht="15.75" customHeight="1">
      <c r="P3324" s="25"/>
      <c r="Q3324" s="25"/>
      <c r="R3324" s="25"/>
      <c r="S3324" s="25"/>
      <c r="T3324" s="141"/>
      <c r="U3324" s="28"/>
    </row>
    <row r="3325" ht="15.75" customHeight="1">
      <c r="P3325" s="25"/>
      <c r="Q3325" s="25"/>
      <c r="R3325" s="25"/>
      <c r="S3325" s="25"/>
      <c r="T3325" s="141"/>
      <c r="U3325" s="28"/>
    </row>
    <row r="3326" ht="15.75" customHeight="1">
      <c r="P3326" s="25"/>
      <c r="Q3326" s="25"/>
      <c r="R3326" s="25"/>
      <c r="S3326" s="25"/>
      <c r="T3326" s="141"/>
      <c r="U3326" s="28"/>
    </row>
    <row r="3327" ht="15.75" customHeight="1">
      <c r="P3327" s="25"/>
      <c r="Q3327" s="25"/>
      <c r="R3327" s="25"/>
      <c r="S3327" s="25"/>
      <c r="T3327" s="141"/>
      <c r="U3327" s="28"/>
    </row>
    <row r="3328" ht="15.75" customHeight="1">
      <c r="P3328" s="25"/>
      <c r="Q3328" s="25"/>
      <c r="R3328" s="25"/>
      <c r="S3328" s="25"/>
      <c r="T3328" s="141"/>
      <c r="U3328" s="28"/>
    </row>
    <row r="3329" ht="15.75" customHeight="1">
      <c r="P3329" s="25"/>
      <c r="Q3329" s="25"/>
      <c r="R3329" s="25"/>
      <c r="S3329" s="25"/>
      <c r="T3329" s="141"/>
      <c r="U3329" s="28"/>
    </row>
    <row r="3330" ht="15.75" customHeight="1">
      <c r="P3330" s="25"/>
      <c r="Q3330" s="25"/>
      <c r="R3330" s="25"/>
      <c r="S3330" s="25"/>
      <c r="T3330" s="141"/>
      <c r="U3330" s="28"/>
    </row>
    <row r="3331" ht="15.75" customHeight="1">
      <c r="P3331" s="25"/>
      <c r="Q3331" s="25"/>
      <c r="R3331" s="25"/>
      <c r="S3331" s="25"/>
      <c r="T3331" s="141"/>
      <c r="U3331" s="28"/>
    </row>
    <row r="3332" ht="15.75" customHeight="1">
      <c r="P3332" s="25"/>
      <c r="Q3332" s="25"/>
      <c r="R3332" s="25"/>
      <c r="S3332" s="25"/>
      <c r="T3332" s="141"/>
      <c r="U3332" s="28"/>
    </row>
    <row r="3333" ht="15.75" customHeight="1">
      <c r="P3333" s="25"/>
      <c r="Q3333" s="25"/>
      <c r="R3333" s="25"/>
      <c r="S3333" s="25"/>
      <c r="T3333" s="141"/>
      <c r="U3333" s="28"/>
    </row>
    <row r="3334" ht="15.75" customHeight="1">
      <c r="P3334" s="25"/>
      <c r="Q3334" s="25"/>
      <c r="R3334" s="25"/>
      <c r="S3334" s="25"/>
      <c r="T3334" s="141"/>
      <c r="U3334" s="28"/>
    </row>
    <row r="3335" ht="15.75" customHeight="1">
      <c r="P3335" s="25"/>
      <c r="Q3335" s="25"/>
      <c r="R3335" s="25"/>
      <c r="S3335" s="25"/>
      <c r="T3335" s="141"/>
      <c r="U3335" s="28"/>
    </row>
    <row r="3336" ht="15.75" customHeight="1">
      <c r="P3336" s="25"/>
      <c r="Q3336" s="25"/>
      <c r="R3336" s="25"/>
      <c r="S3336" s="25"/>
      <c r="T3336" s="141"/>
      <c r="U3336" s="28"/>
    </row>
    <row r="3337" ht="15.75" customHeight="1">
      <c r="P3337" s="25"/>
      <c r="Q3337" s="25"/>
      <c r="R3337" s="25"/>
      <c r="S3337" s="25"/>
      <c r="T3337" s="141"/>
      <c r="U3337" s="28"/>
    </row>
    <row r="3338" ht="15.75" customHeight="1">
      <c r="P3338" s="25"/>
      <c r="Q3338" s="25"/>
      <c r="R3338" s="25"/>
      <c r="S3338" s="25"/>
      <c r="T3338" s="141"/>
      <c r="U3338" s="28"/>
    </row>
    <row r="3339" ht="15.75" customHeight="1">
      <c r="P3339" s="25"/>
      <c r="Q3339" s="25"/>
      <c r="R3339" s="25"/>
      <c r="S3339" s="25"/>
      <c r="T3339" s="141"/>
      <c r="U3339" s="28"/>
    </row>
    <row r="3340" ht="15.75" customHeight="1">
      <c r="P3340" s="25"/>
      <c r="Q3340" s="25"/>
      <c r="R3340" s="25"/>
      <c r="S3340" s="25"/>
      <c r="T3340" s="141"/>
      <c r="U3340" s="28"/>
    </row>
    <row r="3341" ht="15.75" customHeight="1">
      <c r="P3341" s="25"/>
      <c r="Q3341" s="25"/>
      <c r="R3341" s="25"/>
      <c r="S3341" s="25"/>
      <c r="T3341" s="141"/>
      <c r="U3341" s="28"/>
    </row>
    <row r="3342" ht="15.75" customHeight="1">
      <c r="P3342" s="25"/>
      <c r="Q3342" s="25"/>
      <c r="R3342" s="25"/>
      <c r="S3342" s="25"/>
      <c r="T3342" s="141"/>
      <c r="U3342" s="28"/>
    </row>
    <row r="3343" ht="15.75" customHeight="1">
      <c r="P3343" s="25"/>
      <c r="Q3343" s="25"/>
      <c r="R3343" s="25"/>
      <c r="S3343" s="25"/>
      <c r="T3343" s="141"/>
      <c r="U3343" s="28"/>
    </row>
    <row r="3344" ht="15.75" customHeight="1">
      <c r="P3344" s="25"/>
      <c r="Q3344" s="25"/>
      <c r="R3344" s="25"/>
      <c r="S3344" s="25"/>
      <c r="T3344" s="141"/>
      <c r="U3344" s="28"/>
    </row>
    <row r="3345" ht="15.75" customHeight="1">
      <c r="P3345" s="25"/>
      <c r="Q3345" s="25"/>
      <c r="R3345" s="25"/>
      <c r="S3345" s="25"/>
      <c r="T3345" s="141"/>
      <c r="U3345" s="28"/>
    </row>
    <row r="3346" ht="15.75" customHeight="1">
      <c r="P3346" s="25"/>
      <c r="Q3346" s="25"/>
      <c r="R3346" s="25"/>
      <c r="S3346" s="25"/>
      <c r="T3346" s="141"/>
      <c r="U3346" s="28"/>
    </row>
    <row r="3347" ht="15.75" customHeight="1">
      <c r="P3347" s="25"/>
      <c r="Q3347" s="25"/>
      <c r="R3347" s="25"/>
      <c r="S3347" s="25"/>
      <c r="T3347" s="141"/>
      <c r="U3347" s="28"/>
    </row>
    <row r="3348" ht="15.75" customHeight="1">
      <c r="P3348" s="25"/>
      <c r="Q3348" s="25"/>
      <c r="R3348" s="25"/>
      <c r="S3348" s="25"/>
      <c r="T3348" s="141"/>
      <c r="U3348" s="28"/>
    </row>
    <row r="3349" ht="15.75" customHeight="1">
      <c r="P3349" s="25"/>
      <c r="Q3349" s="25"/>
      <c r="R3349" s="25"/>
      <c r="S3349" s="25"/>
      <c r="T3349" s="141"/>
      <c r="U3349" s="28"/>
    </row>
    <row r="3350" ht="15.75" customHeight="1">
      <c r="P3350" s="25"/>
      <c r="Q3350" s="25"/>
      <c r="R3350" s="25"/>
      <c r="S3350" s="25"/>
      <c r="T3350" s="141"/>
      <c r="U3350" s="28"/>
    </row>
    <row r="3351" ht="15.75" customHeight="1">
      <c r="P3351" s="25"/>
      <c r="Q3351" s="25"/>
      <c r="R3351" s="25"/>
      <c r="S3351" s="25"/>
      <c r="T3351" s="141"/>
      <c r="U3351" s="28"/>
    </row>
    <row r="3352" ht="15.75" customHeight="1">
      <c r="P3352" s="25"/>
      <c r="Q3352" s="25"/>
      <c r="R3352" s="25"/>
      <c r="S3352" s="25"/>
      <c r="T3352" s="141"/>
      <c r="U3352" s="28"/>
    </row>
    <row r="3353" ht="15.75" customHeight="1">
      <c r="P3353" s="25"/>
      <c r="Q3353" s="25"/>
      <c r="R3353" s="25"/>
      <c r="S3353" s="25"/>
      <c r="T3353" s="141"/>
      <c r="U3353" s="28"/>
    </row>
    <row r="3354" ht="15.75" customHeight="1">
      <c r="P3354" s="25"/>
      <c r="Q3354" s="25"/>
      <c r="R3354" s="25"/>
      <c r="S3354" s="25"/>
      <c r="T3354" s="141"/>
      <c r="U3354" s="28"/>
    </row>
    <row r="3355" ht="15.75" customHeight="1">
      <c r="P3355" s="25"/>
      <c r="Q3355" s="25"/>
      <c r="R3355" s="25"/>
      <c r="S3355" s="25"/>
      <c r="T3355" s="141"/>
      <c r="U3355" s="28"/>
    </row>
    <row r="3356" ht="15.75" customHeight="1">
      <c r="P3356" s="25"/>
      <c r="Q3356" s="25"/>
      <c r="R3356" s="25"/>
      <c r="S3356" s="25"/>
      <c r="T3356" s="141"/>
      <c r="U3356" s="28"/>
    </row>
    <row r="3357" ht="15.75" customHeight="1">
      <c r="P3357" s="25"/>
      <c r="Q3357" s="25"/>
      <c r="R3357" s="25"/>
      <c r="S3357" s="25"/>
      <c r="T3357" s="141"/>
      <c r="U3357" s="28"/>
    </row>
    <row r="3358" ht="15.75" customHeight="1">
      <c r="P3358" s="25"/>
      <c r="Q3358" s="25"/>
      <c r="R3358" s="25"/>
      <c r="S3358" s="25"/>
      <c r="T3358" s="141"/>
      <c r="U3358" s="28"/>
    </row>
    <row r="3359" ht="15.75" customHeight="1">
      <c r="P3359" s="25"/>
      <c r="Q3359" s="25"/>
      <c r="R3359" s="25"/>
      <c r="S3359" s="25"/>
      <c r="T3359" s="141"/>
      <c r="U3359" s="28"/>
    </row>
    <row r="3360" ht="15.75" customHeight="1">
      <c r="P3360" s="25"/>
      <c r="Q3360" s="25"/>
      <c r="R3360" s="25"/>
      <c r="S3360" s="25"/>
      <c r="T3360" s="141"/>
      <c r="U3360" s="28"/>
    </row>
    <row r="3361" ht="15.75" customHeight="1">
      <c r="P3361" s="25"/>
      <c r="Q3361" s="25"/>
      <c r="R3361" s="25"/>
      <c r="S3361" s="25"/>
      <c r="T3361" s="141"/>
      <c r="U3361" s="28"/>
    </row>
    <row r="3362" ht="15.75" customHeight="1">
      <c r="P3362" s="25"/>
      <c r="Q3362" s="25"/>
      <c r="R3362" s="25"/>
      <c r="S3362" s="25"/>
      <c r="T3362" s="141"/>
      <c r="U3362" s="28"/>
    </row>
    <row r="3363" ht="15.75" customHeight="1">
      <c r="P3363" s="25"/>
      <c r="Q3363" s="25"/>
      <c r="R3363" s="25"/>
      <c r="S3363" s="25"/>
      <c r="T3363" s="141"/>
      <c r="U3363" s="28"/>
    </row>
    <row r="3364" ht="15.75" customHeight="1">
      <c r="P3364" s="25"/>
      <c r="Q3364" s="25"/>
      <c r="R3364" s="25"/>
      <c r="S3364" s="25"/>
      <c r="T3364" s="141"/>
      <c r="U3364" s="28"/>
    </row>
    <row r="3365" ht="15.75" customHeight="1">
      <c r="P3365" s="25"/>
      <c r="Q3365" s="25"/>
      <c r="R3365" s="25"/>
      <c r="S3365" s="25"/>
      <c r="T3365" s="141"/>
      <c r="U3365" s="28"/>
    </row>
    <row r="3366" ht="15.75" customHeight="1">
      <c r="P3366" s="25"/>
      <c r="Q3366" s="25"/>
      <c r="R3366" s="25"/>
      <c r="S3366" s="25"/>
      <c r="T3366" s="141"/>
      <c r="U3366" s="28"/>
    </row>
    <row r="3367" ht="15.75" customHeight="1">
      <c r="P3367" s="25"/>
      <c r="Q3367" s="25"/>
      <c r="R3367" s="25"/>
      <c r="S3367" s="25"/>
      <c r="T3367" s="141"/>
      <c r="U3367" s="28"/>
    </row>
    <row r="3368" ht="15.75" customHeight="1">
      <c r="P3368" s="25"/>
      <c r="Q3368" s="25"/>
      <c r="R3368" s="25"/>
      <c r="S3368" s="25"/>
      <c r="T3368" s="141"/>
      <c r="U3368" s="28"/>
    </row>
    <row r="3369" ht="15.75" customHeight="1">
      <c r="P3369" s="25"/>
      <c r="Q3369" s="25"/>
      <c r="R3369" s="25"/>
      <c r="S3369" s="25"/>
      <c r="T3369" s="141"/>
      <c r="U3369" s="28"/>
    </row>
    <row r="3370" ht="15.75" customHeight="1">
      <c r="P3370" s="25"/>
      <c r="Q3370" s="25"/>
      <c r="R3370" s="25"/>
      <c r="S3370" s="25"/>
      <c r="T3370" s="141"/>
      <c r="U3370" s="28"/>
    </row>
    <row r="3371" ht="15.75" customHeight="1">
      <c r="P3371" s="25"/>
      <c r="Q3371" s="25"/>
      <c r="R3371" s="25"/>
      <c r="S3371" s="25"/>
      <c r="T3371" s="141"/>
      <c r="U3371" s="28"/>
    </row>
    <row r="3372" ht="15.75" customHeight="1">
      <c r="P3372" s="25"/>
      <c r="Q3372" s="25"/>
      <c r="R3372" s="25"/>
      <c r="S3372" s="25"/>
      <c r="T3372" s="141"/>
      <c r="U3372" s="28"/>
    </row>
    <row r="3373" ht="15.75" customHeight="1">
      <c r="P3373" s="25"/>
      <c r="Q3373" s="25"/>
      <c r="R3373" s="25"/>
      <c r="S3373" s="25"/>
      <c r="T3373" s="141"/>
      <c r="U3373" s="28"/>
    </row>
    <row r="3374" ht="15.75" customHeight="1">
      <c r="P3374" s="25"/>
      <c r="Q3374" s="25"/>
      <c r="R3374" s="25"/>
      <c r="S3374" s="25"/>
      <c r="T3374" s="141"/>
      <c r="U3374" s="28"/>
    </row>
    <row r="3375" ht="15.75" customHeight="1">
      <c r="P3375" s="25"/>
      <c r="Q3375" s="25"/>
      <c r="R3375" s="25"/>
      <c r="S3375" s="25"/>
      <c r="T3375" s="141"/>
      <c r="U3375" s="28"/>
    </row>
    <row r="3376" ht="15.75" customHeight="1">
      <c r="P3376" s="25"/>
      <c r="Q3376" s="25"/>
      <c r="R3376" s="25"/>
      <c r="S3376" s="25"/>
      <c r="T3376" s="141"/>
      <c r="U3376" s="28"/>
    </row>
    <row r="3377" ht="15.75" customHeight="1">
      <c r="P3377" s="25"/>
      <c r="Q3377" s="25"/>
      <c r="R3377" s="25"/>
      <c r="S3377" s="25"/>
      <c r="T3377" s="141"/>
      <c r="U3377" s="28"/>
    </row>
    <row r="3378" ht="15.75" customHeight="1">
      <c r="P3378" s="25"/>
      <c r="Q3378" s="25"/>
      <c r="R3378" s="25"/>
      <c r="S3378" s="25"/>
      <c r="T3378" s="141"/>
      <c r="U3378" s="28"/>
    </row>
    <row r="3379" ht="15.75" customHeight="1">
      <c r="P3379" s="25"/>
      <c r="Q3379" s="25"/>
      <c r="R3379" s="25"/>
      <c r="S3379" s="25"/>
      <c r="T3379" s="141"/>
      <c r="U3379" s="28"/>
    </row>
    <row r="3380" ht="15.75" customHeight="1">
      <c r="P3380" s="25"/>
      <c r="Q3380" s="25"/>
      <c r="R3380" s="25"/>
      <c r="S3380" s="25"/>
      <c r="T3380" s="141"/>
      <c r="U3380" s="28"/>
    </row>
    <row r="3381" ht="15.75" customHeight="1">
      <c r="P3381" s="25"/>
      <c r="Q3381" s="25"/>
      <c r="R3381" s="25"/>
      <c r="S3381" s="25"/>
      <c r="T3381" s="141"/>
      <c r="U3381" s="28"/>
    </row>
    <row r="3382" ht="15.75" customHeight="1">
      <c r="P3382" s="25"/>
      <c r="Q3382" s="25"/>
      <c r="R3382" s="25"/>
      <c r="S3382" s="25"/>
      <c r="T3382" s="141"/>
      <c r="U3382" s="28"/>
    </row>
    <row r="3383" ht="15.75" customHeight="1">
      <c r="P3383" s="25"/>
      <c r="Q3383" s="25"/>
      <c r="R3383" s="25"/>
      <c r="S3383" s="25"/>
      <c r="T3383" s="141"/>
      <c r="U3383" s="28"/>
    </row>
    <row r="3384" ht="15.75" customHeight="1">
      <c r="P3384" s="25"/>
      <c r="Q3384" s="25"/>
      <c r="R3384" s="25"/>
      <c r="S3384" s="25"/>
      <c r="T3384" s="141"/>
      <c r="U3384" s="28"/>
    </row>
    <row r="3385" ht="15.75" customHeight="1">
      <c r="P3385" s="25"/>
      <c r="Q3385" s="25"/>
      <c r="R3385" s="25"/>
      <c r="S3385" s="25"/>
      <c r="T3385" s="141"/>
      <c r="U3385" s="28"/>
    </row>
    <row r="3386" ht="15.75" customHeight="1">
      <c r="P3386" s="25"/>
      <c r="Q3386" s="25"/>
      <c r="R3386" s="25"/>
      <c r="S3386" s="25"/>
      <c r="T3386" s="141"/>
      <c r="U3386" s="28"/>
    </row>
    <row r="3387" ht="15.75" customHeight="1">
      <c r="P3387" s="25"/>
      <c r="Q3387" s="25"/>
      <c r="R3387" s="25"/>
      <c r="S3387" s="25"/>
      <c r="T3387" s="141"/>
      <c r="U3387" s="28"/>
    </row>
    <row r="3388" ht="15.75" customHeight="1">
      <c r="P3388" s="25"/>
      <c r="Q3388" s="25"/>
      <c r="R3388" s="25"/>
      <c r="S3388" s="25"/>
      <c r="T3388" s="141"/>
      <c r="U3388" s="28"/>
    </row>
    <row r="3389" ht="15.75" customHeight="1">
      <c r="P3389" s="25"/>
      <c r="Q3389" s="25"/>
      <c r="R3389" s="25"/>
      <c r="S3389" s="25"/>
      <c r="T3389" s="141"/>
      <c r="U3389" s="28"/>
    </row>
    <row r="3390" ht="15.75" customHeight="1">
      <c r="P3390" s="25"/>
      <c r="Q3390" s="25"/>
      <c r="R3390" s="25"/>
      <c r="S3390" s="25"/>
      <c r="T3390" s="141"/>
      <c r="U3390" s="28"/>
    </row>
    <row r="3391" ht="15.75" customHeight="1">
      <c r="P3391" s="25"/>
      <c r="Q3391" s="25"/>
      <c r="R3391" s="25"/>
      <c r="S3391" s="25"/>
      <c r="T3391" s="141"/>
      <c r="U3391" s="28"/>
    </row>
    <row r="3392" ht="15.75" customHeight="1">
      <c r="P3392" s="25"/>
      <c r="Q3392" s="25"/>
      <c r="R3392" s="25"/>
      <c r="S3392" s="25"/>
      <c r="T3392" s="141"/>
      <c r="U3392" s="28"/>
    </row>
    <row r="3393" ht="15.75" customHeight="1">
      <c r="P3393" s="25"/>
      <c r="Q3393" s="25"/>
      <c r="R3393" s="25"/>
      <c r="S3393" s="25"/>
      <c r="T3393" s="141"/>
      <c r="U3393" s="28"/>
    </row>
    <row r="3394" ht="15.75" customHeight="1">
      <c r="P3394" s="25"/>
      <c r="Q3394" s="25"/>
      <c r="R3394" s="25"/>
      <c r="S3394" s="25"/>
      <c r="T3394" s="141"/>
      <c r="U3394" s="28"/>
    </row>
    <row r="3395" ht="15.75" customHeight="1">
      <c r="P3395" s="25"/>
      <c r="Q3395" s="25"/>
      <c r="R3395" s="25"/>
      <c r="S3395" s="25"/>
      <c r="T3395" s="141"/>
      <c r="U3395" s="28"/>
    </row>
    <row r="3396" ht="15.75" customHeight="1">
      <c r="P3396" s="25"/>
      <c r="Q3396" s="25"/>
      <c r="R3396" s="25"/>
      <c r="S3396" s="25"/>
      <c r="T3396" s="141"/>
      <c r="U3396" s="28"/>
    </row>
    <row r="3397" ht="15.75" customHeight="1">
      <c r="P3397" s="25"/>
      <c r="Q3397" s="25"/>
      <c r="R3397" s="25"/>
      <c r="S3397" s="25"/>
      <c r="T3397" s="141"/>
      <c r="U3397" s="28"/>
    </row>
    <row r="3398" ht="15.75" customHeight="1">
      <c r="P3398" s="25"/>
      <c r="Q3398" s="25"/>
      <c r="R3398" s="25"/>
      <c r="S3398" s="25"/>
      <c r="T3398" s="141"/>
      <c r="U3398" s="28"/>
    </row>
    <row r="3399" ht="15.75" customHeight="1">
      <c r="P3399" s="25"/>
      <c r="Q3399" s="25"/>
      <c r="R3399" s="25"/>
      <c r="S3399" s="25"/>
      <c r="T3399" s="141"/>
      <c r="U3399" s="28"/>
    </row>
    <row r="3400" ht="15.75" customHeight="1">
      <c r="P3400" s="25"/>
      <c r="Q3400" s="25"/>
      <c r="R3400" s="25"/>
      <c r="S3400" s="25"/>
      <c r="T3400" s="141"/>
      <c r="U3400" s="28"/>
    </row>
    <row r="3401" ht="15.75" customHeight="1">
      <c r="P3401" s="25"/>
      <c r="Q3401" s="25"/>
      <c r="R3401" s="25"/>
      <c r="S3401" s="25"/>
      <c r="T3401" s="141"/>
      <c r="U3401" s="28"/>
    </row>
    <row r="3402" ht="15.75" customHeight="1">
      <c r="P3402" s="25"/>
      <c r="Q3402" s="25"/>
      <c r="R3402" s="25"/>
      <c r="S3402" s="25"/>
      <c r="T3402" s="141"/>
      <c r="U3402" s="28"/>
    </row>
    <row r="3403" ht="15.75" customHeight="1">
      <c r="P3403" s="25"/>
      <c r="Q3403" s="25"/>
      <c r="R3403" s="25"/>
      <c r="S3403" s="25"/>
      <c r="T3403" s="141"/>
      <c r="U3403" s="28"/>
    </row>
    <row r="3404" ht="15.75" customHeight="1">
      <c r="P3404" s="25"/>
      <c r="Q3404" s="25"/>
      <c r="R3404" s="25"/>
      <c r="S3404" s="25"/>
      <c r="T3404" s="141"/>
      <c r="U3404" s="28"/>
    </row>
    <row r="3405" ht="15.75" customHeight="1">
      <c r="P3405" s="25"/>
      <c r="Q3405" s="25"/>
      <c r="R3405" s="25"/>
      <c r="S3405" s="25"/>
      <c r="T3405" s="141"/>
      <c r="U3405" s="28"/>
    </row>
    <row r="3406" ht="15.75" customHeight="1">
      <c r="P3406" s="25"/>
      <c r="Q3406" s="25"/>
      <c r="R3406" s="25"/>
      <c r="S3406" s="25"/>
      <c r="T3406" s="141"/>
      <c r="U3406" s="28"/>
    </row>
    <row r="3407" ht="15.75" customHeight="1">
      <c r="P3407" s="25"/>
      <c r="Q3407" s="25"/>
      <c r="R3407" s="25"/>
      <c r="S3407" s="25"/>
      <c r="T3407" s="141"/>
      <c r="U3407" s="28"/>
    </row>
    <row r="3408" ht="15.75" customHeight="1">
      <c r="P3408" s="25"/>
      <c r="Q3408" s="25"/>
      <c r="R3408" s="25"/>
      <c r="S3408" s="25"/>
      <c r="T3408" s="141"/>
      <c r="U3408" s="28"/>
    </row>
    <row r="3409" ht="15.75" customHeight="1">
      <c r="P3409" s="25"/>
      <c r="Q3409" s="25"/>
      <c r="R3409" s="25"/>
      <c r="S3409" s="25"/>
      <c r="T3409" s="141"/>
      <c r="U3409" s="28"/>
    </row>
    <row r="3410" ht="15.75" customHeight="1">
      <c r="P3410" s="25"/>
      <c r="Q3410" s="25"/>
      <c r="R3410" s="25"/>
      <c r="S3410" s="25"/>
      <c r="T3410" s="141"/>
      <c r="U3410" s="28"/>
    </row>
    <row r="3411" ht="15.75" customHeight="1">
      <c r="P3411" s="25"/>
      <c r="Q3411" s="25"/>
      <c r="R3411" s="25"/>
      <c r="S3411" s="25"/>
      <c r="T3411" s="141"/>
      <c r="U3411" s="28"/>
    </row>
    <row r="3412" ht="15.75" customHeight="1">
      <c r="P3412" s="25"/>
      <c r="Q3412" s="25"/>
      <c r="R3412" s="25"/>
      <c r="S3412" s="25"/>
      <c r="T3412" s="141"/>
      <c r="U3412" s="28"/>
    </row>
    <row r="3413" ht="15.75" customHeight="1">
      <c r="P3413" s="25"/>
      <c r="Q3413" s="25"/>
      <c r="R3413" s="25"/>
      <c r="S3413" s="25"/>
      <c r="T3413" s="141"/>
      <c r="U3413" s="28"/>
    </row>
    <row r="3414" ht="15.75" customHeight="1">
      <c r="P3414" s="25"/>
      <c r="Q3414" s="25"/>
      <c r="R3414" s="25"/>
      <c r="S3414" s="25"/>
      <c r="T3414" s="141"/>
      <c r="U3414" s="28"/>
    </row>
    <row r="3415" ht="15.75" customHeight="1">
      <c r="P3415" s="25"/>
      <c r="Q3415" s="25"/>
      <c r="R3415" s="25"/>
      <c r="S3415" s="25"/>
      <c r="T3415" s="141"/>
      <c r="U3415" s="28"/>
    </row>
    <row r="3416" ht="15.75" customHeight="1">
      <c r="P3416" s="25"/>
      <c r="Q3416" s="25"/>
      <c r="R3416" s="25"/>
      <c r="S3416" s="25"/>
      <c r="T3416" s="141"/>
      <c r="U3416" s="28"/>
    </row>
    <row r="3417" ht="15.75" customHeight="1">
      <c r="P3417" s="25"/>
      <c r="Q3417" s="25"/>
      <c r="R3417" s="25"/>
      <c r="S3417" s="25"/>
      <c r="T3417" s="141"/>
      <c r="U3417" s="28"/>
    </row>
    <row r="3418" ht="15.75" customHeight="1">
      <c r="P3418" s="25"/>
      <c r="Q3418" s="25"/>
      <c r="R3418" s="25"/>
      <c r="S3418" s="25"/>
      <c r="T3418" s="141"/>
      <c r="U3418" s="28"/>
    </row>
    <row r="3419" ht="15.75" customHeight="1">
      <c r="P3419" s="25"/>
      <c r="Q3419" s="25"/>
      <c r="R3419" s="25"/>
      <c r="S3419" s="25"/>
      <c r="T3419" s="141"/>
      <c r="U3419" s="28"/>
    </row>
    <row r="3420" ht="15.75" customHeight="1">
      <c r="P3420" s="25"/>
      <c r="Q3420" s="25"/>
      <c r="R3420" s="25"/>
      <c r="S3420" s="25"/>
      <c r="T3420" s="141"/>
      <c r="U3420" s="28"/>
    </row>
    <row r="3421" ht="15.75" customHeight="1">
      <c r="P3421" s="25"/>
      <c r="Q3421" s="25"/>
      <c r="R3421" s="25"/>
      <c r="S3421" s="25"/>
      <c r="T3421" s="141"/>
      <c r="U3421" s="28"/>
    </row>
    <row r="3422" ht="15.75" customHeight="1">
      <c r="P3422" s="25"/>
      <c r="Q3422" s="25"/>
      <c r="R3422" s="25"/>
      <c r="S3422" s="25"/>
      <c r="T3422" s="141"/>
      <c r="U3422" s="28"/>
    </row>
    <row r="3423" ht="15.75" customHeight="1">
      <c r="P3423" s="25"/>
      <c r="Q3423" s="25"/>
      <c r="R3423" s="25"/>
      <c r="S3423" s="25"/>
      <c r="T3423" s="141"/>
      <c r="U3423" s="28"/>
    </row>
    <row r="3424" ht="15.75" customHeight="1">
      <c r="P3424" s="25"/>
      <c r="Q3424" s="25"/>
      <c r="R3424" s="25"/>
      <c r="S3424" s="25"/>
      <c r="T3424" s="141"/>
      <c r="U3424" s="28"/>
    </row>
    <row r="3425" ht="15.75" customHeight="1">
      <c r="P3425" s="25"/>
      <c r="Q3425" s="25"/>
      <c r="R3425" s="25"/>
      <c r="S3425" s="25"/>
      <c r="T3425" s="141"/>
      <c r="U3425" s="28"/>
    </row>
    <row r="3426" ht="15.75" customHeight="1">
      <c r="P3426" s="25"/>
      <c r="Q3426" s="25"/>
      <c r="R3426" s="25"/>
      <c r="S3426" s="25"/>
      <c r="T3426" s="141"/>
      <c r="U3426" s="28"/>
    </row>
    <row r="3427" ht="15.75" customHeight="1">
      <c r="P3427" s="25"/>
      <c r="Q3427" s="25"/>
      <c r="R3427" s="25"/>
      <c r="S3427" s="25"/>
      <c r="T3427" s="141"/>
      <c r="U3427" s="28"/>
    </row>
    <row r="3428" ht="15.75" customHeight="1">
      <c r="P3428" s="25"/>
      <c r="Q3428" s="25"/>
      <c r="R3428" s="25"/>
      <c r="S3428" s="25"/>
      <c r="T3428" s="141"/>
      <c r="U3428" s="28"/>
    </row>
    <row r="3429" ht="15.75" customHeight="1">
      <c r="P3429" s="25"/>
      <c r="Q3429" s="25"/>
      <c r="R3429" s="25"/>
      <c r="S3429" s="25"/>
      <c r="T3429" s="141"/>
      <c r="U3429" s="28"/>
    </row>
    <row r="3430" ht="15.75" customHeight="1">
      <c r="P3430" s="25"/>
      <c r="Q3430" s="25"/>
      <c r="R3430" s="25"/>
      <c r="S3430" s="25"/>
      <c r="T3430" s="141"/>
      <c r="U3430" s="28"/>
    </row>
    <row r="3431" ht="15.75" customHeight="1">
      <c r="P3431" s="25"/>
      <c r="Q3431" s="25"/>
      <c r="R3431" s="25"/>
      <c r="S3431" s="25"/>
      <c r="T3431" s="141"/>
      <c r="U3431" s="28"/>
    </row>
    <row r="3432" ht="15.75" customHeight="1">
      <c r="P3432" s="25"/>
      <c r="Q3432" s="25"/>
      <c r="R3432" s="25"/>
      <c r="S3432" s="25"/>
      <c r="T3432" s="141"/>
      <c r="U3432" s="28"/>
    </row>
    <row r="3433" ht="15.75" customHeight="1">
      <c r="P3433" s="25"/>
      <c r="Q3433" s="25"/>
      <c r="R3433" s="25"/>
      <c r="S3433" s="25"/>
      <c r="T3433" s="141"/>
      <c r="U3433" s="28"/>
    </row>
    <row r="3434" ht="15.75" customHeight="1">
      <c r="P3434" s="25"/>
      <c r="Q3434" s="25"/>
      <c r="R3434" s="25"/>
      <c r="S3434" s="25"/>
      <c r="T3434" s="141"/>
      <c r="U3434" s="28"/>
    </row>
    <row r="3435" ht="15.75" customHeight="1">
      <c r="P3435" s="25"/>
      <c r="Q3435" s="25"/>
      <c r="R3435" s="25"/>
      <c r="S3435" s="25"/>
      <c r="T3435" s="141"/>
      <c r="U3435" s="28"/>
    </row>
    <row r="3436" ht="15.75" customHeight="1">
      <c r="P3436" s="25"/>
      <c r="Q3436" s="25"/>
      <c r="R3436" s="25"/>
      <c r="S3436" s="25"/>
      <c r="T3436" s="141"/>
      <c r="U3436" s="28"/>
    </row>
    <row r="3437" ht="15.75" customHeight="1">
      <c r="P3437" s="25"/>
      <c r="Q3437" s="25"/>
      <c r="R3437" s="25"/>
      <c r="S3437" s="25"/>
      <c r="T3437" s="141"/>
      <c r="U3437" s="28"/>
    </row>
    <row r="3438" ht="15.75" customHeight="1">
      <c r="P3438" s="25"/>
      <c r="Q3438" s="25"/>
      <c r="R3438" s="25"/>
      <c r="S3438" s="25"/>
      <c r="T3438" s="141"/>
      <c r="U3438" s="28"/>
    </row>
    <row r="3439" ht="15.75" customHeight="1">
      <c r="P3439" s="25"/>
      <c r="Q3439" s="25"/>
      <c r="R3439" s="25"/>
      <c r="S3439" s="25"/>
      <c r="T3439" s="141"/>
      <c r="U3439" s="28"/>
    </row>
    <row r="3440" ht="15.75" customHeight="1">
      <c r="P3440" s="25"/>
      <c r="Q3440" s="25"/>
      <c r="R3440" s="25"/>
      <c r="S3440" s="25"/>
      <c r="T3440" s="141"/>
      <c r="U3440" s="28"/>
    </row>
    <row r="3441" ht="15.75" customHeight="1">
      <c r="P3441" s="25"/>
      <c r="Q3441" s="25"/>
      <c r="R3441" s="25"/>
      <c r="S3441" s="25"/>
      <c r="T3441" s="141"/>
      <c r="U3441" s="28"/>
    </row>
    <row r="3442" ht="15.75" customHeight="1">
      <c r="P3442" s="25"/>
      <c r="Q3442" s="25"/>
      <c r="R3442" s="25"/>
      <c r="S3442" s="25"/>
      <c r="T3442" s="141"/>
      <c r="U3442" s="28"/>
    </row>
    <row r="3443" ht="15.75" customHeight="1">
      <c r="P3443" s="25"/>
      <c r="Q3443" s="25"/>
      <c r="R3443" s="25"/>
      <c r="S3443" s="25"/>
      <c r="T3443" s="141"/>
      <c r="U3443" s="28"/>
    </row>
    <row r="3444" ht="15.75" customHeight="1">
      <c r="P3444" s="25"/>
      <c r="Q3444" s="25"/>
      <c r="R3444" s="25"/>
      <c r="S3444" s="25"/>
      <c r="T3444" s="141"/>
      <c r="U3444" s="28"/>
    </row>
    <row r="3445" ht="15.75" customHeight="1">
      <c r="P3445" s="25"/>
      <c r="Q3445" s="25"/>
      <c r="R3445" s="25"/>
      <c r="S3445" s="25"/>
      <c r="T3445" s="141"/>
      <c r="U3445" s="28"/>
    </row>
    <row r="3446" ht="15.75" customHeight="1">
      <c r="P3446" s="25"/>
      <c r="Q3446" s="25"/>
      <c r="R3446" s="25"/>
      <c r="S3446" s="25"/>
      <c r="T3446" s="141"/>
      <c r="U3446" s="28"/>
    </row>
    <row r="3447" ht="15.75" customHeight="1">
      <c r="P3447" s="25"/>
      <c r="Q3447" s="25"/>
      <c r="R3447" s="25"/>
      <c r="S3447" s="25"/>
      <c r="T3447" s="141"/>
      <c r="U3447" s="28"/>
    </row>
    <row r="3448" ht="15.75" customHeight="1">
      <c r="P3448" s="25"/>
      <c r="Q3448" s="25"/>
      <c r="R3448" s="25"/>
      <c r="S3448" s="25"/>
      <c r="T3448" s="141"/>
      <c r="U3448" s="28"/>
    </row>
    <row r="3449" ht="15.75" customHeight="1">
      <c r="P3449" s="25"/>
      <c r="Q3449" s="25"/>
      <c r="R3449" s="25"/>
      <c r="S3449" s="25"/>
      <c r="T3449" s="141"/>
      <c r="U3449" s="28"/>
    </row>
    <row r="3450" ht="15.75" customHeight="1">
      <c r="P3450" s="25"/>
      <c r="Q3450" s="25"/>
      <c r="R3450" s="25"/>
      <c r="S3450" s="25"/>
      <c r="T3450" s="141"/>
      <c r="U3450" s="28"/>
    </row>
    <row r="3451" ht="15.75" customHeight="1">
      <c r="P3451" s="25"/>
      <c r="Q3451" s="25"/>
      <c r="R3451" s="25"/>
      <c r="S3451" s="25"/>
      <c r="T3451" s="141"/>
      <c r="U3451" s="28"/>
    </row>
    <row r="3452" ht="15.75" customHeight="1">
      <c r="P3452" s="25"/>
      <c r="Q3452" s="25"/>
      <c r="R3452" s="25"/>
      <c r="S3452" s="25"/>
      <c r="T3452" s="141"/>
      <c r="U3452" s="28"/>
    </row>
    <row r="3453" ht="15.75" customHeight="1">
      <c r="P3453" s="25"/>
      <c r="Q3453" s="25"/>
      <c r="R3453" s="25"/>
      <c r="S3453" s="25"/>
      <c r="T3453" s="141"/>
      <c r="U3453" s="28"/>
    </row>
    <row r="3454" ht="15.75" customHeight="1">
      <c r="P3454" s="25"/>
      <c r="Q3454" s="25"/>
      <c r="R3454" s="25"/>
      <c r="S3454" s="25"/>
      <c r="T3454" s="141"/>
      <c r="U3454" s="28"/>
    </row>
    <row r="3455" ht="15.75" customHeight="1">
      <c r="P3455" s="25"/>
      <c r="Q3455" s="25"/>
      <c r="R3455" s="25"/>
      <c r="S3455" s="25"/>
      <c r="T3455" s="141"/>
      <c r="U3455" s="28"/>
    </row>
    <row r="3456" ht="15.75" customHeight="1">
      <c r="P3456" s="25"/>
      <c r="Q3456" s="25"/>
      <c r="R3456" s="25"/>
      <c r="S3456" s="25"/>
      <c r="T3456" s="141"/>
      <c r="U3456" s="28"/>
    </row>
    <row r="3457" ht="15.75" customHeight="1">
      <c r="P3457" s="25"/>
      <c r="Q3457" s="25"/>
      <c r="R3457" s="25"/>
      <c r="S3457" s="25"/>
      <c r="T3457" s="141"/>
      <c r="U3457" s="28"/>
    </row>
    <row r="3458" ht="15.75" customHeight="1">
      <c r="P3458" s="25"/>
      <c r="Q3458" s="25"/>
      <c r="R3458" s="25"/>
      <c r="S3458" s="25"/>
      <c r="T3458" s="141"/>
      <c r="U3458" s="28"/>
    </row>
    <row r="3459" ht="15.75" customHeight="1">
      <c r="P3459" s="25"/>
      <c r="Q3459" s="25"/>
      <c r="R3459" s="25"/>
      <c r="S3459" s="25"/>
      <c r="T3459" s="141"/>
      <c r="U3459" s="28"/>
    </row>
    <row r="3460" ht="15.75" customHeight="1">
      <c r="P3460" s="25"/>
      <c r="Q3460" s="25"/>
      <c r="R3460" s="25"/>
      <c r="S3460" s="25"/>
      <c r="T3460" s="141"/>
      <c r="U3460" s="28"/>
    </row>
    <row r="3461" ht="15.75" customHeight="1">
      <c r="P3461" s="25"/>
      <c r="Q3461" s="25"/>
      <c r="R3461" s="25"/>
      <c r="S3461" s="25"/>
      <c r="T3461" s="141"/>
      <c r="U3461" s="28"/>
    </row>
    <row r="3462" ht="15.75" customHeight="1">
      <c r="P3462" s="25"/>
      <c r="Q3462" s="25"/>
      <c r="R3462" s="25"/>
      <c r="S3462" s="25"/>
      <c r="T3462" s="141"/>
      <c r="U3462" s="28"/>
    </row>
    <row r="3463" ht="15.75" customHeight="1">
      <c r="P3463" s="25"/>
      <c r="Q3463" s="25"/>
      <c r="R3463" s="25"/>
      <c r="S3463" s="25"/>
      <c r="T3463" s="141"/>
      <c r="U3463" s="28"/>
    </row>
    <row r="3464" ht="15.75" customHeight="1">
      <c r="P3464" s="25"/>
      <c r="Q3464" s="25"/>
      <c r="R3464" s="25"/>
      <c r="S3464" s="25"/>
      <c r="T3464" s="141"/>
      <c r="U3464" s="28"/>
    </row>
    <row r="3465" ht="15.75" customHeight="1">
      <c r="P3465" s="25"/>
      <c r="Q3465" s="25"/>
      <c r="R3465" s="25"/>
      <c r="S3465" s="25"/>
      <c r="T3465" s="141"/>
      <c r="U3465" s="28"/>
    </row>
    <row r="3466" ht="15.75" customHeight="1">
      <c r="P3466" s="25"/>
      <c r="Q3466" s="25"/>
      <c r="R3466" s="25"/>
      <c r="S3466" s="25"/>
      <c r="T3466" s="141"/>
      <c r="U3466" s="28"/>
    </row>
    <row r="3467" ht="15.75" customHeight="1">
      <c r="P3467" s="25"/>
      <c r="Q3467" s="25"/>
      <c r="R3467" s="25"/>
      <c r="S3467" s="25"/>
      <c r="T3467" s="141"/>
      <c r="U3467" s="28"/>
    </row>
    <row r="3468" ht="15.75" customHeight="1">
      <c r="P3468" s="25"/>
      <c r="Q3468" s="25"/>
      <c r="R3468" s="25"/>
      <c r="S3468" s="25"/>
      <c r="T3468" s="141"/>
      <c r="U3468" s="28"/>
    </row>
    <row r="3469" ht="15.75" customHeight="1">
      <c r="P3469" s="25"/>
      <c r="Q3469" s="25"/>
      <c r="R3469" s="25"/>
      <c r="S3469" s="25"/>
      <c r="T3469" s="141"/>
      <c r="U3469" s="28"/>
    </row>
    <row r="3470" ht="15.75" customHeight="1">
      <c r="P3470" s="25"/>
      <c r="Q3470" s="25"/>
      <c r="R3470" s="25"/>
      <c r="S3470" s="25"/>
      <c r="T3470" s="141"/>
      <c r="U3470" s="28"/>
    </row>
    <row r="3471" ht="15.75" customHeight="1">
      <c r="P3471" s="25"/>
      <c r="Q3471" s="25"/>
      <c r="R3471" s="25"/>
      <c r="S3471" s="25"/>
      <c r="T3471" s="141"/>
      <c r="U3471" s="28"/>
    </row>
    <row r="3472" ht="15.75" customHeight="1">
      <c r="P3472" s="25"/>
      <c r="Q3472" s="25"/>
      <c r="R3472" s="25"/>
      <c r="S3472" s="25"/>
      <c r="T3472" s="141"/>
      <c r="U3472" s="28"/>
    </row>
    <row r="3473" ht="15.75" customHeight="1">
      <c r="P3473" s="25"/>
      <c r="Q3473" s="25"/>
      <c r="R3473" s="25"/>
      <c r="S3473" s="25"/>
      <c r="T3473" s="141"/>
      <c r="U3473" s="28"/>
    </row>
    <row r="3474" ht="15.75" customHeight="1">
      <c r="P3474" s="25"/>
      <c r="Q3474" s="25"/>
      <c r="R3474" s="25"/>
      <c r="S3474" s="25"/>
      <c r="T3474" s="141"/>
      <c r="U3474" s="28"/>
    </row>
    <row r="3475" ht="15.75" customHeight="1">
      <c r="P3475" s="25"/>
      <c r="Q3475" s="25"/>
      <c r="R3475" s="25"/>
      <c r="S3475" s="25"/>
      <c r="T3475" s="141"/>
      <c r="U3475" s="28"/>
    </row>
    <row r="3476" ht="15.75" customHeight="1">
      <c r="P3476" s="25"/>
      <c r="Q3476" s="25"/>
      <c r="R3476" s="25"/>
      <c r="S3476" s="25"/>
      <c r="T3476" s="141"/>
      <c r="U3476" s="28"/>
    </row>
    <row r="3477" ht="15.75" customHeight="1">
      <c r="P3477" s="25"/>
      <c r="Q3477" s="25"/>
      <c r="R3477" s="25"/>
      <c r="S3477" s="25"/>
      <c r="T3477" s="141"/>
      <c r="U3477" s="28"/>
    </row>
    <row r="3478" ht="15.75" customHeight="1">
      <c r="P3478" s="25"/>
      <c r="Q3478" s="25"/>
      <c r="R3478" s="25"/>
      <c r="S3478" s="25"/>
      <c r="T3478" s="141"/>
      <c r="U3478" s="28"/>
    </row>
    <row r="3479" ht="15.75" customHeight="1">
      <c r="P3479" s="25"/>
      <c r="Q3479" s="25"/>
      <c r="R3479" s="25"/>
      <c r="S3479" s="25"/>
      <c r="T3479" s="141"/>
      <c r="U3479" s="28"/>
    </row>
    <row r="3480" ht="15.75" customHeight="1">
      <c r="P3480" s="25"/>
      <c r="Q3480" s="25"/>
      <c r="R3480" s="25"/>
      <c r="S3480" s="25"/>
      <c r="T3480" s="141"/>
      <c r="U3480" s="28"/>
    </row>
    <row r="3481" ht="15.75" customHeight="1">
      <c r="P3481" s="25"/>
      <c r="Q3481" s="25"/>
      <c r="R3481" s="25"/>
      <c r="S3481" s="25"/>
      <c r="T3481" s="141"/>
      <c r="U3481" s="28"/>
    </row>
    <row r="3482" ht="15.75" customHeight="1">
      <c r="P3482" s="25"/>
      <c r="Q3482" s="25"/>
      <c r="R3482" s="25"/>
      <c r="S3482" s="25"/>
      <c r="T3482" s="141"/>
      <c r="U3482" s="28"/>
    </row>
    <row r="3483" ht="15.75" customHeight="1">
      <c r="P3483" s="25"/>
      <c r="Q3483" s="25"/>
      <c r="R3483" s="25"/>
      <c r="S3483" s="25"/>
      <c r="T3483" s="141"/>
      <c r="U3483" s="28"/>
    </row>
    <row r="3484" ht="15.75" customHeight="1">
      <c r="P3484" s="25"/>
      <c r="Q3484" s="25"/>
      <c r="R3484" s="25"/>
      <c r="S3484" s="25"/>
      <c r="T3484" s="141"/>
      <c r="U3484" s="28"/>
    </row>
    <row r="3485" ht="15.75" customHeight="1">
      <c r="P3485" s="25"/>
      <c r="Q3485" s="25"/>
      <c r="R3485" s="25"/>
      <c r="S3485" s="25"/>
      <c r="T3485" s="141"/>
      <c r="U3485" s="28"/>
    </row>
    <row r="3486" ht="15.75" customHeight="1">
      <c r="P3486" s="25"/>
      <c r="Q3486" s="25"/>
      <c r="R3486" s="25"/>
      <c r="S3486" s="25"/>
      <c r="T3486" s="141"/>
      <c r="U3486" s="28"/>
    </row>
    <row r="3487" ht="15.75" customHeight="1">
      <c r="P3487" s="25"/>
      <c r="Q3487" s="25"/>
      <c r="R3487" s="25"/>
      <c r="S3487" s="25"/>
      <c r="T3487" s="141"/>
      <c r="U3487" s="28"/>
    </row>
    <row r="3488" ht="15.75" customHeight="1">
      <c r="P3488" s="25"/>
      <c r="Q3488" s="25"/>
      <c r="R3488" s="25"/>
      <c r="S3488" s="25"/>
      <c r="T3488" s="141"/>
      <c r="U3488" s="28"/>
    </row>
    <row r="3489" ht="15.75" customHeight="1">
      <c r="P3489" s="25"/>
      <c r="Q3489" s="25"/>
      <c r="R3489" s="25"/>
      <c r="S3489" s="25"/>
      <c r="T3489" s="141"/>
      <c r="U3489" s="28"/>
    </row>
    <row r="3490" ht="15.75" customHeight="1">
      <c r="P3490" s="25"/>
      <c r="Q3490" s="25"/>
      <c r="R3490" s="25"/>
      <c r="S3490" s="25"/>
      <c r="T3490" s="141"/>
      <c r="U3490" s="28"/>
    </row>
    <row r="3491" ht="15.75" customHeight="1">
      <c r="P3491" s="25"/>
      <c r="Q3491" s="25"/>
      <c r="R3491" s="25"/>
      <c r="S3491" s="25"/>
      <c r="T3491" s="141"/>
      <c r="U3491" s="28"/>
    </row>
    <row r="3492" ht="15.75" customHeight="1">
      <c r="P3492" s="25"/>
      <c r="Q3492" s="25"/>
      <c r="R3492" s="25"/>
      <c r="S3492" s="25"/>
      <c r="T3492" s="141"/>
      <c r="U3492" s="28"/>
    </row>
    <row r="3493" ht="15.75" customHeight="1">
      <c r="P3493" s="25"/>
      <c r="Q3493" s="25"/>
      <c r="R3493" s="25"/>
      <c r="S3493" s="25"/>
      <c r="T3493" s="141"/>
      <c r="U3493" s="28"/>
    </row>
    <row r="3494" ht="15.75" customHeight="1">
      <c r="P3494" s="25"/>
      <c r="Q3494" s="25"/>
      <c r="R3494" s="25"/>
      <c r="S3494" s="25"/>
      <c r="T3494" s="141"/>
      <c r="U3494" s="28"/>
    </row>
    <row r="3495" ht="15.75" customHeight="1">
      <c r="P3495" s="25"/>
      <c r="Q3495" s="25"/>
      <c r="R3495" s="25"/>
      <c r="S3495" s="25"/>
      <c r="T3495" s="141"/>
      <c r="U3495" s="28"/>
    </row>
    <row r="3496" ht="15.75" customHeight="1">
      <c r="P3496" s="25"/>
      <c r="Q3496" s="25"/>
      <c r="R3496" s="25"/>
      <c r="S3496" s="25"/>
      <c r="T3496" s="141"/>
      <c r="U3496" s="28"/>
    </row>
    <row r="3497" ht="15.75" customHeight="1">
      <c r="P3497" s="25"/>
      <c r="Q3497" s="25"/>
      <c r="R3497" s="25"/>
      <c r="S3497" s="25"/>
      <c r="T3497" s="141"/>
      <c r="U3497" s="28"/>
    </row>
    <row r="3498" ht="15.75" customHeight="1">
      <c r="P3498" s="25"/>
      <c r="Q3498" s="25"/>
      <c r="R3498" s="25"/>
      <c r="S3498" s="25"/>
      <c r="T3498" s="141"/>
      <c r="U3498" s="28"/>
    </row>
    <row r="3499" ht="15.75" customHeight="1">
      <c r="P3499" s="25"/>
      <c r="Q3499" s="25"/>
      <c r="R3499" s="25"/>
      <c r="S3499" s="25"/>
      <c r="T3499" s="141"/>
      <c r="U3499" s="28"/>
    </row>
    <row r="3500" ht="15.75" customHeight="1">
      <c r="P3500" s="25"/>
      <c r="Q3500" s="25"/>
      <c r="R3500" s="25"/>
      <c r="S3500" s="25"/>
      <c r="T3500" s="141"/>
      <c r="U3500" s="28"/>
    </row>
    <row r="3501" ht="15.75" customHeight="1">
      <c r="P3501" s="25"/>
      <c r="Q3501" s="25"/>
      <c r="R3501" s="25"/>
      <c r="S3501" s="25"/>
      <c r="T3501" s="141"/>
      <c r="U3501" s="28"/>
    </row>
    <row r="3502" ht="15.75" customHeight="1">
      <c r="P3502" s="25"/>
      <c r="Q3502" s="25"/>
      <c r="R3502" s="25"/>
      <c r="S3502" s="25"/>
      <c r="T3502" s="141"/>
      <c r="U3502" s="28"/>
    </row>
    <row r="3503" ht="15.75" customHeight="1">
      <c r="P3503" s="25"/>
      <c r="Q3503" s="25"/>
      <c r="R3503" s="25"/>
      <c r="S3503" s="25"/>
      <c r="T3503" s="141"/>
      <c r="U3503" s="28"/>
    </row>
    <row r="3504" ht="15.75" customHeight="1">
      <c r="P3504" s="25"/>
      <c r="Q3504" s="25"/>
      <c r="R3504" s="25"/>
      <c r="S3504" s="25"/>
      <c r="T3504" s="141"/>
      <c r="U3504" s="28"/>
    </row>
    <row r="3505" ht="15.75" customHeight="1">
      <c r="P3505" s="25"/>
      <c r="Q3505" s="25"/>
      <c r="R3505" s="25"/>
      <c r="S3505" s="25"/>
      <c r="T3505" s="141"/>
      <c r="U3505" s="28"/>
    </row>
    <row r="3506" ht="15.75" customHeight="1">
      <c r="P3506" s="25"/>
      <c r="Q3506" s="25"/>
      <c r="R3506" s="25"/>
      <c r="S3506" s="25"/>
      <c r="T3506" s="141"/>
      <c r="U3506" s="28"/>
    </row>
    <row r="3507" ht="15.75" customHeight="1">
      <c r="P3507" s="25"/>
      <c r="Q3507" s="25"/>
      <c r="R3507" s="25"/>
      <c r="S3507" s="25"/>
      <c r="T3507" s="141"/>
      <c r="U3507" s="28"/>
    </row>
    <row r="3508" ht="15.75" customHeight="1">
      <c r="P3508" s="25"/>
      <c r="Q3508" s="25"/>
      <c r="R3508" s="25"/>
      <c r="S3508" s="25"/>
      <c r="T3508" s="141"/>
      <c r="U3508" s="28"/>
    </row>
    <row r="3509" ht="15.75" customHeight="1">
      <c r="P3509" s="25"/>
      <c r="Q3509" s="25"/>
      <c r="R3509" s="25"/>
      <c r="S3509" s="25"/>
      <c r="T3509" s="141"/>
      <c r="U3509" s="28"/>
    </row>
    <row r="3510" ht="15.75" customHeight="1">
      <c r="P3510" s="25"/>
      <c r="Q3510" s="25"/>
      <c r="R3510" s="25"/>
      <c r="S3510" s="25"/>
      <c r="T3510" s="141"/>
      <c r="U3510" s="28"/>
    </row>
    <row r="3511" ht="15.75" customHeight="1">
      <c r="P3511" s="25"/>
      <c r="Q3511" s="25"/>
      <c r="R3511" s="25"/>
      <c r="S3511" s="25"/>
      <c r="T3511" s="141"/>
      <c r="U3511" s="28"/>
    </row>
    <row r="3512" ht="15.75" customHeight="1">
      <c r="P3512" s="25"/>
      <c r="Q3512" s="25"/>
      <c r="R3512" s="25"/>
      <c r="S3512" s="25"/>
      <c r="T3512" s="141"/>
      <c r="U3512" s="28"/>
    </row>
    <row r="3513" ht="15.75" customHeight="1">
      <c r="P3513" s="25"/>
      <c r="Q3513" s="25"/>
      <c r="R3513" s="25"/>
      <c r="S3513" s="25"/>
      <c r="T3513" s="141"/>
      <c r="U3513" s="28"/>
    </row>
    <row r="3514" ht="15.75" customHeight="1">
      <c r="P3514" s="25"/>
      <c r="Q3514" s="25"/>
      <c r="R3514" s="25"/>
      <c r="S3514" s="25"/>
      <c r="T3514" s="141"/>
      <c r="U3514" s="28"/>
    </row>
    <row r="3515" ht="15.75" customHeight="1">
      <c r="P3515" s="25"/>
      <c r="Q3515" s="25"/>
      <c r="R3515" s="25"/>
      <c r="S3515" s="25"/>
      <c r="T3515" s="141"/>
      <c r="U3515" s="28"/>
    </row>
    <row r="3516" ht="15.75" customHeight="1">
      <c r="P3516" s="25"/>
      <c r="Q3516" s="25"/>
      <c r="R3516" s="25"/>
      <c r="S3516" s="25"/>
      <c r="T3516" s="141"/>
      <c r="U3516" s="28"/>
    </row>
    <row r="3517" ht="15.75" customHeight="1">
      <c r="P3517" s="25"/>
      <c r="Q3517" s="25"/>
      <c r="R3517" s="25"/>
      <c r="S3517" s="25"/>
      <c r="T3517" s="141"/>
      <c r="U3517" s="28"/>
    </row>
    <row r="3518" ht="15.75" customHeight="1">
      <c r="P3518" s="25"/>
      <c r="Q3518" s="25"/>
      <c r="R3518" s="25"/>
      <c r="S3518" s="25"/>
      <c r="T3518" s="141"/>
      <c r="U3518" s="28"/>
    </row>
    <row r="3519" ht="15.75" customHeight="1">
      <c r="P3519" s="25"/>
      <c r="Q3519" s="25"/>
      <c r="R3519" s="25"/>
      <c r="S3519" s="25"/>
      <c r="T3519" s="141"/>
      <c r="U3519" s="28"/>
    </row>
    <row r="3520" ht="15.75" customHeight="1">
      <c r="P3520" s="25"/>
      <c r="Q3520" s="25"/>
      <c r="R3520" s="25"/>
      <c r="S3520" s="25"/>
      <c r="T3520" s="141"/>
      <c r="U3520" s="28"/>
    </row>
    <row r="3521" ht="15.75" customHeight="1">
      <c r="P3521" s="25"/>
      <c r="Q3521" s="25"/>
      <c r="R3521" s="25"/>
      <c r="S3521" s="25"/>
      <c r="T3521" s="141"/>
      <c r="U3521" s="28"/>
    </row>
    <row r="3522" ht="15.75" customHeight="1">
      <c r="P3522" s="25"/>
      <c r="Q3522" s="25"/>
      <c r="R3522" s="25"/>
      <c r="S3522" s="25"/>
      <c r="T3522" s="141"/>
      <c r="U3522" s="28"/>
    </row>
    <row r="3523" ht="15.75" customHeight="1">
      <c r="P3523" s="25"/>
      <c r="Q3523" s="25"/>
      <c r="R3523" s="25"/>
      <c r="S3523" s="25"/>
      <c r="T3523" s="141"/>
      <c r="U3523" s="28"/>
    </row>
    <row r="3524" ht="15.75" customHeight="1">
      <c r="P3524" s="25"/>
      <c r="Q3524" s="25"/>
      <c r="R3524" s="25"/>
      <c r="S3524" s="25"/>
      <c r="T3524" s="141"/>
      <c r="U3524" s="28"/>
    </row>
    <row r="3525" ht="15.75" customHeight="1">
      <c r="P3525" s="25"/>
      <c r="Q3525" s="25"/>
      <c r="R3525" s="25"/>
      <c r="S3525" s="25"/>
      <c r="T3525" s="141"/>
      <c r="U3525" s="28"/>
    </row>
    <row r="3526" ht="15.75" customHeight="1">
      <c r="P3526" s="25"/>
      <c r="Q3526" s="25"/>
      <c r="R3526" s="25"/>
      <c r="S3526" s="25"/>
      <c r="T3526" s="141"/>
      <c r="U3526" s="28"/>
    </row>
    <row r="3527" ht="15.75" customHeight="1">
      <c r="P3527" s="25"/>
      <c r="Q3527" s="25"/>
      <c r="R3527" s="25"/>
      <c r="S3527" s="25"/>
      <c r="T3527" s="141"/>
      <c r="U3527" s="28"/>
    </row>
    <row r="3528" ht="15.75" customHeight="1">
      <c r="P3528" s="25"/>
      <c r="Q3528" s="25"/>
      <c r="R3528" s="25"/>
      <c r="S3528" s="25"/>
      <c r="T3528" s="141"/>
      <c r="U3528" s="28"/>
    </row>
    <row r="3529" ht="15.75" customHeight="1">
      <c r="P3529" s="25"/>
      <c r="Q3529" s="25"/>
      <c r="R3529" s="25"/>
      <c r="S3529" s="25"/>
      <c r="T3529" s="141"/>
      <c r="U3529" s="28"/>
    </row>
    <row r="3530" ht="15.75" customHeight="1">
      <c r="P3530" s="25"/>
      <c r="Q3530" s="25"/>
      <c r="R3530" s="25"/>
      <c r="S3530" s="25"/>
      <c r="T3530" s="141"/>
      <c r="U3530" s="28"/>
    </row>
    <row r="3531" ht="15.75" customHeight="1">
      <c r="P3531" s="25"/>
      <c r="Q3531" s="25"/>
      <c r="R3531" s="25"/>
      <c r="S3531" s="25"/>
      <c r="T3531" s="141"/>
      <c r="U3531" s="28"/>
    </row>
    <row r="3532" ht="15.75" customHeight="1">
      <c r="P3532" s="25"/>
      <c r="Q3532" s="25"/>
      <c r="R3532" s="25"/>
      <c r="S3532" s="25"/>
      <c r="T3532" s="141"/>
      <c r="U3532" s="28"/>
    </row>
    <row r="3533" ht="15.75" customHeight="1">
      <c r="P3533" s="25"/>
      <c r="Q3533" s="25"/>
      <c r="R3533" s="25"/>
      <c r="S3533" s="25"/>
      <c r="T3533" s="141"/>
      <c r="U3533" s="28"/>
    </row>
    <row r="3534" ht="15.75" customHeight="1">
      <c r="P3534" s="25"/>
      <c r="Q3534" s="25"/>
      <c r="R3534" s="25"/>
      <c r="S3534" s="25"/>
      <c r="T3534" s="141"/>
      <c r="U3534" s="28"/>
    </row>
    <row r="3535" ht="15.75" customHeight="1">
      <c r="P3535" s="25"/>
      <c r="Q3535" s="25"/>
      <c r="R3535" s="25"/>
      <c r="S3535" s="25"/>
      <c r="T3535" s="141"/>
      <c r="U3535" s="28"/>
    </row>
    <row r="3536" ht="15.75" customHeight="1">
      <c r="P3536" s="25"/>
      <c r="Q3536" s="25"/>
      <c r="R3536" s="25"/>
      <c r="S3536" s="25"/>
      <c r="T3536" s="141"/>
      <c r="U3536" s="28"/>
    </row>
    <row r="3537" ht="15.75" customHeight="1">
      <c r="P3537" s="25"/>
      <c r="Q3537" s="25"/>
      <c r="R3537" s="25"/>
      <c r="S3537" s="25"/>
      <c r="T3537" s="141"/>
      <c r="U3537" s="28"/>
    </row>
    <row r="3538" ht="15.75" customHeight="1">
      <c r="P3538" s="25"/>
      <c r="Q3538" s="25"/>
      <c r="R3538" s="25"/>
      <c r="S3538" s="25"/>
      <c r="T3538" s="141"/>
      <c r="U3538" s="28"/>
    </row>
    <row r="3539" ht="15.75" customHeight="1">
      <c r="P3539" s="25"/>
      <c r="Q3539" s="25"/>
      <c r="R3539" s="25"/>
      <c r="S3539" s="25"/>
      <c r="T3539" s="141"/>
      <c r="U3539" s="28"/>
    </row>
    <row r="3540" ht="15.75" customHeight="1">
      <c r="P3540" s="25"/>
      <c r="Q3540" s="25"/>
      <c r="R3540" s="25"/>
      <c r="S3540" s="25"/>
      <c r="T3540" s="141"/>
      <c r="U3540" s="28"/>
    </row>
    <row r="3541" ht="15.75" customHeight="1">
      <c r="P3541" s="25"/>
      <c r="Q3541" s="25"/>
      <c r="R3541" s="25"/>
      <c r="S3541" s="25"/>
      <c r="T3541" s="141"/>
      <c r="U3541" s="28"/>
    </row>
    <row r="3542" ht="15.75" customHeight="1">
      <c r="P3542" s="25"/>
      <c r="Q3542" s="25"/>
      <c r="R3542" s="25"/>
      <c r="S3542" s="25"/>
      <c r="T3542" s="141"/>
      <c r="U3542" s="28"/>
    </row>
    <row r="3543" ht="15.75" customHeight="1">
      <c r="P3543" s="25"/>
      <c r="Q3543" s="25"/>
      <c r="R3543" s="25"/>
      <c r="S3543" s="25"/>
      <c r="T3543" s="141"/>
      <c r="U3543" s="28"/>
    </row>
    <row r="3544" ht="15.75" customHeight="1">
      <c r="P3544" s="25"/>
      <c r="Q3544" s="25"/>
      <c r="R3544" s="25"/>
      <c r="S3544" s="25"/>
      <c r="T3544" s="141"/>
      <c r="U3544" s="28"/>
    </row>
    <row r="3545" ht="15.75" customHeight="1">
      <c r="P3545" s="25"/>
      <c r="Q3545" s="25"/>
      <c r="R3545" s="25"/>
      <c r="S3545" s="25"/>
      <c r="T3545" s="141"/>
      <c r="U3545" s="28"/>
    </row>
    <row r="3546" ht="15.75" customHeight="1">
      <c r="P3546" s="25"/>
      <c r="Q3546" s="25"/>
      <c r="R3546" s="25"/>
      <c r="S3546" s="25"/>
      <c r="T3546" s="141"/>
      <c r="U3546" s="28"/>
    </row>
    <row r="3547" ht="15.75" customHeight="1">
      <c r="P3547" s="25"/>
      <c r="Q3547" s="25"/>
      <c r="R3547" s="25"/>
      <c r="S3547" s="25"/>
      <c r="T3547" s="141"/>
      <c r="U3547" s="28"/>
    </row>
    <row r="3548" ht="15.75" customHeight="1">
      <c r="P3548" s="25"/>
      <c r="Q3548" s="25"/>
      <c r="R3548" s="25"/>
      <c r="S3548" s="25"/>
      <c r="T3548" s="141"/>
      <c r="U3548" s="28"/>
    </row>
    <row r="3549" ht="15.75" customHeight="1">
      <c r="P3549" s="25"/>
      <c r="Q3549" s="25"/>
      <c r="R3549" s="25"/>
      <c r="S3549" s="25"/>
      <c r="T3549" s="141"/>
      <c r="U3549" s="28"/>
    </row>
    <row r="3550" ht="15.75" customHeight="1">
      <c r="P3550" s="25"/>
      <c r="Q3550" s="25"/>
      <c r="R3550" s="25"/>
      <c r="S3550" s="25"/>
      <c r="T3550" s="141"/>
      <c r="U3550" s="28"/>
    </row>
    <row r="3551" ht="15.75" customHeight="1">
      <c r="P3551" s="25"/>
      <c r="Q3551" s="25"/>
      <c r="R3551" s="25"/>
      <c r="S3551" s="25"/>
      <c r="T3551" s="141"/>
      <c r="U3551" s="28"/>
    </row>
    <row r="3552" ht="15.75" customHeight="1">
      <c r="P3552" s="25"/>
      <c r="Q3552" s="25"/>
      <c r="R3552" s="25"/>
      <c r="S3552" s="25"/>
      <c r="T3552" s="141"/>
      <c r="U3552" s="28"/>
    </row>
    <row r="3553" ht="15.75" customHeight="1">
      <c r="P3553" s="25"/>
      <c r="Q3553" s="25"/>
      <c r="R3553" s="25"/>
      <c r="S3553" s="25"/>
      <c r="T3553" s="141"/>
      <c r="U3553" s="28"/>
    </row>
    <row r="3554" ht="15.75" customHeight="1">
      <c r="P3554" s="25"/>
      <c r="Q3554" s="25"/>
      <c r="R3554" s="25"/>
      <c r="S3554" s="25"/>
      <c r="T3554" s="141"/>
      <c r="U3554" s="28"/>
    </row>
    <row r="3555" ht="15.75" customHeight="1">
      <c r="P3555" s="25"/>
      <c r="Q3555" s="25"/>
      <c r="R3555" s="25"/>
      <c r="S3555" s="25"/>
      <c r="T3555" s="141"/>
      <c r="U3555" s="28"/>
    </row>
    <row r="3556" ht="15.75" customHeight="1">
      <c r="P3556" s="25"/>
      <c r="Q3556" s="25"/>
      <c r="R3556" s="25"/>
      <c r="S3556" s="25"/>
      <c r="T3556" s="141"/>
      <c r="U3556" s="28"/>
    </row>
    <row r="3557" ht="15.75" customHeight="1">
      <c r="P3557" s="25"/>
      <c r="Q3557" s="25"/>
      <c r="R3557" s="25"/>
      <c r="S3557" s="25"/>
      <c r="T3557" s="141"/>
      <c r="U3557" s="28"/>
    </row>
    <row r="3558" ht="15.75" customHeight="1">
      <c r="P3558" s="25"/>
      <c r="Q3558" s="25"/>
      <c r="R3558" s="25"/>
      <c r="S3558" s="25"/>
      <c r="T3558" s="141"/>
      <c r="U3558" s="28"/>
    </row>
    <row r="3559" ht="15.75" customHeight="1">
      <c r="P3559" s="25"/>
      <c r="Q3559" s="25"/>
      <c r="R3559" s="25"/>
      <c r="S3559" s="25"/>
      <c r="T3559" s="141"/>
      <c r="U3559" s="28"/>
    </row>
    <row r="3560" ht="15.75" customHeight="1">
      <c r="P3560" s="25"/>
      <c r="Q3560" s="25"/>
      <c r="R3560" s="25"/>
      <c r="S3560" s="25"/>
      <c r="T3560" s="141"/>
      <c r="U3560" s="28"/>
    </row>
    <row r="3561" ht="15.75" customHeight="1">
      <c r="P3561" s="25"/>
      <c r="Q3561" s="25"/>
      <c r="R3561" s="25"/>
      <c r="S3561" s="25"/>
      <c r="T3561" s="141"/>
      <c r="U3561" s="28"/>
    </row>
    <row r="3562" ht="15.75" customHeight="1">
      <c r="P3562" s="25"/>
      <c r="Q3562" s="25"/>
      <c r="R3562" s="25"/>
      <c r="S3562" s="25"/>
      <c r="T3562" s="141"/>
      <c r="U3562" s="28"/>
    </row>
    <row r="3563" ht="15.75" customHeight="1">
      <c r="P3563" s="25"/>
      <c r="Q3563" s="25"/>
      <c r="R3563" s="25"/>
      <c r="S3563" s="25"/>
      <c r="T3563" s="141"/>
      <c r="U3563" s="28"/>
    </row>
    <row r="3564" ht="15.75" customHeight="1">
      <c r="P3564" s="25"/>
      <c r="Q3564" s="25"/>
      <c r="R3564" s="25"/>
      <c r="S3564" s="25"/>
      <c r="T3564" s="141"/>
      <c r="U3564" s="28"/>
    </row>
    <row r="3565" ht="15.75" customHeight="1">
      <c r="P3565" s="25"/>
      <c r="Q3565" s="25"/>
      <c r="R3565" s="25"/>
      <c r="S3565" s="25"/>
      <c r="T3565" s="141"/>
      <c r="U3565" s="28"/>
    </row>
    <row r="3566" ht="15.75" customHeight="1">
      <c r="P3566" s="25"/>
      <c r="Q3566" s="25"/>
      <c r="R3566" s="25"/>
      <c r="S3566" s="25"/>
      <c r="T3566" s="141"/>
      <c r="U3566" s="28"/>
    </row>
    <row r="3567" ht="15.75" customHeight="1">
      <c r="P3567" s="25"/>
      <c r="Q3567" s="25"/>
      <c r="R3567" s="25"/>
      <c r="S3567" s="25"/>
      <c r="T3567" s="141"/>
      <c r="U3567" s="28"/>
    </row>
    <row r="3568" ht="15.75" customHeight="1">
      <c r="P3568" s="25"/>
      <c r="Q3568" s="25"/>
      <c r="R3568" s="25"/>
      <c r="S3568" s="25"/>
      <c r="T3568" s="141"/>
      <c r="U3568" s="28"/>
    </row>
    <row r="3569" ht="15.75" customHeight="1">
      <c r="P3569" s="25"/>
      <c r="Q3569" s="25"/>
      <c r="R3569" s="25"/>
      <c r="S3569" s="25"/>
      <c r="T3569" s="141"/>
      <c r="U3569" s="28"/>
    </row>
    <row r="3570" ht="15.75" customHeight="1">
      <c r="P3570" s="25"/>
      <c r="Q3570" s="25"/>
      <c r="R3570" s="25"/>
      <c r="S3570" s="25"/>
      <c r="T3570" s="141"/>
      <c r="U3570" s="28"/>
    </row>
    <row r="3571" ht="15.75" customHeight="1">
      <c r="P3571" s="25"/>
      <c r="Q3571" s="25"/>
      <c r="R3571" s="25"/>
      <c r="S3571" s="25"/>
      <c r="T3571" s="141"/>
      <c r="U3571" s="28"/>
    </row>
    <row r="3572" ht="15.75" customHeight="1">
      <c r="P3572" s="25"/>
      <c r="Q3572" s="25"/>
      <c r="R3572" s="25"/>
      <c r="S3572" s="25"/>
      <c r="T3572" s="141"/>
      <c r="U3572" s="28"/>
    </row>
    <row r="3573" ht="15.75" customHeight="1">
      <c r="P3573" s="25"/>
      <c r="Q3573" s="25"/>
      <c r="R3573" s="25"/>
      <c r="S3573" s="25"/>
      <c r="T3573" s="141"/>
      <c r="U3573" s="28"/>
    </row>
    <row r="3574" ht="15.75" customHeight="1">
      <c r="P3574" s="25"/>
      <c r="Q3574" s="25"/>
      <c r="R3574" s="25"/>
      <c r="S3574" s="25"/>
      <c r="T3574" s="141"/>
      <c r="U3574" s="28"/>
    </row>
    <row r="3575" ht="15.75" customHeight="1">
      <c r="P3575" s="25"/>
      <c r="Q3575" s="25"/>
      <c r="R3575" s="25"/>
      <c r="S3575" s="25"/>
      <c r="T3575" s="141"/>
      <c r="U3575" s="28"/>
    </row>
    <row r="3576" ht="15.75" customHeight="1">
      <c r="P3576" s="25"/>
      <c r="Q3576" s="25"/>
      <c r="R3576" s="25"/>
      <c r="S3576" s="25"/>
      <c r="T3576" s="141"/>
      <c r="U3576" s="28"/>
    </row>
    <row r="3577" ht="15.75" customHeight="1">
      <c r="P3577" s="25"/>
      <c r="Q3577" s="25"/>
      <c r="R3577" s="25"/>
      <c r="S3577" s="25"/>
      <c r="T3577" s="141"/>
      <c r="U3577" s="28"/>
    </row>
    <row r="3578" ht="15.75" customHeight="1">
      <c r="P3578" s="25"/>
      <c r="Q3578" s="25"/>
      <c r="R3578" s="25"/>
      <c r="S3578" s="25"/>
      <c r="T3578" s="141"/>
      <c r="U3578" s="28"/>
    </row>
    <row r="3579" ht="15.75" customHeight="1">
      <c r="P3579" s="25"/>
      <c r="Q3579" s="25"/>
      <c r="R3579" s="25"/>
      <c r="S3579" s="25"/>
      <c r="T3579" s="141"/>
      <c r="U3579" s="28"/>
    </row>
    <row r="3580" ht="15.75" customHeight="1">
      <c r="P3580" s="25"/>
      <c r="Q3580" s="25"/>
      <c r="R3580" s="25"/>
      <c r="S3580" s="25"/>
      <c r="T3580" s="141"/>
      <c r="U3580" s="28"/>
    </row>
    <row r="3581" ht="15.75" customHeight="1">
      <c r="P3581" s="25"/>
      <c r="Q3581" s="25"/>
      <c r="R3581" s="25"/>
      <c r="S3581" s="25"/>
      <c r="T3581" s="141"/>
      <c r="U3581" s="28"/>
    </row>
    <row r="3582" ht="15.75" customHeight="1">
      <c r="P3582" s="25"/>
      <c r="Q3582" s="25"/>
      <c r="R3582" s="25"/>
      <c r="S3582" s="25"/>
      <c r="T3582" s="141"/>
      <c r="U3582" s="28"/>
    </row>
    <row r="3583" ht="15.75" customHeight="1">
      <c r="P3583" s="25"/>
      <c r="Q3583" s="25"/>
      <c r="R3583" s="25"/>
      <c r="S3583" s="25"/>
      <c r="T3583" s="141"/>
      <c r="U3583" s="28"/>
    </row>
    <row r="3584" ht="15.75" customHeight="1">
      <c r="P3584" s="25"/>
      <c r="Q3584" s="25"/>
      <c r="R3584" s="25"/>
      <c r="S3584" s="25"/>
      <c r="T3584" s="141"/>
      <c r="U3584" s="28"/>
    </row>
    <row r="3585" ht="15.75" customHeight="1">
      <c r="P3585" s="25"/>
      <c r="Q3585" s="25"/>
      <c r="R3585" s="25"/>
      <c r="S3585" s="25"/>
      <c r="T3585" s="141"/>
      <c r="U3585" s="28"/>
    </row>
    <row r="3586" ht="15.75" customHeight="1">
      <c r="P3586" s="25"/>
      <c r="Q3586" s="25"/>
      <c r="R3586" s="25"/>
      <c r="S3586" s="25"/>
      <c r="T3586" s="141"/>
      <c r="U3586" s="28"/>
    </row>
    <row r="3587" ht="15.75" customHeight="1">
      <c r="P3587" s="25"/>
      <c r="Q3587" s="25"/>
      <c r="R3587" s="25"/>
      <c r="S3587" s="25"/>
      <c r="T3587" s="141"/>
      <c r="U3587" s="28"/>
    </row>
    <row r="3588" ht="15.75" customHeight="1">
      <c r="P3588" s="25"/>
      <c r="Q3588" s="25"/>
      <c r="R3588" s="25"/>
      <c r="S3588" s="25"/>
      <c r="T3588" s="141"/>
      <c r="U3588" s="28"/>
    </row>
    <row r="3589" ht="15.75" customHeight="1">
      <c r="P3589" s="25"/>
      <c r="Q3589" s="25"/>
      <c r="R3589" s="25"/>
      <c r="S3589" s="25"/>
      <c r="T3589" s="141"/>
      <c r="U3589" s="28"/>
    </row>
    <row r="3590" ht="15.75" customHeight="1">
      <c r="P3590" s="25"/>
      <c r="Q3590" s="25"/>
      <c r="R3590" s="25"/>
      <c r="S3590" s="25"/>
      <c r="T3590" s="141"/>
      <c r="U3590" s="28"/>
    </row>
    <row r="3591" ht="15.75" customHeight="1">
      <c r="P3591" s="25"/>
      <c r="Q3591" s="25"/>
      <c r="R3591" s="25"/>
      <c r="S3591" s="25"/>
      <c r="T3591" s="141"/>
      <c r="U3591" s="28"/>
    </row>
    <row r="3592" ht="15.75" customHeight="1">
      <c r="P3592" s="25"/>
      <c r="Q3592" s="25"/>
      <c r="R3592" s="25"/>
      <c r="S3592" s="25"/>
      <c r="T3592" s="141"/>
      <c r="U3592" s="28"/>
    </row>
    <row r="3593" ht="15.75" customHeight="1">
      <c r="P3593" s="25"/>
      <c r="Q3593" s="25"/>
      <c r="R3593" s="25"/>
      <c r="S3593" s="25"/>
      <c r="T3593" s="141"/>
      <c r="U3593" s="28"/>
    </row>
    <row r="3594" ht="15.75" customHeight="1">
      <c r="P3594" s="25"/>
      <c r="Q3594" s="25"/>
      <c r="R3594" s="25"/>
      <c r="S3594" s="25"/>
      <c r="T3594" s="141"/>
      <c r="U3594" s="28"/>
    </row>
    <row r="3595" ht="15.75" customHeight="1">
      <c r="P3595" s="25"/>
      <c r="Q3595" s="25"/>
      <c r="R3595" s="25"/>
      <c r="S3595" s="25"/>
      <c r="T3595" s="141"/>
      <c r="U3595" s="28"/>
    </row>
    <row r="3596" ht="15.75" customHeight="1">
      <c r="P3596" s="25"/>
      <c r="Q3596" s="25"/>
      <c r="R3596" s="25"/>
      <c r="S3596" s="25"/>
      <c r="T3596" s="141"/>
      <c r="U3596" s="28"/>
    </row>
    <row r="3597" ht="15.75" customHeight="1">
      <c r="P3597" s="25"/>
      <c r="Q3597" s="25"/>
      <c r="R3597" s="25"/>
      <c r="S3597" s="25"/>
      <c r="T3597" s="141"/>
      <c r="U3597" s="28"/>
    </row>
    <row r="3598" ht="15.75" customHeight="1">
      <c r="P3598" s="25"/>
      <c r="Q3598" s="25"/>
      <c r="R3598" s="25"/>
      <c r="S3598" s="25"/>
      <c r="T3598" s="141"/>
      <c r="U3598" s="28"/>
    </row>
    <row r="3599" ht="15.75" customHeight="1">
      <c r="P3599" s="25"/>
      <c r="Q3599" s="25"/>
      <c r="R3599" s="25"/>
      <c r="S3599" s="25"/>
      <c r="T3599" s="141"/>
      <c r="U3599" s="28"/>
    </row>
    <row r="3600" ht="15.75" customHeight="1">
      <c r="P3600" s="25"/>
      <c r="Q3600" s="25"/>
      <c r="R3600" s="25"/>
      <c r="S3600" s="25"/>
      <c r="T3600" s="141"/>
      <c r="U3600" s="28"/>
    </row>
    <row r="3601" ht="15.75" customHeight="1">
      <c r="P3601" s="25"/>
      <c r="Q3601" s="25"/>
      <c r="R3601" s="25"/>
      <c r="S3601" s="25"/>
      <c r="T3601" s="141"/>
      <c r="U3601" s="28"/>
    </row>
    <row r="3602" ht="15.75" customHeight="1">
      <c r="P3602" s="25"/>
      <c r="Q3602" s="25"/>
      <c r="R3602" s="25"/>
      <c r="S3602" s="25"/>
      <c r="T3602" s="141"/>
      <c r="U3602" s="28"/>
    </row>
    <row r="3603" ht="15.75" customHeight="1">
      <c r="P3603" s="25"/>
      <c r="Q3603" s="25"/>
      <c r="R3603" s="25"/>
      <c r="S3603" s="25"/>
      <c r="T3603" s="141"/>
      <c r="U3603" s="28"/>
    </row>
    <row r="3604" ht="15.75" customHeight="1">
      <c r="P3604" s="25"/>
      <c r="Q3604" s="25"/>
      <c r="R3604" s="25"/>
      <c r="S3604" s="25"/>
      <c r="T3604" s="141"/>
      <c r="U3604" s="28"/>
    </row>
    <row r="3605" ht="15.75" customHeight="1">
      <c r="P3605" s="25"/>
      <c r="Q3605" s="25"/>
      <c r="R3605" s="25"/>
      <c r="S3605" s="25"/>
      <c r="T3605" s="141"/>
      <c r="U3605" s="28"/>
    </row>
    <row r="3606" ht="15.75" customHeight="1">
      <c r="P3606" s="25"/>
      <c r="Q3606" s="25"/>
      <c r="R3606" s="25"/>
      <c r="S3606" s="25"/>
      <c r="T3606" s="141"/>
      <c r="U3606" s="28"/>
    </row>
    <row r="3607" ht="15.75" customHeight="1">
      <c r="P3607" s="25"/>
      <c r="Q3607" s="25"/>
      <c r="R3607" s="25"/>
      <c r="S3607" s="25"/>
      <c r="T3607" s="141"/>
      <c r="U3607" s="28"/>
    </row>
    <row r="3608" ht="15.75" customHeight="1">
      <c r="P3608" s="25"/>
      <c r="Q3608" s="25"/>
      <c r="R3608" s="25"/>
      <c r="S3608" s="25"/>
      <c r="T3608" s="141"/>
      <c r="U3608" s="28"/>
    </row>
    <row r="3609" ht="15.75" customHeight="1">
      <c r="P3609" s="25"/>
      <c r="Q3609" s="25"/>
      <c r="R3609" s="25"/>
      <c r="S3609" s="25"/>
      <c r="T3609" s="141"/>
      <c r="U3609" s="28"/>
    </row>
    <row r="3610" ht="15.75" customHeight="1">
      <c r="P3610" s="25"/>
      <c r="Q3610" s="25"/>
      <c r="R3610" s="25"/>
      <c r="S3610" s="25"/>
      <c r="T3610" s="141"/>
      <c r="U3610" s="28"/>
    </row>
    <row r="3611" ht="15.75" customHeight="1">
      <c r="P3611" s="25"/>
      <c r="Q3611" s="25"/>
      <c r="R3611" s="25"/>
      <c r="S3611" s="25"/>
      <c r="T3611" s="141"/>
      <c r="U3611" s="28"/>
    </row>
    <row r="3612" ht="15.75" customHeight="1">
      <c r="P3612" s="25"/>
      <c r="Q3612" s="25"/>
      <c r="R3612" s="25"/>
      <c r="S3612" s="25"/>
      <c r="T3612" s="141"/>
      <c r="U3612" s="28"/>
    </row>
    <row r="3613" ht="15.75" customHeight="1">
      <c r="P3613" s="25"/>
      <c r="Q3613" s="25"/>
      <c r="R3613" s="25"/>
      <c r="S3613" s="25"/>
      <c r="T3613" s="141"/>
      <c r="U3613" s="28"/>
    </row>
    <row r="3614" ht="15.75" customHeight="1">
      <c r="P3614" s="25"/>
      <c r="Q3614" s="25"/>
      <c r="R3614" s="25"/>
      <c r="S3614" s="25"/>
      <c r="T3614" s="141"/>
      <c r="U3614" s="28"/>
    </row>
    <row r="3615" ht="15.75" customHeight="1">
      <c r="P3615" s="25"/>
      <c r="Q3615" s="25"/>
      <c r="R3615" s="25"/>
      <c r="S3615" s="25"/>
      <c r="T3615" s="141"/>
      <c r="U3615" s="28"/>
    </row>
    <row r="3616" ht="15.75" customHeight="1">
      <c r="P3616" s="25"/>
      <c r="Q3616" s="25"/>
      <c r="R3616" s="25"/>
      <c r="S3616" s="25"/>
      <c r="T3616" s="141"/>
      <c r="U3616" s="28"/>
    </row>
    <row r="3617" ht="15.75" customHeight="1">
      <c r="P3617" s="25"/>
      <c r="Q3617" s="25"/>
      <c r="R3617" s="25"/>
      <c r="S3617" s="25"/>
      <c r="T3617" s="141"/>
      <c r="U3617" s="28"/>
    </row>
    <row r="3618" ht="15.75" customHeight="1">
      <c r="P3618" s="25"/>
      <c r="Q3618" s="25"/>
      <c r="R3618" s="25"/>
      <c r="S3618" s="25"/>
      <c r="T3618" s="141"/>
      <c r="U3618" s="28"/>
    </row>
    <row r="3619" ht="15.75" customHeight="1">
      <c r="P3619" s="25"/>
      <c r="Q3619" s="25"/>
      <c r="R3619" s="25"/>
      <c r="S3619" s="25"/>
      <c r="T3619" s="141"/>
      <c r="U3619" s="28"/>
    </row>
    <row r="3620" ht="15.75" customHeight="1">
      <c r="P3620" s="25"/>
      <c r="Q3620" s="25"/>
      <c r="R3620" s="25"/>
      <c r="S3620" s="25"/>
      <c r="T3620" s="141"/>
      <c r="U3620" s="28"/>
    </row>
    <row r="3621" ht="15.75" customHeight="1">
      <c r="P3621" s="25"/>
      <c r="Q3621" s="25"/>
      <c r="R3621" s="25"/>
      <c r="S3621" s="25"/>
      <c r="T3621" s="141"/>
      <c r="U3621" s="28"/>
    </row>
    <row r="3622" ht="15.75" customHeight="1">
      <c r="P3622" s="25"/>
      <c r="Q3622" s="25"/>
      <c r="R3622" s="25"/>
      <c r="S3622" s="25"/>
      <c r="T3622" s="141"/>
      <c r="U3622" s="28"/>
    </row>
    <row r="3623" ht="15.75" customHeight="1">
      <c r="P3623" s="25"/>
      <c r="Q3623" s="25"/>
      <c r="R3623" s="25"/>
      <c r="S3623" s="25"/>
      <c r="T3623" s="141"/>
      <c r="U3623" s="28"/>
    </row>
    <row r="3624" ht="15.75" customHeight="1">
      <c r="P3624" s="25"/>
      <c r="Q3624" s="25"/>
      <c r="R3624" s="25"/>
      <c r="S3624" s="25"/>
      <c r="T3624" s="141"/>
      <c r="U3624" s="28"/>
    </row>
    <row r="3625" ht="15.75" customHeight="1">
      <c r="P3625" s="25"/>
      <c r="Q3625" s="25"/>
      <c r="R3625" s="25"/>
      <c r="S3625" s="25"/>
      <c r="T3625" s="141"/>
      <c r="U3625" s="28"/>
    </row>
    <row r="3626" ht="15.75" customHeight="1">
      <c r="P3626" s="25"/>
      <c r="Q3626" s="25"/>
      <c r="R3626" s="25"/>
      <c r="S3626" s="25"/>
      <c r="T3626" s="141"/>
      <c r="U3626" s="28"/>
    </row>
    <row r="3627" ht="15.75" customHeight="1">
      <c r="P3627" s="25"/>
      <c r="Q3627" s="25"/>
      <c r="R3627" s="25"/>
      <c r="S3627" s="25"/>
      <c r="T3627" s="141"/>
      <c r="U3627" s="28"/>
    </row>
    <row r="3628" ht="15.75" customHeight="1">
      <c r="P3628" s="25"/>
      <c r="Q3628" s="25"/>
      <c r="R3628" s="25"/>
      <c r="S3628" s="25"/>
      <c r="T3628" s="141"/>
      <c r="U3628" s="28"/>
    </row>
    <row r="3629" ht="15.75" customHeight="1">
      <c r="P3629" s="25"/>
      <c r="Q3629" s="25"/>
      <c r="R3629" s="25"/>
      <c r="S3629" s="25"/>
      <c r="T3629" s="141"/>
      <c r="U3629" s="28"/>
    </row>
    <row r="3630" ht="15.75" customHeight="1">
      <c r="P3630" s="25"/>
      <c r="Q3630" s="25"/>
      <c r="R3630" s="25"/>
      <c r="S3630" s="25"/>
      <c r="T3630" s="141"/>
      <c r="U3630" s="28"/>
    </row>
    <row r="3631" ht="15.75" customHeight="1">
      <c r="P3631" s="25"/>
      <c r="Q3631" s="25"/>
      <c r="R3631" s="25"/>
      <c r="S3631" s="25"/>
      <c r="T3631" s="141"/>
      <c r="U3631" s="28"/>
    </row>
    <row r="3632" ht="15.75" customHeight="1">
      <c r="P3632" s="25"/>
      <c r="Q3632" s="25"/>
      <c r="R3632" s="25"/>
      <c r="S3632" s="25"/>
      <c r="T3632" s="141"/>
      <c r="U3632" s="28"/>
    </row>
    <row r="3633" ht="15.75" customHeight="1">
      <c r="P3633" s="25"/>
      <c r="Q3633" s="25"/>
      <c r="R3633" s="25"/>
      <c r="S3633" s="25"/>
      <c r="T3633" s="141"/>
      <c r="U3633" s="28"/>
    </row>
    <row r="3634" ht="15.75" customHeight="1">
      <c r="P3634" s="25"/>
      <c r="Q3634" s="25"/>
      <c r="R3634" s="25"/>
      <c r="S3634" s="25"/>
      <c r="T3634" s="141"/>
      <c r="U3634" s="28"/>
    </row>
    <row r="3635" ht="15.75" customHeight="1">
      <c r="P3635" s="25"/>
      <c r="Q3635" s="25"/>
      <c r="R3635" s="25"/>
      <c r="S3635" s="25"/>
      <c r="T3635" s="141"/>
      <c r="U3635" s="28"/>
    </row>
    <row r="3636" ht="15.75" customHeight="1">
      <c r="P3636" s="25"/>
      <c r="Q3636" s="25"/>
      <c r="R3636" s="25"/>
      <c r="S3636" s="25"/>
      <c r="T3636" s="141"/>
      <c r="U3636" s="28"/>
    </row>
    <row r="3637" ht="15.75" customHeight="1">
      <c r="P3637" s="25"/>
      <c r="Q3637" s="25"/>
      <c r="R3637" s="25"/>
      <c r="S3637" s="25"/>
      <c r="T3637" s="141"/>
      <c r="U3637" s="28"/>
    </row>
    <row r="3638" ht="15.75" customHeight="1">
      <c r="P3638" s="25"/>
      <c r="Q3638" s="25"/>
      <c r="R3638" s="25"/>
      <c r="S3638" s="25"/>
      <c r="T3638" s="141"/>
      <c r="U3638" s="28"/>
    </row>
    <row r="3639" ht="15.75" customHeight="1">
      <c r="P3639" s="25"/>
      <c r="Q3639" s="25"/>
      <c r="R3639" s="25"/>
      <c r="S3639" s="25"/>
      <c r="T3639" s="141"/>
      <c r="U3639" s="28"/>
    </row>
    <row r="3640" ht="15.75" customHeight="1">
      <c r="P3640" s="25"/>
      <c r="Q3640" s="25"/>
      <c r="R3640" s="25"/>
      <c r="S3640" s="25"/>
      <c r="T3640" s="141"/>
      <c r="U3640" s="28"/>
    </row>
    <row r="3641" ht="15.75" customHeight="1">
      <c r="P3641" s="25"/>
      <c r="Q3641" s="25"/>
      <c r="R3641" s="25"/>
      <c r="S3641" s="25"/>
      <c r="T3641" s="141"/>
      <c r="U3641" s="28"/>
    </row>
    <row r="3642" ht="15.75" customHeight="1">
      <c r="P3642" s="25"/>
      <c r="Q3642" s="25"/>
      <c r="R3642" s="25"/>
      <c r="S3642" s="25"/>
      <c r="T3642" s="141"/>
      <c r="U3642" s="28"/>
    </row>
    <row r="3643" ht="15.75" customHeight="1">
      <c r="P3643" s="25"/>
      <c r="Q3643" s="25"/>
      <c r="R3643" s="25"/>
      <c r="S3643" s="25"/>
      <c r="T3643" s="141"/>
      <c r="U3643" s="28"/>
    </row>
    <row r="3644" ht="15.75" customHeight="1">
      <c r="P3644" s="25"/>
      <c r="Q3644" s="25"/>
      <c r="R3644" s="25"/>
      <c r="S3644" s="25"/>
      <c r="T3644" s="141"/>
      <c r="U3644" s="28"/>
    </row>
    <row r="3645" ht="15.75" customHeight="1">
      <c r="P3645" s="25"/>
      <c r="Q3645" s="25"/>
      <c r="R3645" s="25"/>
      <c r="S3645" s="25"/>
      <c r="T3645" s="141"/>
      <c r="U3645" s="28"/>
    </row>
    <row r="3646" ht="15.75" customHeight="1">
      <c r="P3646" s="25"/>
      <c r="Q3646" s="25"/>
      <c r="R3646" s="25"/>
      <c r="S3646" s="25"/>
      <c r="T3646" s="141"/>
      <c r="U3646" s="28"/>
    </row>
    <row r="3647" ht="15.75" customHeight="1">
      <c r="P3647" s="25"/>
      <c r="Q3647" s="25"/>
      <c r="R3647" s="25"/>
      <c r="S3647" s="25"/>
      <c r="T3647" s="141"/>
      <c r="U3647" s="28"/>
    </row>
    <row r="3648" ht="15.75" customHeight="1">
      <c r="P3648" s="25"/>
      <c r="Q3648" s="25"/>
      <c r="R3648" s="25"/>
      <c r="S3648" s="25"/>
      <c r="T3648" s="141"/>
      <c r="U3648" s="28"/>
    </row>
    <row r="3649" ht="15.75" customHeight="1">
      <c r="P3649" s="25"/>
      <c r="Q3649" s="25"/>
      <c r="R3649" s="25"/>
      <c r="S3649" s="25"/>
      <c r="T3649" s="141"/>
      <c r="U3649" s="28"/>
    </row>
    <row r="3650" ht="15.75" customHeight="1">
      <c r="P3650" s="25"/>
      <c r="Q3650" s="25"/>
      <c r="R3650" s="25"/>
      <c r="S3650" s="25"/>
      <c r="T3650" s="141"/>
      <c r="U3650" s="28"/>
    </row>
    <row r="3651" ht="15.75" customHeight="1">
      <c r="P3651" s="25"/>
      <c r="Q3651" s="25"/>
      <c r="R3651" s="25"/>
      <c r="S3651" s="25"/>
      <c r="T3651" s="141"/>
      <c r="U3651" s="28"/>
    </row>
    <row r="3652" ht="15.75" customHeight="1">
      <c r="P3652" s="25"/>
      <c r="Q3652" s="25"/>
      <c r="R3652" s="25"/>
      <c r="S3652" s="25"/>
      <c r="T3652" s="141"/>
      <c r="U3652" s="28"/>
    </row>
    <row r="3653" ht="15.75" customHeight="1">
      <c r="P3653" s="25"/>
      <c r="Q3653" s="25"/>
      <c r="R3653" s="25"/>
      <c r="S3653" s="25"/>
      <c r="T3653" s="141"/>
      <c r="U3653" s="28"/>
    </row>
    <row r="3654" ht="15.75" customHeight="1">
      <c r="P3654" s="25"/>
      <c r="Q3654" s="25"/>
      <c r="R3654" s="25"/>
      <c r="S3654" s="25"/>
      <c r="T3654" s="141"/>
      <c r="U3654" s="28"/>
    </row>
    <row r="3655" ht="15.75" customHeight="1">
      <c r="P3655" s="25"/>
      <c r="Q3655" s="25"/>
      <c r="R3655" s="25"/>
      <c r="S3655" s="25"/>
      <c r="T3655" s="141"/>
      <c r="U3655" s="28"/>
    </row>
    <row r="3656" ht="15.75" customHeight="1">
      <c r="P3656" s="25"/>
      <c r="Q3656" s="25"/>
      <c r="R3656" s="25"/>
      <c r="S3656" s="25"/>
      <c r="T3656" s="141"/>
      <c r="U3656" s="28"/>
    </row>
    <row r="3657" ht="15.75" customHeight="1">
      <c r="P3657" s="25"/>
      <c r="Q3657" s="25"/>
      <c r="R3657" s="25"/>
      <c r="S3657" s="25"/>
      <c r="T3657" s="141"/>
      <c r="U3657" s="28"/>
    </row>
    <row r="3658" ht="15.75" customHeight="1">
      <c r="P3658" s="25"/>
      <c r="Q3658" s="25"/>
      <c r="R3658" s="25"/>
      <c r="S3658" s="25"/>
      <c r="T3658" s="141"/>
      <c r="U3658" s="28"/>
    </row>
    <row r="3659" ht="15.75" customHeight="1">
      <c r="P3659" s="25"/>
      <c r="Q3659" s="25"/>
      <c r="R3659" s="25"/>
      <c r="S3659" s="25"/>
      <c r="T3659" s="141"/>
      <c r="U3659" s="28"/>
    </row>
    <row r="3660" ht="15.75" customHeight="1">
      <c r="P3660" s="25"/>
      <c r="Q3660" s="25"/>
      <c r="R3660" s="25"/>
      <c r="S3660" s="25"/>
      <c r="T3660" s="141"/>
      <c r="U3660" s="28"/>
    </row>
    <row r="3661" ht="15.75" customHeight="1">
      <c r="P3661" s="25"/>
      <c r="Q3661" s="25"/>
      <c r="R3661" s="25"/>
      <c r="S3661" s="25"/>
      <c r="T3661" s="141"/>
      <c r="U3661" s="28"/>
    </row>
    <row r="3662" ht="15.75" customHeight="1">
      <c r="P3662" s="25"/>
      <c r="Q3662" s="25"/>
      <c r="R3662" s="25"/>
      <c r="S3662" s="25"/>
      <c r="T3662" s="141"/>
      <c r="U3662" s="28"/>
    </row>
    <row r="3663" ht="15.75" customHeight="1">
      <c r="P3663" s="25"/>
      <c r="Q3663" s="25"/>
      <c r="R3663" s="25"/>
      <c r="S3663" s="25"/>
      <c r="T3663" s="141"/>
      <c r="U3663" s="28"/>
    </row>
    <row r="3664" ht="15.75" customHeight="1">
      <c r="P3664" s="25"/>
      <c r="Q3664" s="25"/>
      <c r="R3664" s="25"/>
      <c r="S3664" s="25"/>
      <c r="T3664" s="141"/>
      <c r="U3664" s="28"/>
    </row>
    <row r="3665" ht="15.75" customHeight="1">
      <c r="P3665" s="25"/>
      <c r="Q3665" s="25"/>
      <c r="R3665" s="25"/>
      <c r="S3665" s="25"/>
      <c r="T3665" s="141"/>
      <c r="U3665" s="28"/>
    </row>
    <row r="3666" ht="15.75" customHeight="1">
      <c r="P3666" s="25"/>
      <c r="Q3666" s="25"/>
      <c r="R3666" s="25"/>
      <c r="S3666" s="25"/>
      <c r="T3666" s="141"/>
      <c r="U3666" s="28"/>
    </row>
    <row r="3667" ht="15.75" customHeight="1">
      <c r="P3667" s="25"/>
      <c r="Q3667" s="25"/>
      <c r="R3667" s="25"/>
      <c r="S3667" s="25"/>
      <c r="T3667" s="141"/>
      <c r="U3667" s="28"/>
    </row>
    <row r="3668" ht="15.75" customHeight="1">
      <c r="P3668" s="25"/>
      <c r="Q3668" s="25"/>
      <c r="R3668" s="25"/>
      <c r="S3668" s="25"/>
      <c r="T3668" s="141"/>
      <c r="U3668" s="28"/>
    </row>
    <row r="3669" ht="15.75" customHeight="1">
      <c r="P3669" s="25"/>
      <c r="Q3669" s="25"/>
      <c r="R3669" s="25"/>
      <c r="S3669" s="25"/>
      <c r="T3669" s="141"/>
      <c r="U3669" s="28"/>
    </row>
    <row r="3670" ht="15.75" customHeight="1">
      <c r="P3670" s="25"/>
      <c r="Q3670" s="25"/>
      <c r="R3670" s="25"/>
      <c r="S3670" s="25"/>
      <c r="T3670" s="141"/>
      <c r="U3670" s="28"/>
    </row>
    <row r="3671" ht="15.75" customHeight="1">
      <c r="P3671" s="25"/>
      <c r="Q3671" s="25"/>
      <c r="R3671" s="25"/>
      <c r="S3671" s="25"/>
      <c r="T3671" s="141"/>
      <c r="U3671" s="28"/>
    </row>
    <row r="3672" ht="15.75" customHeight="1">
      <c r="P3672" s="25"/>
      <c r="Q3672" s="25"/>
      <c r="R3672" s="25"/>
      <c r="S3672" s="25"/>
      <c r="T3672" s="141"/>
      <c r="U3672" s="28"/>
    </row>
    <row r="3673" ht="15.75" customHeight="1">
      <c r="P3673" s="25"/>
      <c r="Q3673" s="25"/>
      <c r="R3673" s="25"/>
      <c r="S3673" s="25"/>
      <c r="T3673" s="141"/>
      <c r="U3673" s="28"/>
    </row>
    <row r="3674" ht="15.75" customHeight="1">
      <c r="P3674" s="25"/>
      <c r="Q3674" s="25"/>
      <c r="R3674" s="25"/>
      <c r="S3674" s="25"/>
      <c r="T3674" s="141"/>
      <c r="U3674" s="28"/>
    </row>
    <row r="3675" ht="15.75" customHeight="1">
      <c r="P3675" s="25"/>
      <c r="Q3675" s="25"/>
      <c r="R3675" s="25"/>
      <c r="S3675" s="25"/>
      <c r="T3675" s="141"/>
      <c r="U3675" s="28"/>
    </row>
    <row r="3676" ht="15.75" customHeight="1">
      <c r="P3676" s="25"/>
      <c r="Q3676" s="25"/>
      <c r="R3676" s="25"/>
      <c r="S3676" s="25"/>
      <c r="T3676" s="141"/>
      <c r="U3676" s="28"/>
    </row>
    <row r="3677" ht="15.75" customHeight="1">
      <c r="P3677" s="25"/>
      <c r="Q3677" s="25"/>
      <c r="R3677" s="25"/>
      <c r="S3677" s="25"/>
      <c r="T3677" s="141"/>
      <c r="U3677" s="28"/>
    </row>
    <row r="3678" ht="15.75" customHeight="1">
      <c r="P3678" s="25"/>
      <c r="Q3678" s="25"/>
      <c r="R3678" s="25"/>
      <c r="S3678" s="25"/>
      <c r="T3678" s="141"/>
      <c r="U3678" s="28"/>
    </row>
    <row r="3679" ht="15.75" customHeight="1">
      <c r="P3679" s="25"/>
      <c r="Q3679" s="25"/>
      <c r="R3679" s="25"/>
      <c r="S3679" s="25"/>
      <c r="T3679" s="141"/>
      <c r="U3679" s="28"/>
    </row>
    <row r="3680" ht="15.75" customHeight="1">
      <c r="P3680" s="25"/>
      <c r="Q3680" s="25"/>
      <c r="R3680" s="25"/>
      <c r="S3680" s="25"/>
      <c r="T3680" s="141"/>
      <c r="U3680" s="28"/>
    </row>
    <row r="3681" ht="15.75" customHeight="1">
      <c r="P3681" s="25"/>
      <c r="Q3681" s="25"/>
      <c r="R3681" s="25"/>
      <c r="S3681" s="25"/>
      <c r="T3681" s="141"/>
      <c r="U3681" s="28"/>
    </row>
    <row r="3682" ht="15.75" customHeight="1">
      <c r="P3682" s="25"/>
      <c r="Q3682" s="25"/>
      <c r="R3682" s="25"/>
      <c r="S3682" s="25"/>
      <c r="T3682" s="141"/>
      <c r="U3682" s="28"/>
    </row>
    <row r="3683" ht="15.75" customHeight="1">
      <c r="P3683" s="25"/>
      <c r="Q3683" s="25"/>
      <c r="R3683" s="25"/>
      <c r="S3683" s="25"/>
      <c r="T3683" s="141"/>
      <c r="U3683" s="28"/>
    </row>
    <row r="3684" ht="15.75" customHeight="1">
      <c r="P3684" s="25"/>
      <c r="Q3684" s="25"/>
      <c r="R3684" s="25"/>
      <c r="S3684" s="25"/>
      <c r="T3684" s="141"/>
      <c r="U3684" s="28"/>
    </row>
    <row r="3685" ht="15.75" customHeight="1">
      <c r="P3685" s="25"/>
      <c r="Q3685" s="25"/>
      <c r="R3685" s="25"/>
      <c r="S3685" s="25"/>
      <c r="T3685" s="141"/>
      <c r="U3685" s="28"/>
    </row>
    <row r="3686" ht="15.75" customHeight="1">
      <c r="P3686" s="25"/>
      <c r="Q3686" s="25"/>
      <c r="R3686" s="25"/>
      <c r="S3686" s="25"/>
      <c r="T3686" s="141"/>
      <c r="U3686" s="28"/>
    </row>
    <row r="3687" ht="15.75" customHeight="1">
      <c r="P3687" s="25"/>
      <c r="Q3687" s="25"/>
      <c r="R3687" s="25"/>
      <c r="S3687" s="25"/>
      <c r="T3687" s="141"/>
      <c r="U3687" s="28"/>
    </row>
    <row r="3688" ht="15.75" customHeight="1">
      <c r="P3688" s="25"/>
      <c r="Q3688" s="25"/>
      <c r="R3688" s="25"/>
      <c r="S3688" s="25"/>
      <c r="T3688" s="141"/>
      <c r="U3688" s="28"/>
    </row>
    <row r="3689" ht="15.75" customHeight="1">
      <c r="P3689" s="25"/>
      <c r="Q3689" s="25"/>
      <c r="R3689" s="25"/>
      <c r="S3689" s="25"/>
      <c r="T3689" s="141"/>
      <c r="U3689" s="28"/>
    </row>
    <row r="3690" ht="15.75" customHeight="1">
      <c r="P3690" s="25"/>
      <c r="Q3690" s="25"/>
      <c r="R3690" s="25"/>
      <c r="S3690" s="25"/>
      <c r="T3690" s="141"/>
      <c r="U3690" s="28"/>
    </row>
    <row r="3691" ht="15.75" customHeight="1">
      <c r="P3691" s="25"/>
      <c r="Q3691" s="25"/>
      <c r="R3691" s="25"/>
      <c r="S3691" s="25"/>
      <c r="T3691" s="141"/>
      <c r="U3691" s="28"/>
    </row>
    <row r="3692" ht="15.75" customHeight="1">
      <c r="P3692" s="25"/>
      <c r="Q3692" s="25"/>
      <c r="R3692" s="25"/>
      <c r="S3692" s="25"/>
      <c r="T3692" s="141"/>
      <c r="U3692" s="28"/>
    </row>
    <row r="3693" ht="15.75" customHeight="1">
      <c r="P3693" s="25"/>
      <c r="Q3693" s="25"/>
      <c r="R3693" s="25"/>
      <c r="S3693" s="25"/>
      <c r="T3693" s="141"/>
      <c r="U3693" s="28"/>
    </row>
    <row r="3694" ht="15.75" customHeight="1">
      <c r="P3694" s="25"/>
      <c r="Q3694" s="25"/>
      <c r="R3694" s="25"/>
      <c r="S3694" s="25"/>
      <c r="T3694" s="141"/>
      <c r="U3694" s="28"/>
    </row>
    <row r="3695" ht="15.75" customHeight="1">
      <c r="P3695" s="25"/>
      <c r="Q3695" s="25"/>
      <c r="R3695" s="25"/>
      <c r="S3695" s="25"/>
      <c r="T3695" s="141"/>
      <c r="U3695" s="28"/>
    </row>
    <row r="3696" ht="15.75" customHeight="1">
      <c r="P3696" s="25"/>
      <c r="Q3696" s="25"/>
      <c r="R3696" s="25"/>
      <c r="S3696" s="25"/>
      <c r="T3696" s="141"/>
      <c r="U3696" s="28"/>
    </row>
    <row r="3697" ht="15.75" customHeight="1">
      <c r="P3697" s="25"/>
      <c r="Q3697" s="25"/>
      <c r="R3697" s="25"/>
      <c r="S3697" s="25"/>
      <c r="T3697" s="141"/>
      <c r="U3697" s="28"/>
    </row>
    <row r="3698" ht="15.75" customHeight="1">
      <c r="P3698" s="25"/>
      <c r="Q3698" s="25"/>
      <c r="R3698" s="25"/>
      <c r="S3698" s="25"/>
      <c r="T3698" s="141"/>
      <c r="U3698" s="28"/>
    </row>
    <row r="3699" ht="15.75" customHeight="1">
      <c r="P3699" s="25"/>
      <c r="Q3699" s="25"/>
      <c r="R3699" s="25"/>
      <c r="S3699" s="25"/>
      <c r="T3699" s="141"/>
      <c r="U3699" s="28"/>
    </row>
    <row r="3700" ht="15.75" customHeight="1">
      <c r="P3700" s="25"/>
      <c r="Q3700" s="25"/>
      <c r="R3700" s="25"/>
      <c r="S3700" s="25"/>
      <c r="T3700" s="141"/>
      <c r="U3700" s="28"/>
    </row>
    <row r="3701" ht="15.75" customHeight="1">
      <c r="P3701" s="25"/>
      <c r="Q3701" s="25"/>
      <c r="R3701" s="25"/>
      <c r="S3701" s="25"/>
      <c r="T3701" s="141"/>
      <c r="U3701" s="28"/>
    </row>
    <row r="3702" ht="15.75" customHeight="1">
      <c r="P3702" s="25"/>
      <c r="Q3702" s="25"/>
      <c r="R3702" s="25"/>
      <c r="S3702" s="25"/>
      <c r="T3702" s="141"/>
      <c r="U3702" s="28"/>
    </row>
    <row r="3703" ht="15.75" customHeight="1">
      <c r="P3703" s="25"/>
      <c r="Q3703" s="25"/>
      <c r="R3703" s="25"/>
      <c r="S3703" s="25"/>
      <c r="T3703" s="141"/>
      <c r="U3703" s="28"/>
    </row>
    <row r="3704" ht="15.75" customHeight="1">
      <c r="P3704" s="25"/>
      <c r="Q3704" s="25"/>
      <c r="R3704" s="25"/>
      <c r="S3704" s="25"/>
      <c r="T3704" s="141"/>
      <c r="U3704" s="28"/>
    </row>
    <row r="3705" ht="15.75" customHeight="1">
      <c r="P3705" s="25"/>
      <c r="Q3705" s="25"/>
      <c r="R3705" s="25"/>
      <c r="S3705" s="25"/>
      <c r="T3705" s="141"/>
      <c r="U3705" s="28"/>
    </row>
    <row r="3706" ht="15.75" customHeight="1">
      <c r="P3706" s="25"/>
      <c r="Q3706" s="25"/>
      <c r="R3706" s="25"/>
      <c r="S3706" s="25"/>
      <c r="T3706" s="141"/>
      <c r="U3706" s="28"/>
    </row>
    <row r="3707" ht="15.75" customHeight="1">
      <c r="P3707" s="25"/>
      <c r="Q3707" s="25"/>
      <c r="R3707" s="25"/>
      <c r="S3707" s="25"/>
      <c r="T3707" s="141"/>
      <c r="U3707" s="28"/>
    </row>
    <row r="3708" ht="15.75" customHeight="1">
      <c r="P3708" s="25"/>
      <c r="Q3708" s="25"/>
      <c r="R3708" s="25"/>
      <c r="S3708" s="25"/>
      <c r="T3708" s="141"/>
      <c r="U3708" s="28"/>
    </row>
    <row r="3709" ht="15.75" customHeight="1">
      <c r="P3709" s="25"/>
      <c r="Q3709" s="25"/>
      <c r="R3709" s="25"/>
      <c r="S3709" s="25"/>
      <c r="T3709" s="141"/>
      <c r="U3709" s="28"/>
    </row>
    <row r="3710" ht="15.75" customHeight="1">
      <c r="P3710" s="25"/>
      <c r="Q3710" s="25"/>
      <c r="R3710" s="25"/>
      <c r="S3710" s="25"/>
      <c r="T3710" s="141"/>
      <c r="U3710" s="28"/>
    </row>
    <row r="3711" ht="15.75" customHeight="1">
      <c r="P3711" s="25"/>
      <c r="Q3711" s="25"/>
      <c r="R3711" s="25"/>
      <c r="S3711" s="25"/>
      <c r="T3711" s="141"/>
      <c r="U3711" s="28"/>
    </row>
    <row r="3712" ht="15.75" customHeight="1">
      <c r="P3712" s="25"/>
      <c r="Q3712" s="25"/>
      <c r="R3712" s="25"/>
      <c r="S3712" s="25"/>
      <c r="T3712" s="141"/>
      <c r="U3712" s="28"/>
    </row>
    <row r="3713" ht="15.75" customHeight="1">
      <c r="P3713" s="25"/>
      <c r="Q3713" s="25"/>
      <c r="R3713" s="25"/>
      <c r="S3713" s="25"/>
      <c r="T3713" s="141"/>
      <c r="U3713" s="28"/>
    </row>
    <row r="3714" ht="15.75" customHeight="1">
      <c r="P3714" s="25"/>
      <c r="Q3714" s="25"/>
      <c r="R3714" s="25"/>
      <c r="S3714" s="25"/>
      <c r="T3714" s="141"/>
      <c r="U3714" s="28"/>
    </row>
    <row r="3715" ht="15.75" customHeight="1">
      <c r="P3715" s="25"/>
      <c r="Q3715" s="25"/>
      <c r="R3715" s="25"/>
      <c r="S3715" s="25"/>
      <c r="T3715" s="141"/>
      <c r="U3715" s="28"/>
    </row>
    <row r="3716" ht="15.75" customHeight="1">
      <c r="P3716" s="25"/>
      <c r="Q3716" s="25"/>
      <c r="R3716" s="25"/>
      <c r="S3716" s="25"/>
      <c r="T3716" s="141"/>
      <c r="U3716" s="28"/>
    </row>
    <row r="3717" ht="15.75" customHeight="1">
      <c r="P3717" s="25"/>
      <c r="Q3717" s="25"/>
      <c r="R3717" s="25"/>
      <c r="S3717" s="25"/>
      <c r="T3717" s="141"/>
      <c r="U3717" s="28"/>
    </row>
    <row r="3718" ht="15.75" customHeight="1">
      <c r="P3718" s="25"/>
      <c r="Q3718" s="25"/>
      <c r="R3718" s="25"/>
      <c r="S3718" s="25"/>
      <c r="T3718" s="141"/>
      <c r="U3718" s="28"/>
    </row>
    <row r="3719" ht="15.75" customHeight="1">
      <c r="P3719" s="25"/>
      <c r="Q3719" s="25"/>
      <c r="R3719" s="25"/>
      <c r="S3719" s="25"/>
      <c r="T3719" s="141"/>
      <c r="U3719" s="28"/>
    </row>
    <row r="3720" ht="15.75" customHeight="1">
      <c r="P3720" s="25"/>
      <c r="Q3720" s="25"/>
      <c r="R3720" s="25"/>
      <c r="S3720" s="25"/>
      <c r="T3720" s="141"/>
      <c r="U3720" s="28"/>
    </row>
    <row r="3721" ht="15.75" customHeight="1">
      <c r="P3721" s="25"/>
      <c r="Q3721" s="25"/>
      <c r="R3721" s="25"/>
      <c r="S3721" s="25"/>
      <c r="T3721" s="141"/>
      <c r="U3721" s="28"/>
    </row>
    <row r="3722" ht="15.75" customHeight="1">
      <c r="P3722" s="25"/>
      <c r="Q3722" s="25"/>
      <c r="R3722" s="25"/>
      <c r="S3722" s="25"/>
      <c r="T3722" s="141"/>
      <c r="U3722" s="28"/>
    </row>
    <row r="3723" ht="15.75" customHeight="1">
      <c r="P3723" s="25"/>
      <c r="Q3723" s="25"/>
      <c r="R3723" s="25"/>
      <c r="S3723" s="25"/>
      <c r="T3723" s="141"/>
      <c r="U3723" s="28"/>
    </row>
    <row r="3724" ht="15.75" customHeight="1">
      <c r="P3724" s="25"/>
      <c r="Q3724" s="25"/>
      <c r="R3724" s="25"/>
      <c r="S3724" s="25"/>
      <c r="T3724" s="141"/>
      <c r="U3724" s="28"/>
    </row>
    <row r="3725" ht="15.75" customHeight="1">
      <c r="P3725" s="25"/>
      <c r="Q3725" s="25"/>
      <c r="R3725" s="25"/>
      <c r="S3725" s="25"/>
      <c r="T3725" s="141"/>
      <c r="U3725" s="28"/>
    </row>
    <row r="3726" ht="15.75" customHeight="1">
      <c r="P3726" s="25"/>
      <c r="Q3726" s="25"/>
      <c r="R3726" s="25"/>
      <c r="S3726" s="25"/>
      <c r="T3726" s="141"/>
      <c r="U3726" s="28"/>
    </row>
    <row r="3727" ht="15.75" customHeight="1">
      <c r="P3727" s="25"/>
      <c r="Q3727" s="25"/>
      <c r="R3727" s="25"/>
      <c r="S3727" s="25"/>
      <c r="T3727" s="141"/>
      <c r="U3727" s="28"/>
    </row>
    <row r="3728" ht="15.75" customHeight="1">
      <c r="P3728" s="25"/>
      <c r="Q3728" s="25"/>
      <c r="R3728" s="25"/>
      <c r="S3728" s="25"/>
      <c r="T3728" s="141"/>
      <c r="U3728" s="28"/>
    </row>
    <row r="3729" ht="15.75" customHeight="1">
      <c r="P3729" s="25"/>
      <c r="Q3729" s="25"/>
      <c r="R3729" s="25"/>
      <c r="S3729" s="25"/>
      <c r="T3729" s="141"/>
      <c r="U3729" s="28"/>
    </row>
    <row r="3730" ht="15.75" customHeight="1">
      <c r="P3730" s="25"/>
      <c r="Q3730" s="25"/>
      <c r="R3730" s="25"/>
      <c r="S3730" s="25"/>
      <c r="T3730" s="141"/>
      <c r="U3730" s="28"/>
    </row>
    <row r="3731" ht="15.75" customHeight="1">
      <c r="P3731" s="25"/>
      <c r="Q3731" s="25"/>
      <c r="R3731" s="25"/>
      <c r="S3731" s="25"/>
      <c r="T3731" s="141"/>
      <c r="U3731" s="28"/>
    </row>
    <row r="3732" ht="15.75" customHeight="1">
      <c r="P3732" s="25"/>
      <c r="Q3732" s="25"/>
      <c r="R3732" s="25"/>
      <c r="S3732" s="25"/>
      <c r="T3732" s="141"/>
      <c r="U3732" s="28"/>
    </row>
    <row r="3733" ht="15.75" customHeight="1">
      <c r="P3733" s="25"/>
      <c r="Q3733" s="25"/>
      <c r="R3733" s="25"/>
      <c r="S3733" s="25"/>
      <c r="T3733" s="141"/>
      <c r="U3733" s="28"/>
    </row>
    <row r="3734" ht="15.75" customHeight="1">
      <c r="P3734" s="25"/>
      <c r="Q3734" s="25"/>
      <c r="R3734" s="25"/>
      <c r="S3734" s="25"/>
      <c r="T3734" s="141"/>
      <c r="U3734" s="28"/>
    </row>
    <row r="3735" ht="15.75" customHeight="1">
      <c r="P3735" s="25"/>
      <c r="Q3735" s="25"/>
      <c r="R3735" s="25"/>
      <c r="S3735" s="25"/>
      <c r="T3735" s="141"/>
      <c r="U3735" s="28"/>
    </row>
    <row r="3736" ht="15.75" customHeight="1">
      <c r="P3736" s="25"/>
      <c r="Q3736" s="25"/>
      <c r="R3736" s="25"/>
      <c r="S3736" s="25"/>
      <c r="T3736" s="141"/>
      <c r="U3736" s="28"/>
    </row>
    <row r="3737" ht="15.75" customHeight="1">
      <c r="P3737" s="25"/>
      <c r="Q3737" s="25"/>
      <c r="R3737" s="25"/>
      <c r="S3737" s="25"/>
      <c r="T3737" s="141"/>
      <c r="U3737" s="28"/>
    </row>
    <row r="3738" ht="15.75" customHeight="1">
      <c r="P3738" s="25"/>
      <c r="Q3738" s="25"/>
      <c r="R3738" s="25"/>
      <c r="S3738" s="25"/>
      <c r="T3738" s="141"/>
      <c r="U3738" s="28"/>
    </row>
    <row r="3739" ht="15.75" customHeight="1">
      <c r="P3739" s="25"/>
      <c r="Q3739" s="25"/>
      <c r="R3739" s="25"/>
      <c r="S3739" s="25"/>
      <c r="T3739" s="141"/>
      <c r="U3739" s="28"/>
    </row>
    <row r="3740" ht="15.75" customHeight="1">
      <c r="P3740" s="25"/>
      <c r="Q3740" s="25"/>
      <c r="R3740" s="25"/>
      <c r="S3740" s="25"/>
      <c r="T3740" s="141"/>
      <c r="U3740" s="28"/>
    </row>
    <row r="3741" ht="15.75" customHeight="1">
      <c r="P3741" s="25"/>
      <c r="Q3741" s="25"/>
      <c r="R3741" s="25"/>
      <c r="S3741" s="25"/>
      <c r="T3741" s="141"/>
      <c r="U3741" s="28"/>
    </row>
    <row r="3742" ht="15.75" customHeight="1">
      <c r="P3742" s="25"/>
      <c r="Q3742" s="25"/>
      <c r="R3742" s="25"/>
      <c r="S3742" s="25"/>
      <c r="T3742" s="141"/>
      <c r="U3742" s="28"/>
    </row>
    <row r="3743" ht="15.75" customHeight="1">
      <c r="P3743" s="25"/>
      <c r="Q3743" s="25"/>
      <c r="R3743" s="25"/>
      <c r="S3743" s="25"/>
      <c r="T3743" s="141"/>
      <c r="U3743" s="28"/>
    </row>
    <row r="3744" ht="15.75" customHeight="1">
      <c r="P3744" s="25"/>
      <c r="Q3744" s="25"/>
      <c r="R3744" s="25"/>
      <c r="S3744" s="25"/>
      <c r="T3744" s="141"/>
      <c r="U3744" s="28"/>
    </row>
    <row r="3745" ht="15.75" customHeight="1">
      <c r="P3745" s="25"/>
      <c r="Q3745" s="25"/>
      <c r="R3745" s="25"/>
      <c r="S3745" s="25"/>
      <c r="T3745" s="141"/>
      <c r="U3745" s="28"/>
    </row>
    <row r="3746" ht="15.75" customHeight="1">
      <c r="P3746" s="25"/>
      <c r="Q3746" s="25"/>
      <c r="R3746" s="25"/>
      <c r="S3746" s="25"/>
      <c r="T3746" s="141"/>
      <c r="U3746" s="28"/>
    </row>
    <row r="3747" ht="15.75" customHeight="1">
      <c r="P3747" s="25"/>
      <c r="Q3747" s="25"/>
      <c r="R3747" s="25"/>
      <c r="S3747" s="25"/>
      <c r="T3747" s="141"/>
      <c r="U3747" s="28"/>
    </row>
    <row r="3748" ht="15.75" customHeight="1">
      <c r="P3748" s="25"/>
      <c r="Q3748" s="25"/>
      <c r="R3748" s="25"/>
      <c r="S3748" s="25"/>
      <c r="T3748" s="141"/>
      <c r="U3748" s="28"/>
    </row>
    <row r="3749" ht="15.75" customHeight="1">
      <c r="P3749" s="25"/>
      <c r="Q3749" s="25"/>
      <c r="R3749" s="25"/>
      <c r="S3749" s="25"/>
      <c r="T3749" s="141"/>
      <c r="U3749" s="28"/>
    </row>
    <row r="3750" ht="15.75" customHeight="1">
      <c r="P3750" s="25"/>
      <c r="Q3750" s="25"/>
      <c r="R3750" s="25"/>
      <c r="S3750" s="25"/>
      <c r="T3750" s="141"/>
      <c r="U3750" s="28"/>
    </row>
    <row r="3751" ht="15.75" customHeight="1">
      <c r="P3751" s="25"/>
      <c r="Q3751" s="25"/>
      <c r="R3751" s="25"/>
      <c r="S3751" s="25"/>
      <c r="T3751" s="141"/>
      <c r="U3751" s="28"/>
    </row>
    <row r="3752" ht="15.75" customHeight="1">
      <c r="P3752" s="25"/>
      <c r="Q3752" s="25"/>
      <c r="R3752" s="25"/>
      <c r="S3752" s="25"/>
      <c r="T3752" s="141"/>
      <c r="U3752" s="28"/>
    </row>
    <row r="3753" ht="15.75" customHeight="1">
      <c r="P3753" s="25"/>
      <c r="Q3753" s="25"/>
      <c r="R3753" s="25"/>
      <c r="S3753" s="25"/>
      <c r="T3753" s="141"/>
      <c r="U3753" s="28"/>
    </row>
    <row r="3754" ht="15.75" customHeight="1">
      <c r="P3754" s="25"/>
      <c r="Q3754" s="25"/>
      <c r="R3754" s="25"/>
      <c r="S3754" s="25"/>
      <c r="T3754" s="141"/>
      <c r="U3754" s="28"/>
    </row>
    <row r="3755" ht="15.75" customHeight="1">
      <c r="P3755" s="25"/>
      <c r="Q3755" s="25"/>
      <c r="R3755" s="25"/>
      <c r="S3755" s="25"/>
      <c r="T3755" s="141"/>
      <c r="U3755" s="28"/>
    </row>
    <row r="3756" ht="15.75" customHeight="1">
      <c r="P3756" s="25"/>
      <c r="Q3756" s="25"/>
      <c r="R3756" s="25"/>
      <c r="S3756" s="25"/>
      <c r="T3756" s="141"/>
      <c r="U3756" s="28"/>
    </row>
    <row r="3757" ht="15.75" customHeight="1">
      <c r="P3757" s="25"/>
      <c r="Q3757" s="25"/>
      <c r="R3757" s="25"/>
      <c r="S3757" s="25"/>
      <c r="T3757" s="141"/>
      <c r="U3757" s="28"/>
    </row>
    <row r="3758" ht="15.75" customHeight="1">
      <c r="P3758" s="25"/>
      <c r="Q3758" s="25"/>
      <c r="R3758" s="25"/>
      <c r="S3758" s="25"/>
      <c r="T3758" s="141"/>
      <c r="U3758" s="28"/>
    </row>
    <row r="3759" ht="15.75" customHeight="1">
      <c r="P3759" s="25"/>
      <c r="Q3759" s="25"/>
      <c r="R3759" s="25"/>
      <c r="S3759" s="25"/>
      <c r="T3759" s="141"/>
      <c r="U3759" s="28"/>
    </row>
    <row r="3760" ht="15.75" customHeight="1">
      <c r="P3760" s="25"/>
      <c r="Q3760" s="25"/>
      <c r="R3760" s="25"/>
      <c r="S3760" s="25"/>
      <c r="T3760" s="141"/>
      <c r="U3760" s="28"/>
    </row>
    <row r="3761" ht="15.75" customHeight="1">
      <c r="P3761" s="25"/>
      <c r="Q3761" s="25"/>
      <c r="R3761" s="25"/>
      <c r="S3761" s="25"/>
      <c r="T3761" s="141"/>
      <c r="U3761" s="28"/>
    </row>
    <row r="3762" ht="15.75" customHeight="1">
      <c r="P3762" s="25"/>
      <c r="Q3762" s="25"/>
      <c r="R3762" s="25"/>
      <c r="S3762" s="25"/>
      <c r="T3762" s="141"/>
      <c r="U3762" s="28"/>
    </row>
    <row r="3763" ht="15.75" customHeight="1">
      <c r="P3763" s="25"/>
      <c r="Q3763" s="25"/>
      <c r="R3763" s="25"/>
      <c r="S3763" s="25"/>
      <c r="T3763" s="141"/>
      <c r="U3763" s="28"/>
    </row>
    <row r="3764" ht="15.75" customHeight="1">
      <c r="P3764" s="25"/>
      <c r="Q3764" s="25"/>
      <c r="R3764" s="25"/>
      <c r="S3764" s="25"/>
      <c r="T3764" s="141"/>
      <c r="U3764" s="28"/>
    </row>
    <row r="3765" ht="15.75" customHeight="1">
      <c r="P3765" s="25"/>
      <c r="Q3765" s="25"/>
      <c r="R3765" s="25"/>
      <c r="S3765" s="25"/>
      <c r="T3765" s="141"/>
      <c r="U3765" s="28"/>
    </row>
    <row r="3766" ht="15.75" customHeight="1">
      <c r="P3766" s="25"/>
      <c r="Q3766" s="25"/>
      <c r="R3766" s="25"/>
      <c r="S3766" s="25"/>
      <c r="T3766" s="141"/>
      <c r="U3766" s="28"/>
    </row>
    <row r="3767" ht="15.75" customHeight="1">
      <c r="P3767" s="25"/>
      <c r="Q3767" s="25"/>
      <c r="R3767" s="25"/>
      <c r="S3767" s="25"/>
      <c r="T3767" s="141"/>
      <c r="U3767" s="28"/>
    </row>
    <row r="3768" ht="15.75" customHeight="1">
      <c r="P3768" s="25"/>
      <c r="Q3768" s="25"/>
      <c r="R3768" s="25"/>
      <c r="S3768" s="25"/>
      <c r="T3768" s="141"/>
      <c r="U3768" s="28"/>
    </row>
    <row r="3769" ht="15.75" customHeight="1">
      <c r="P3769" s="25"/>
      <c r="Q3769" s="25"/>
      <c r="R3769" s="25"/>
      <c r="S3769" s="25"/>
      <c r="T3769" s="141"/>
      <c r="U3769" s="28"/>
    </row>
    <row r="3770" ht="15.75" customHeight="1">
      <c r="P3770" s="25"/>
      <c r="Q3770" s="25"/>
      <c r="R3770" s="25"/>
      <c r="S3770" s="25"/>
      <c r="T3770" s="141"/>
      <c r="U3770" s="28"/>
    </row>
    <row r="3771" ht="15.75" customHeight="1">
      <c r="P3771" s="25"/>
      <c r="Q3771" s="25"/>
      <c r="R3771" s="25"/>
      <c r="S3771" s="25"/>
      <c r="T3771" s="141"/>
      <c r="U3771" s="28"/>
    </row>
    <row r="3772" ht="15.75" customHeight="1">
      <c r="P3772" s="25"/>
      <c r="Q3772" s="25"/>
      <c r="R3772" s="25"/>
      <c r="S3772" s="25"/>
      <c r="T3772" s="141"/>
      <c r="U3772" s="28"/>
    </row>
    <row r="3773" ht="15.75" customHeight="1">
      <c r="P3773" s="25"/>
      <c r="Q3773" s="25"/>
      <c r="R3773" s="25"/>
      <c r="S3773" s="25"/>
      <c r="T3773" s="141"/>
      <c r="U3773" s="28"/>
    </row>
    <row r="3774" ht="15.75" customHeight="1">
      <c r="P3774" s="25"/>
      <c r="Q3774" s="25"/>
      <c r="R3774" s="25"/>
      <c r="S3774" s="25"/>
      <c r="T3774" s="141"/>
      <c r="U3774" s="28"/>
    </row>
    <row r="3775" ht="15.75" customHeight="1">
      <c r="P3775" s="25"/>
      <c r="Q3775" s="25"/>
      <c r="R3775" s="25"/>
      <c r="S3775" s="25"/>
      <c r="T3775" s="141"/>
      <c r="U3775" s="28"/>
    </row>
    <row r="3776" ht="15.75" customHeight="1">
      <c r="P3776" s="25"/>
      <c r="Q3776" s="25"/>
      <c r="R3776" s="25"/>
      <c r="S3776" s="25"/>
      <c r="T3776" s="141"/>
      <c r="U3776" s="28"/>
    </row>
    <row r="3777" ht="15.75" customHeight="1">
      <c r="P3777" s="25"/>
      <c r="Q3777" s="25"/>
      <c r="R3777" s="25"/>
      <c r="S3777" s="25"/>
      <c r="T3777" s="141"/>
      <c r="U3777" s="28"/>
    </row>
    <row r="3778" ht="15.75" customHeight="1">
      <c r="P3778" s="25"/>
      <c r="Q3778" s="25"/>
      <c r="R3778" s="25"/>
      <c r="S3778" s="25"/>
      <c r="T3778" s="141"/>
      <c r="U3778" s="28"/>
    </row>
    <row r="3779" ht="15.75" customHeight="1">
      <c r="P3779" s="25"/>
      <c r="Q3779" s="25"/>
      <c r="R3779" s="25"/>
      <c r="S3779" s="25"/>
      <c r="T3779" s="141"/>
      <c r="U3779" s="28"/>
    </row>
    <row r="3780" ht="15.75" customHeight="1">
      <c r="P3780" s="25"/>
      <c r="Q3780" s="25"/>
      <c r="R3780" s="25"/>
      <c r="S3780" s="25"/>
      <c r="T3780" s="141"/>
      <c r="U3780" s="28"/>
    </row>
    <row r="3781" ht="15.75" customHeight="1">
      <c r="P3781" s="25"/>
      <c r="Q3781" s="25"/>
      <c r="R3781" s="25"/>
      <c r="S3781" s="25"/>
      <c r="T3781" s="141"/>
      <c r="U3781" s="28"/>
    </row>
    <row r="3782" ht="15.75" customHeight="1">
      <c r="P3782" s="25"/>
      <c r="Q3782" s="25"/>
      <c r="R3782" s="25"/>
      <c r="S3782" s="25"/>
      <c r="T3782" s="141"/>
      <c r="U3782" s="28"/>
    </row>
    <row r="3783" ht="15.75" customHeight="1">
      <c r="P3783" s="25"/>
      <c r="Q3783" s="25"/>
      <c r="R3783" s="25"/>
      <c r="S3783" s="25"/>
      <c r="T3783" s="141"/>
      <c r="U3783" s="28"/>
    </row>
    <row r="3784" ht="15.75" customHeight="1">
      <c r="P3784" s="25"/>
      <c r="Q3784" s="25"/>
      <c r="R3784" s="25"/>
      <c r="S3784" s="25"/>
      <c r="T3784" s="141"/>
      <c r="U3784" s="28"/>
    </row>
    <row r="3785" ht="15.75" customHeight="1">
      <c r="P3785" s="25"/>
      <c r="Q3785" s="25"/>
      <c r="R3785" s="25"/>
      <c r="S3785" s="25"/>
      <c r="T3785" s="141"/>
      <c r="U3785" s="28"/>
    </row>
    <row r="3786" ht="15.75" customHeight="1">
      <c r="P3786" s="25"/>
      <c r="Q3786" s="25"/>
      <c r="R3786" s="25"/>
      <c r="S3786" s="25"/>
      <c r="T3786" s="141"/>
      <c r="U3786" s="28"/>
    </row>
    <row r="3787" ht="15.75" customHeight="1">
      <c r="P3787" s="25"/>
      <c r="Q3787" s="25"/>
      <c r="R3787" s="25"/>
      <c r="S3787" s="25"/>
      <c r="T3787" s="141"/>
      <c r="U3787" s="28"/>
    </row>
    <row r="3788" ht="15.75" customHeight="1">
      <c r="P3788" s="25"/>
      <c r="Q3788" s="25"/>
      <c r="R3788" s="25"/>
      <c r="S3788" s="25"/>
      <c r="T3788" s="141"/>
      <c r="U3788" s="28"/>
    </row>
    <row r="3789" ht="15.75" customHeight="1">
      <c r="P3789" s="25"/>
      <c r="Q3789" s="25"/>
      <c r="R3789" s="25"/>
      <c r="S3789" s="25"/>
      <c r="T3789" s="141"/>
      <c r="U3789" s="28"/>
    </row>
    <row r="3790" ht="15.75" customHeight="1">
      <c r="P3790" s="25"/>
      <c r="Q3790" s="25"/>
      <c r="R3790" s="25"/>
      <c r="S3790" s="25"/>
      <c r="T3790" s="141"/>
      <c r="U3790" s="28"/>
    </row>
    <row r="3791" ht="15.75" customHeight="1">
      <c r="P3791" s="25"/>
      <c r="Q3791" s="25"/>
      <c r="R3791" s="25"/>
      <c r="S3791" s="25"/>
      <c r="T3791" s="141"/>
      <c r="U3791" s="28"/>
    </row>
    <row r="3792" ht="15.75" customHeight="1">
      <c r="P3792" s="25"/>
      <c r="Q3792" s="25"/>
      <c r="R3792" s="25"/>
      <c r="S3792" s="25"/>
      <c r="T3792" s="141"/>
      <c r="U3792" s="28"/>
    </row>
    <row r="3793" ht="15.75" customHeight="1">
      <c r="P3793" s="25"/>
      <c r="Q3793" s="25"/>
      <c r="R3793" s="25"/>
      <c r="S3793" s="25"/>
      <c r="T3793" s="141"/>
      <c r="U3793" s="28"/>
    </row>
    <row r="3794" ht="15.75" customHeight="1">
      <c r="P3794" s="25"/>
      <c r="Q3794" s="25"/>
      <c r="R3794" s="25"/>
      <c r="S3794" s="25"/>
      <c r="T3794" s="141"/>
      <c r="U3794" s="28"/>
    </row>
    <row r="3795" ht="15.75" customHeight="1">
      <c r="P3795" s="25"/>
      <c r="Q3795" s="25"/>
      <c r="R3795" s="25"/>
      <c r="S3795" s="25"/>
      <c r="T3795" s="141"/>
      <c r="U3795" s="28"/>
    </row>
    <row r="3796" ht="15.75" customHeight="1">
      <c r="P3796" s="25"/>
      <c r="Q3796" s="25"/>
      <c r="R3796" s="25"/>
      <c r="S3796" s="25"/>
      <c r="T3796" s="141"/>
      <c r="U3796" s="28"/>
    </row>
    <row r="3797" ht="15.75" customHeight="1">
      <c r="P3797" s="25"/>
      <c r="Q3797" s="25"/>
      <c r="R3797" s="25"/>
      <c r="S3797" s="25"/>
      <c r="T3797" s="141"/>
      <c r="U3797" s="28"/>
    </row>
    <row r="3798" ht="15.75" customHeight="1">
      <c r="P3798" s="25"/>
      <c r="Q3798" s="25"/>
      <c r="R3798" s="25"/>
      <c r="S3798" s="25"/>
      <c r="T3798" s="141"/>
      <c r="U3798" s="28"/>
    </row>
    <row r="3799" ht="15.75" customHeight="1">
      <c r="P3799" s="25"/>
      <c r="Q3799" s="25"/>
      <c r="R3799" s="25"/>
      <c r="S3799" s="25"/>
      <c r="T3799" s="141"/>
      <c r="U3799" s="28"/>
    </row>
    <row r="3800" ht="15.75" customHeight="1">
      <c r="P3800" s="25"/>
      <c r="Q3800" s="25"/>
      <c r="R3800" s="25"/>
      <c r="S3800" s="25"/>
      <c r="T3800" s="141"/>
      <c r="U3800" s="28"/>
    </row>
    <row r="3801" ht="15.75" customHeight="1">
      <c r="P3801" s="25"/>
      <c r="Q3801" s="25"/>
      <c r="R3801" s="25"/>
      <c r="S3801" s="25"/>
      <c r="T3801" s="141"/>
      <c r="U3801" s="28"/>
    </row>
    <row r="3802" ht="15.75" customHeight="1">
      <c r="P3802" s="25"/>
      <c r="Q3802" s="25"/>
      <c r="R3802" s="25"/>
      <c r="S3802" s="25"/>
      <c r="T3802" s="141"/>
      <c r="U3802" s="28"/>
    </row>
    <row r="3803" ht="15.75" customHeight="1">
      <c r="P3803" s="25"/>
      <c r="Q3803" s="25"/>
      <c r="R3803" s="25"/>
      <c r="S3803" s="25"/>
      <c r="T3803" s="141"/>
      <c r="U3803" s="28"/>
    </row>
    <row r="3804" ht="15.75" customHeight="1">
      <c r="P3804" s="25"/>
      <c r="Q3804" s="25"/>
      <c r="R3804" s="25"/>
      <c r="S3804" s="25"/>
      <c r="T3804" s="141"/>
      <c r="U3804" s="28"/>
    </row>
    <row r="3805" ht="15.75" customHeight="1">
      <c r="P3805" s="25"/>
      <c r="Q3805" s="25"/>
      <c r="R3805" s="25"/>
      <c r="S3805" s="25"/>
      <c r="T3805" s="141"/>
      <c r="U3805" s="28"/>
    </row>
    <row r="3806" ht="15.75" customHeight="1">
      <c r="P3806" s="25"/>
      <c r="Q3806" s="25"/>
      <c r="R3806" s="25"/>
      <c r="S3806" s="25"/>
      <c r="T3806" s="141"/>
      <c r="U3806" s="28"/>
    </row>
    <row r="3807" ht="15.75" customHeight="1">
      <c r="P3807" s="25"/>
      <c r="Q3807" s="25"/>
      <c r="R3807" s="25"/>
      <c r="S3807" s="25"/>
      <c r="T3807" s="141"/>
      <c r="U3807" s="28"/>
    </row>
    <row r="3808" ht="15.75" customHeight="1">
      <c r="P3808" s="25"/>
      <c r="Q3808" s="25"/>
      <c r="R3808" s="25"/>
      <c r="S3808" s="25"/>
      <c r="T3808" s="141"/>
      <c r="U3808" s="28"/>
    </row>
    <row r="3809" ht="15.75" customHeight="1">
      <c r="P3809" s="25"/>
      <c r="Q3809" s="25"/>
      <c r="R3809" s="25"/>
      <c r="S3809" s="25"/>
      <c r="T3809" s="141"/>
      <c r="U3809" s="28"/>
    </row>
    <row r="3810" ht="15.75" customHeight="1">
      <c r="P3810" s="25"/>
      <c r="Q3810" s="25"/>
      <c r="R3810" s="25"/>
      <c r="S3810" s="25"/>
      <c r="T3810" s="141"/>
      <c r="U3810" s="28"/>
    </row>
    <row r="3811" ht="15.75" customHeight="1">
      <c r="P3811" s="25"/>
      <c r="Q3811" s="25"/>
      <c r="R3811" s="25"/>
      <c r="S3811" s="25"/>
      <c r="T3811" s="141"/>
      <c r="U3811" s="28"/>
    </row>
    <row r="3812" ht="15.75" customHeight="1">
      <c r="P3812" s="25"/>
      <c r="Q3812" s="25"/>
      <c r="R3812" s="25"/>
      <c r="S3812" s="25"/>
      <c r="T3812" s="141"/>
      <c r="U3812" s="28"/>
    </row>
    <row r="3813" ht="15.75" customHeight="1">
      <c r="P3813" s="25"/>
      <c r="Q3813" s="25"/>
      <c r="R3813" s="25"/>
      <c r="S3813" s="25"/>
      <c r="T3813" s="141"/>
      <c r="U3813" s="28"/>
    </row>
    <row r="3814" ht="15.75" customHeight="1">
      <c r="P3814" s="25"/>
      <c r="Q3814" s="25"/>
      <c r="R3814" s="25"/>
      <c r="S3814" s="25"/>
      <c r="T3814" s="141"/>
      <c r="U3814" s="28"/>
    </row>
    <row r="3815" ht="15.75" customHeight="1">
      <c r="P3815" s="25"/>
      <c r="Q3815" s="25"/>
      <c r="R3815" s="25"/>
      <c r="S3815" s="25"/>
      <c r="T3815" s="141"/>
      <c r="U3815" s="28"/>
    </row>
    <row r="3816" ht="15.75" customHeight="1">
      <c r="P3816" s="25"/>
      <c r="Q3816" s="25"/>
      <c r="R3816" s="25"/>
      <c r="S3816" s="25"/>
      <c r="T3816" s="141"/>
      <c r="U3816" s="28"/>
    </row>
    <row r="3817" ht="15.75" customHeight="1">
      <c r="P3817" s="25"/>
      <c r="Q3817" s="25"/>
      <c r="R3817" s="25"/>
      <c r="S3817" s="25"/>
      <c r="T3817" s="141"/>
      <c r="U3817" s="28"/>
    </row>
    <row r="3818" ht="15.75" customHeight="1">
      <c r="P3818" s="25"/>
      <c r="Q3818" s="25"/>
      <c r="R3818" s="25"/>
      <c r="S3818" s="25"/>
      <c r="T3818" s="141"/>
      <c r="U3818" s="28"/>
    </row>
    <row r="3819" ht="15.75" customHeight="1">
      <c r="P3819" s="25"/>
      <c r="Q3819" s="25"/>
      <c r="R3819" s="25"/>
      <c r="S3819" s="25"/>
      <c r="T3819" s="141"/>
      <c r="U3819" s="28"/>
    </row>
    <row r="3820" ht="15.75" customHeight="1">
      <c r="P3820" s="25"/>
      <c r="Q3820" s="25"/>
      <c r="R3820" s="25"/>
      <c r="S3820" s="25"/>
      <c r="T3820" s="141"/>
      <c r="U3820" s="28"/>
    </row>
    <row r="3821" ht="15.75" customHeight="1">
      <c r="P3821" s="25"/>
      <c r="Q3821" s="25"/>
      <c r="R3821" s="25"/>
      <c r="S3821" s="25"/>
      <c r="T3821" s="141"/>
      <c r="U3821" s="28"/>
    </row>
    <row r="3822" ht="15.75" customHeight="1">
      <c r="P3822" s="25"/>
      <c r="Q3822" s="25"/>
      <c r="R3822" s="25"/>
      <c r="S3822" s="25"/>
      <c r="T3822" s="141"/>
      <c r="U3822" s="28"/>
    </row>
    <row r="3823" ht="15.75" customHeight="1">
      <c r="P3823" s="25"/>
      <c r="Q3823" s="25"/>
      <c r="R3823" s="25"/>
      <c r="S3823" s="25"/>
      <c r="T3823" s="141"/>
      <c r="U3823" s="28"/>
    </row>
    <row r="3824" ht="15.75" customHeight="1">
      <c r="P3824" s="25"/>
      <c r="Q3824" s="25"/>
      <c r="R3824" s="25"/>
      <c r="S3824" s="25"/>
      <c r="T3824" s="141"/>
      <c r="U3824" s="28"/>
    </row>
    <row r="3825" ht="15.75" customHeight="1">
      <c r="P3825" s="25"/>
      <c r="Q3825" s="25"/>
      <c r="R3825" s="25"/>
      <c r="S3825" s="25"/>
      <c r="T3825" s="141"/>
      <c r="U3825" s="28"/>
    </row>
    <row r="3826" ht="15.75" customHeight="1">
      <c r="P3826" s="25"/>
      <c r="Q3826" s="25"/>
      <c r="R3826" s="25"/>
      <c r="S3826" s="25"/>
      <c r="T3826" s="141"/>
      <c r="U3826" s="28"/>
    </row>
    <row r="3827" ht="15.75" customHeight="1">
      <c r="P3827" s="25"/>
      <c r="Q3827" s="25"/>
      <c r="R3827" s="25"/>
      <c r="S3827" s="25"/>
      <c r="T3827" s="141"/>
      <c r="U3827" s="28"/>
    </row>
    <row r="3828" ht="15.75" customHeight="1">
      <c r="P3828" s="25"/>
      <c r="Q3828" s="25"/>
      <c r="R3828" s="25"/>
      <c r="S3828" s="25"/>
      <c r="T3828" s="141"/>
      <c r="U3828" s="28"/>
    </row>
    <row r="3829" ht="15.75" customHeight="1">
      <c r="P3829" s="25"/>
      <c r="Q3829" s="25"/>
      <c r="R3829" s="25"/>
      <c r="S3829" s="25"/>
      <c r="T3829" s="141"/>
      <c r="U3829" s="28"/>
    </row>
    <row r="3830" ht="15.75" customHeight="1">
      <c r="P3830" s="25"/>
      <c r="Q3830" s="25"/>
      <c r="R3830" s="25"/>
      <c r="S3830" s="25"/>
      <c r="T3830" s="141"/>
      <c r="U3830" s="28"/>
    </row>
    <row r="3831" ht="15.75" customHeight="1">
      <c r="P3831" s="25"/>
      <c r="Q3831" s="25"/>
      <c r="R3831" s="25"/>
      <c r="S3831" s="25"/>
      <c r="T3831" s="141"/>
      <c r="U3831" s="28"/>
    </row>
    <row r="3832" ht="15.75" customHeight="1">
      <c r="P3832" s="25"/>
      <c r="Q3832" s="25"/>
      <c r="R3832" s="25"/>
      <c r="S3832" s="25"/>
      <c r="T3832" s="141"/>
      <c r="U3832" s="28"/>
    </row>
    <row r="3833" ht="15.75" customHeight="1">
      <c r="P3833" s="25"/>
      <c r="Q3833" s="25"/>
      <c r="R3833" s="25"/>
      <c r="S3833" s="25"/>
      <c r="T3833" s="141"/>
      <c r="U3833" s="28"/>
    </row>
    <row r="3834" ht="15.75" customHeight="1">
      <c r="P3834" s="25"/>
      <c r="Q3834" s="25"/>
      <c r="R3834" s="25"/>
      <c r="S3834" s="25"/>
      <c r="T3834" s="141"/>
      <c r="U3834" s="28"/>
    </row>
    <row r="3835" ht="15.75" customHeight="1">
      <c r="P3835" s="25"/>
      <c r="Q3835" s="25"/>
      <c r="R3835" s="25"/>
      <c r="S3835" s="25"/>
      <c r="T3835" s="141"/>
      <c r="U3835" s="28"/>
    </row>
    <row r="3836" ht="15.75" customHeight="1">
      <c r="P3836" s="25"/>
      <c r="Q3836" s="25"/>
      <c r="R3836" s="25"/>
      <c r="S3836" s="25"/>
      <c r="T3836" s="141"/>
      <c r="U3836" s="28"/>
    </row>
    <row r="3837" ht="15.75" customHeight="1">
      <c r="P3837" s="25"/>
      <c r="Q3837" s="25"/>
      <c r="R3837" s="25"/>
      <c r="S3837" s="25"/>
      <c r="T3837" s="141"/>
      <c r="U3837" s="28"/>
    </row>
    <row r="3838" ht="15.75" customHeight="1">
      <c r="P3838" s="25"/>
      <c r="Q3838" s="25"/>
      <c r="R3838" s="25"/>
      <c r="S3838" s="25"/>
      <c r="T3838" s="141"/>
      <c r="U3838" s="28"/>
    </row>
    <row r="3839" ht="15.75" customHeight="1">
      <c r="P3839" s="25"/>
      <c r="Q3839" s="25"/>
      <c r="R3839" s="25"/>
      <c r="S3839" s="25"/>
      <c r="T3839" s="141"/>
      <c r="U3839" s="28"/>
    </row>
    <row r="3840" ht="15.75" customHeight="1">
      <c r="P3840" s="25"/>
      <c r="Q3840" s="25"/>
      <c r="R3840" s="25"/>
      <c r="S3840" s="25"/>
      <c r="T3840" s="141"/>
      <c r="U3840" s="28"/>
    </row>
    <row r="3841" ht="15.75" customHeight="1">
      <c r="P3841" s="25"/>
      <c r="Q3841" s="25"/>
      <c r="R3841" s="25"/>
      <c r="S3841" s="25"/>
      <c r="T3841" s="141"/>
      <c r="U3841" s="28"/>
    </row>
    <row r="3842" ht="15.75" customHeight="1">
      <c r="P3842" s="25"/>
      <c r="Q3842" s="25"/>
      <c r="R3842" s="25"/>
      <c r="S3842" s="25"/>
      <c r="T3842" s="141"/>
      <c r="U3842" s="28"/>
    </row>
    <row r="3843" ht="15.75" customHeight="1">
      <c r="P3843" s="25"/>
      <c r="Q3843" s="25"/>
      <c r="R3843" s="25"/>
      <c r="S3843" s="25"/>
      <c r="T3843" s="141"/>
      <c r="U3843" s="28"/>
    </row>
    <row r="3844" ht="15.75" customHeight="1">
      <c r="P3844" s="25"/>
      <c r="Q3844" s="25"/>
      <c r="R3844" s="25"/>
      <c r="S3844" s="25"/>
      <c r="T3844" s="141"/>
      <c r="U3844" s="28"/>
    </row>
    <row r="3845" ht="15.75" customHeight="1">
      <c r="P3845" s="25"/>
      <c r="Q3845" s="25"/>
      <c r="R3845" s="25"/>
      <c r="S3845" s="25"/>
      <c r="T3845" s="141"/>
      <c r="U3845" s="28"/>
    </row>
    <row r="3846" ht="15.75" customHeight="1">
      <c r="P3846" s="25"/>
      <c r="Q3846" s="25"/>
      <c r="R3846" s="25"/>
      <c r="S3846" s="25"/>
      <c r="T3846" s="141"/>
      <c r="U3846" s="28"/>
    </row>
    <row r="3847" ht="15.75" customHeight="1">
      <c r="P3847" s="25"/>
      <c r="Q3847" s="25"/>
      <c r="R3847" s="25"/>
      <c r="S3847" s="25"/>
      <c r="T3847" s="141"/>
      <c r="U3847" s="28"/>
    </row>
    <row r="3848" ht="15.75" customHeight="1">
      <c r="P3848" s="25"/>
      <c r="Q3848" s="25"/>
      <c r="R3848" s="25"/>
      <c r="S3848" s="25"/>
      <c r="T3848" s="141"/>
      <c r="U3848" s="28"/>
    </row>
    <row r="3849" ht="15.75" customHeight="1">
      <c r="P3849" s="25"/>
      <c r="Q3849" s="25"/>
      <c r="R3849" s="25"/>
      <c r="S3849" s="25"/>
      <c r="T3849" s="141"/>
      <c r="U3849" s="28"/>
    </row>
    <row r="3850" ht="15.75" customHeight="1">
      <c r="P3850" s="25"/>
      <c r="Q3850" s="25"/>
      <c r="R3850" s="25"/>
      <c r="S3850" s="25"/>
      <c r="T3850" s="141"/>
      <c r="U3850" s="28"/>
    </row>
    <row r="3851" ht="15.75" customHeight="1">
      <c r="P3851" s="25"/>
      <c r="Q3851" s="25"/>
      <c r="R3851" s="25"/>
      <c r="S3851" s="25"/>
      <c r="T3851" s="141"/>
      <c r="U3851" s="28"/>
    </row>
    <row r="3852" ht="15.75" customHeight="1">
      <c r="P3852" s="25"/>
      <c r="Q3852" s="25"/>
      <c r="R3852" s="25"/>
      <c r="S3852" s="25"/>
      <c r="T3852" s="141"/>
      <c r="U3852" s="28"/>
    </row>
    <row r="3853" ht="15.75" customHeight="1">
      <c r="P3853" s="25"/>
      <c r="Q3853" s="25"/>
      <c r="R3853" s="25"/>
      <c r="S3853" s="25"/>
      <c r="T3853" s="141"/>
      <c r="U3853" s="28"/>
    </row>
    <row r="3854" ht="15.75" customHeight="1">
      <c r="P3854" s="25"/>
      <c r="Q3854" s="25"/>
      <c r="R3854" s="25"/>
      <c r="S3854" s="25"/>
      <c r="T3854" s="141"/>
      <c r="U3854" s="28"/>
    </row>
    <row r="3855" ht="15.75" customHeight="1">
      <c r="P3855" s="25"/>
      <c r="Q3855" s="25"/>
      <c r="R3855" s="25"/>
      <c r="S3855" s="25"/>
      <c r="T3855" s="141"/>
      <c r="U3855" s="28"/>
    </row>
    <row r="3856" ht="15.75" customHeight="1">
      <c r="P3856" s="25"/>
      <c r="Q3856" s="25"/>
      <c r="R3856" s="25"/>
      <c r="S3856" s="25"/>
      <c r="T3856" s="141"/>
      <c r="U3856" s="28"/>
    </row>
    <row r="3857" ht="15.75" customHeight="1">
      <c r="P3857" s="25"/>
      <c r="Q3857" s="25"/>
      <c r="R3857" s="25"/>
      <c r="S3857" s="25"/>
      <c r="T3857" s="141"/>
      <c r="U3857" s="28"/>
    </row>
    <row r="3858" ht="15.75" customHeight="1">
      <c r="P3858" s="25"/>
      <c r="Q3858" s="25"/>
      <c r="R3858" s="25"/>
      <c r="S3858" s="25"/>
      <c r="T3858" s="141"/>
      <c r="U3858" s="28"/>
    </row>
    <row r="3859" ht="15.75" customHeight="1">
      <c r="P3859" s="25"/>
      <c r="Q3859" s="25"/>
      <c r="R3859" s="25"/>
      <c r="S3859" s="25"/>
      <c r="T3859" s="141"/>
      <c r="U3859" s="28"/>
    </row>
    <row r="3860" ht="15.75" customHeight="1">
      <c r="P3860" s="25"/>
      <c r="Q3860" s="25"/>
      <c r="R3860" s="25"/>
      <c r="S3860" s="25"/>
      <c r="T3860" s="141"/>
      <c r="U3860" s="28"/>
    </row>
    <row r="3861" ht="15.75" customHeight="1">
      <c r="P3861" s="25"/>
      <c r="Q3861" s="25"/>
      <c r="R3861" s="25"/>
      <c r="S3861" s="25"/>
      <c r="T3861" s="141"/>
      <c r="U3861" s="28"/>
    </row>
    <row r="3862" ht="15.75" customHeight="1">
      <c r="P3862" s="25"/>
      <c r="Q3862" s="25"/>
      <c r="R3862" s="25"/>
      <c r="S3862" s="25"/>
      <c r="T3862" s="141"/>
      <c r="U3862" s="28"/>
    </row>
    <row r="3863" ht="15.75" customHeight="1">
      <c r="P3863" s="25"/>
      <c r="Q3863" s="25"/>
      <c r="R3863" s="25"/>
      <c r="S3863" s="25"/>
      <c r="T3863" s="141"/>
      <c r="U3863" s="28"/>
    </row>
    <row r="3864" ht="15.75" customHeight="1">
      <c r="P3864" s="25"/>
      <c r="Q3864" s="25"/>
      <c r="R3864" s="25"/>
      <c r="S3864" s="25"/>
      <c r="T3864" s="141"/>
      <c r="U3864" s="28"/>
    </row>
    <row r="3865" ht="15.75" customHeight="1">
      <c r="P3865" s="25"/>
      <c r="Q3865" s="25"/>
      <c r="R3865" s="25"/>
      <c r="S3865" s="25"/>
      <c r="T3865" s="141"/>
      <c r="U3865" s="28"/>
    </row>
    <row r="3866" ht="15.75" customHeight="1">
      <c r="P3866" s="25"/>
      <c r="Q3866" s="25"/>
      <c r="R3866" s="25"/>
      <c r="S3866" s="25"/>
      <c r="T3866" s="141"/>
      <c r="U3866" s="28"/>
    </row>
    <row r="3867" ht="15.75" customHeight="1">
      <c r="P3867" s="25"/>
      <c r="Q3867" s="25"/>
      <c r="R3867" s="25"/>
      <c r="S3867" s="25"/>
      <c r="T3867" s="141"/>
      <c r="U3867" s="28"/>
    </row>
    <row r="3868" ht="15.75" customHeight="1">
      <c r="P3868" s="25"/>
      <c r="Q3868" s="25"/>
      <c r="R3868" s="25"/>
      <c r="S3868" s="25"/>
      <c r="T3868" s="141"/>
      <c r="U3868" s="28"/>
    </row>
    <row r="3869" ht="15.75" customHeight="1">
      <c r="P3869" s="25"/>
      <c r="Q3869" s="25"/>
      <c r="R3869" s="25"/>
      <c r="S3869" s="25"/>
      <c r="T3869" s="141"/>
      <c r="U3869" s="28"/>
    </row>
    <row r="3870" ht="15.75" customHeight="1">
      <c r="P3870" s="25"/>
      <c r="Q3870" s="25"/>
      <c r="R3870" s="25"/>
      <c r="S3870" s="25"/>
      <c r="T3870" s="141"/>
      <c r="U3870" s="28"/>
    </row>
    <row r="3871" ht="15.75" customHeight="1">
      <c r="P3871" s="25"/>
      <c r="Q3871" s="25"/>
      <c r="R3871" s="25"/>
      <c r="S3871" s="25"/>
      <c r="T3871" s="141"/>
      <c r="U3871" s="28"/>
    </row>
    <row r="3872" ht="15.75" customHeight="1">
      <c r="P3872" s="25"/>
      <c r="Q3872" s="25"/>
      <c r="R3872" s="25"/>
      <c r="S3872" s="25"/>
      <c r="T3872" s="141"/>
      <c r="U3872" s="28"/>
    </row>
    <row r="3873" ht="15.75" customHeight="1">
      <c r="P3873" s="25"/>
      <c r="Q3873" s="25"/>
      <c r="R3873" s="25"/>
      <c r="S3873" s="25"/>
      <c r="T3873" s="141"/>
      <c r="U3873" s="28"/>
    </row>
    <row r="3874" ht="15.75" customHeight="1">
      <c r="P3874" s="25"/>
      <c r="Q3874" s="25"/>
      <c r="R3874" s="25"/>
      <c r="S3874" s="25"/>
      <c r="T3874" s="141"/>
      <c r="U3874" s="28"/>
    </row>
    <row r="3875" ht="15.75" customHeight="1">
      <c r="P3875" s="25"/>
      <c r="Q3875" s="25"/>
      <c r="R3875" s="25"/>
      <c r="S3875" s="25"/>
      <c r="T3875" s="141"/>
      <c r="U3875" s="28"/>
    </row>
    <row r="3876" ht="15.75" customHeight="1">
      <c r="P3876" s="25"/>
      <c r="Q3876" s="25"/>
      <c r="R3876" s="25"/>
      <c r="S3876" s="25"/>
      <c r="T3876" s="141"/>
      <c r="U3876" s="28"/>
    </row>
    <row r="3877" ht="15.75" customHeight="1">
      <c r="P3877" s="25"/>
      <c r="Q3877" s="25"/>
      <c r="R3877" s="25"/>
      <c r="S3877" s="25"/>
      <c r="T3877" s="141"/>
      <c r="U3877" s="28"/>
    </row>
    <row r="3878" ht="15.75" customHeight="1">
      <c r="P3878" s="25"/>
      <c r="Q3878" s="25"/>
      <c r="R3878" s="25"/>
      <c r="S3878" s="25"/>
      <c r="T3878" s="141"/>
      <c r="U3878" s="28"/>
    </row>
    <row r="3879" ht="15.75" customHeight="1">
      <c r="P3879" s="25"/>
      <c r="Q3879" s="25"/>
      <c r="R3879" s="25"/>
      <c r="S3879" s="25"/>
      <c r="T3879" s="141"/>
      <c r="U3879" s="28"/>
    </row>
    <row r="3880" ht="15.75" customHeight="1">
      <c r="P3880" s="25"/>
      <c r="Q3880" s="25"/>
      <c r="R3880" s="25"/>
      <c r="S3880" s="25"/>
      <c r="T3880" s="141"/>
      <c r="U3880" s="28"/>
    </row>
    <row r="3881" ht="15.75" customHeight="1">
      <c r="P3881" s="25"/>
      <c r="Q3881" s="25"/>
      <c r="R3881" s="25"/>
      <c r="S3881" s="25"/>
      <c r="T3881" s="141"/>
      <c r="U3881" s="28"/>
    </row>
    <row r="3882" ht="15.75" customHeight="1">
      <c r="P3882" s="25"/>
      <c r="Q3882" s="25"/>
      <c r="R3882" s="25"/>
      <c r="S3882" s="25"/>
      <c r="T3882" s="141"/>
      <c r="U3882" s="28"/>
    </row>
    <row r="3883" ht="15.75" customHeight="1">
      <c r="P3883" s="25"/>
      <c r="Q3883" s="25"/>
      <c r="R3883" s="25"/>
      <c r="S3883" s="25"/>
      <c r="T3883" s="141"/>
      <c r="U3883" s="28"/>
    </row>
    <row r="3884" ht="15.75" customHeight="1">
      <c r="P3884" s="25"/>
      <c r="Q3884" s="25"/>
      <c r="R3884" s="25"/>
      <c r="S3884" s="25"/>
      <c r="T3884" s="141"/>
      <c r="U3884" s="28"/>
    </row>
    <row r="3885" ht="15.75" customHeight="1">
      <c r="P3885" s="25"/>
      <c r="Q3885" s="25"/>
      <c r="R3885" s="25"/>
      <c r="S3885" s="25"/>
      <c r="T3885" s="141"/>
      <c r="U3885" s="28"/>
    </row>
    <row r="3886" ht="15.75" customHeight="1">
      <c r="P3886" s="25"/>
      <c r="Q3886" s="25"/>
      <c r="R3886" s="25"/>
      <c r="S3886" s="25"/>
      <c r="T3886" s="141"/>
      <c r="U3886" s="28"/>
    </row>
    <row r="3887" ht="15.75" customHeight="1">
      <c r="P3887" s="25"/>
      <c r="Q3887" s="25"/>
      <c r="R3887" s="25"/>
      <c r="S3887" s="25"/>
      <c r="T3887" s="141"/>
      <c r="U3887" s="28"/>
    </row>
    <row r="3888" ht="15.75" customHeight="1">
      <c r="P3888" s="25"/>
      <c r="Q3888" s="25"/>
      <c r="R3888" s="25"/>
      <c r="S3888" s="25"/>
      <c r="T3888" s="141"/>
      <c r="U3888" s="28"/>
    </row>
    <row r="3889" ht="15.75" customHeight="1">
      <c r="P3889" s="25"/>
      <c r="Q3889" s="25"/>
      <c r="R3889" s="25"/>
      <c r="S3889" s="25"/>
      <c r="T3889" s="141"/>
      <c r="U3889" s="28"/>
    </row>
    <row r="3890" ht="15.75" customHeight="1">
      <c r="P3890" s="25"/>
      <c r="Q3890" s="25"/>
      <c r="R3890" s="25"/>
      <c r="S3890" s="25"/>
      <c r="T3890" s="141"/>
      <c r="U3890" s="28"/>
    </row>
    <row r="3891" ht="15.75" customHeight="1">
      <c r="P3891" s="25"/>
      <c r="Q3891" s="25"/>
      <c r="R3891" s="25"/>
      <c r="S3891" s="25"/>
      <c r="T3891" s="141"/>
      <c r="U3891" s="28"/>
    </row>
    <row r="3892" ht="15.75" customHeight="1">
      <c r="P3892" s="25"/>
      <c r="Q3892" s="25"/>
      <c r="R3892" s="25"/>
      <c r="S3892" s="25"/>
      <c r="T3892" s="141"/>
      <c r="U3892" s="28"/>
    </row>
    <row r="3893" ht="15.75" customHeight="1">
      <c r="P3893" s="25"/>
      <c r="Q3893" s="25"/>
      <c r="R3893" s="25"/>
      <c r="S3893" s="25"/>
      <c r="T3893" s="141"/>
      <c r="U3893" s="28"/>
    </row>
    <row r="3894" ht="15.75" customHeight="1">
      <c r="P3894" s="25"/>
      <c r="Q3894" s="25"/>
      <c r="R3894" s="25"/>
      <c r="S3894" s="25"/>
      <c r="T3894" s="141"/>
      <c r="U3894" s="28"/>
    </row>
    <row r="3895" ht="15.75" customHeight="1">
      <c r="P3895" s="25"/>
      <c r="Q3895" s="25"/>
      <c r="R3895" s="25"/>
      <c r="S3895" s="25"/>
      <c r="T3895" s="141"/>
      <c r="U3895" s="28"/>
    </row>
    <row r="3896" ht="15.75" customHeight="1">
      <c r="P3896" s="25"/>
      <c r="Q3896" s="25"/>
      <c r="R3896" s="25"/>
      <c r="S3896" s="25"/>
      <c r="T3896" s="141"/>
      <c r="U3896" s="28"/>
    </row>
    <row r="3897" ht="15.75" customHeight="1">
      <c r="P3897" s="25"/>
      <c r="Q3897" s="25"/>
      <c r="R3897" s="25"/>
      <c r="S3897" s="25"/>
      <c r="T3897" s="141"/>
      <c r="U3897" s="28"/>
    </row>
    <row r="3898" ht="15.75" customHeight="1">
      <c r="P3898" s="25"/>
      <c r="Q3898" s="25"/>
      <c r="R3898" s="25"/>
      <c r="S3898" s="25"/>
      <c r="T3898" s="141"/>
      <c r="U3898" s="28"/>
    </row>
    <row r="3899" ht="15.75" customHeight="1">
      <c r="P3899" s="25"/>
      <c r="Q3899" s="25"/>
      <c r="R3899" s="25"/>
      <c r="S3899" s="25"/>
      <c r="T3899" s="141"/>
      <c r="U3899" s="28"/>
    </row>
    <row r="3900" ht="15.75" customHeight="1">
      <c r="P3900" s="25"/>
      <c r="Q3900" s="25"/>
      <c r="R3900" s="25"/>
      <c r="S3900" s="25"/>
      <c r="T3900" s="141"/>
      <c r="U3900" s="28"/>
    </row>
    <row r="3901" ht="15.75" customHeight="1">
      <c r="P3901" s="25"/>
      <c r="Q3901" s="25"/>
      <c r="R3901" s="25"/>
      <c r="S3901" s="25"/>
      <c r="T3901" s="141"/>
      <c r="U3901" s="28"/>
    </row>
    <row r="3902" ht="15.75" customHeight="1">
      <c r="P3902" s="25"/>
      <c r="Q3902" s="25"/>
      <c r="R3902" s="25"/>
      <c r="S3902" s="25"/>
      <c r="T3902" s="141"/>
      <c r="U3902" s="28"/>
    </row>
    <row r="3903" ht="15.75" customHeight="1">
      <c r="P3903" s="25"/>
      <c r="Q3903" s="25"/>
      <c r="R3903" s="25"/>
      <c r="S3903" s="25"/>
      <c r="T3903" s="141"/>
      <c r="U3903" s="28"/>
    </row>
    <row r="3904" ht="15.75" customHeight="1">
      <c r="P3904" s="25"/>
      <c r="Q3904" s="25"/>
      <c r="R3904" s="25"/>
      <c r="S3904" s="25"/>
      <c r="T3904" s="141"/>
      <c r="U3904" s="28"/>
    </row>
    <row r="3905" ht="15.75" customHeight="1">
      <c r="P3905" s="25"/>
      <c r="Q3905" s="25"/>
      <c r="R3905" s="25"/>
      <c r="S3905" s="25"/>
      <c r="T3905" s="141"/>
      <c r="U3905" s="28"/>
    </row>
    <row r="3906" ht="15.75" customHeight="1">
      <c r="P3906" s="25"/>
      <c r="Q3906" s="25"/>
      <c r="R3906" s="25"/>
      <c r="S3906" s="25"/>
      <c r="T3906" s="141"/>
      <c r="U3906" s="28"/>
    </row>
    <row r="3907" ht="15.75" customHeight="1">
      <c r="P3907" s="25"/>
      <c r="Q3907" s="25"/>
      <c r="R3907" s="25"/>
      <c r="S3907" s="25"/>
      <c r="T3907" s="141"/>
      <c r="U3907" s="28"/>
    </row>
    <row r="3908" ht="15.75" customHeight="1">
      <c r="P3908" s="25"/>
      <c r="Q3908" s="25"/>
      <c r="R3908" s="25"/>
      <c r="S3908" s="25"/>
      <c r="T3908" s="141"/>
      <c r="U3908" s="28"/>
    </row>
    <row r="3909" ht="15.75" customHeight="1">
      <c r="P3909" s="25"/>
      <c r="Q3909" s="25"/>
      <c r="R3909" s="25"/>
      <c r="S3909" s="25"/>
      <c r="T3909" s="141"/>
      <c r="U3909" s="28"/>
    </row>
    <row r="3910" ht="15.75" customHeight="1">
      <c r="P3910" s="25"/>
      <c r="Q3910" s="25"/>
      <c r="R3910" s="25"/>
      <c r="S3910" s="25"/>
      <c r="T3910" s="141"/>
      <c r="U3910" s="28"/>
    </row>
    <row r="3911" ht="15.75" customHeight="1">
      <c r="P3911" s="25"/>
      <c r="Q3911" s="25"/>
      <c r="R3911" s="25"/>
      <c r="S3911" s="25"/>
      <c r="T3911" s="141"/>
      <c r="U3911" s="28"/>
    </row>
    <row r="3912" ht="15.75" customHeight="1">
      <c r="P3912" s="25"/>
      <c r="Q3912" s="25"/>
      <c r="R3912" s="25"/>
      <c r="S3912" s="25"/>
      <c r="T3912" s="141"/>
      <c r="U3912" s="28"/>
    </row>
    <row r="3913" ht="15.75" customHeight="1">
      <c r="P3913" s="25"/>
      <c r="Q3913" s="25"/>
      <c r="R3913" s="25"/>
      <c r="S3913" s="25"/>
      <c r="T3913" s="141"/>
      <c r="U3913" s="28"/>
    </row>
    <row r="3914" ht="15.75" customHeight="1">
      <c r="P3914" s="25"/>
      <c r="Q3914" s="25"/>
      <c r="R3914" s="25"/>
      <c r="S3914" s="25"/>
      <c r="T3914" s="141"/>
      <c r="U3914" s="28"/>
    </row>
    <row r="3915" ht="15.75" customHeight="1">
      <c r="P3915" s="25"/>
      <c r="Q3915" s="25"/>
      <c r="R3915" s="25"/>
      <c r="S3915" s="25"/>
      <c r="T3915" s="141"/>
      <c r="U3915" s="28"/>
    </row>
    <row r="3916" ht="15.75" customHeight="1">
      <c r="P3916" s="25"/>
      <c r="Q3916" s="25"/>
      <c r="R3916" s="25"/>
      <c r="S3916" s="25"/>
      <c r="T3916" s="141"/>
      <c r="U3916" s="28"/>
    </row>
    <row r="3917" ht="15.75" customHeight="1">
      <c r="P3917" s="25"/>
      <c r="Q3917" s="25"/>
      <c r="R3917" s="25"/>
      <c r="S3917" s="25"/>
      <c r="T3917" s="141"/>
      <c r="U3917" s="28"/>
    </row>
    <row r="3918" ht="15.75" customHeight="1">
      <c r="P3918" s="25"/>
      <c r="Q3918" s="25"/>
      <c r="R3918" s="25"/>
      <c r="S3918" s="25"/>
      <c r="T3918" s="141"/>
      <c r="U3918" s="28"/>
    </row>
    <row r="3919" ht="15.75" customHeight="1">
      <c r="P3919" s="25"/>
      <c r="Q3919" s="25"/>
      <c r="R3919" s="25"/>
      <c r="S3919" s="25"/>
      <c r="T3919" s="141"/>
      <c r="U3919" s="28"/>
    </row>
    <row r="3920" ht="15.75" customHeight="1">
      <c r="P3920" s="25"/>
      <c r="Q3920" s="25"/>
      <c r="R3920" s="25"/>
      <c r="S3920" s="25"/>
      <c r="T3920" s="141"/>
      <c r="U3920" s="28"/>
    </row>
    <row r="3921" ht="15.75" customHeight="1">
      <c r="P3921" s="25"/>
      <c r="Q3921" s="25"/>
      <c r="R3921" s="25"/>
      <c r="S3921" s="25"/>
      <c r="T3921" s="141"/>
      <c r="U3921" s="28"/>
    </row>
    <row r="3922" ht="15.75" customHeight="1">
      <c r="P3922" s="25"/>
      <c r="Q3922" s="25"/>
      <c r="R3922" s="25"/>
      <c r="S3922" s="25"/>
      <c r="T3922" s="141"/>
      <c r="U3922" s="28"/>
    </row>
    <row r="3923" ht="15.75" customHeight="1">
      <c r="P3923" s="25"/>
      <c r="Q3923" s="25"/>
      <c r="R3923" s="25"/>
      <c r="S3923" s="25"/>
      <c r="T3923" s="141"/>
      <c r="U3923" s="28"/>
    </row>
    <row r="3924" ht="15.75" customHeight="1">
      <c r="P3924" s="25"/>
      <c r="Q3924" s="25"/>
      <c r="R3924" s="25"/>
      <c r="S3924" s="25"/>
      <c r="T3924" s="141"/>
      <c r="U3924" s="28"/>
    </row>
    <row r="3925" ht="15.75" customHeight="1">
      <c r="P3925" s="25"/>
      <c r="Q3925" s="25"/>
      <c r="R3925" s="25"/>
      <c r="S3925" s="25"/>
      <c r="T3925" s="141"/>
      <c r="U3925" s="28"/>
    </row>
    <row r="3926" ht="15.75" customHeight="1">
      <c r="P3926" s="25"/>
      <c r="Q3926" s="25"/>
      <c r="R3926" s="25"/>
      <c r="S3926" s="25"/>
      <c r="T3926" s="141"/>
      <c r="U3926" s="28"/>
    </row>
    <row r="3927" ht="15.75" customHeight="1">
      <c r="P3927" s="25"/>
      <c r="Q3927" s="25"/>
      <c r="R3927" s="25"/>
      <c r="S3927" s="25"/>
      <c r="T3927" s="141"/>
      <c r="U3927" s="28"/>
    </row>
    <row r="3928" ht="15.75" customHeight="1">
      <c r="P3928" s="25"/>
      <c r="Q3928" s="25"/>
      <c r="R3928" s="25"/>
      <c r="S3928" s="25"/>
      <c r="T3928" s="141"/>
      <c r="U3928" s="28"/>
    </row>
    <row r="3929" ht="15.75" customHeight="1">
      <c r="P3929" s="25"/>
      <c r="Q3929" s="25"/>
      <c r="R3929" s="25"/>
      <c r="S3929" s="25"/>
      <c r="T3929" s="141"/>
      <c r="U3929" s="28"/>
    </row>
    <row r="3930" ht="15.75" customHeight="1">
      <c r="P3930" s="25"/>
      <c r="Q3930" s="25"/>
      <c r="R3930" s="25"/>
      <c r="S3930" s="25"/>
      <c r="T3930" s="141"/>
      <c r="U3930" s="28"/>
    </row>
    <row r="3931" ht="15.75" customHeight="1">
      <c r="P3931" s="25"/>
      <c r="Q3931" s="25"/>
      <c r="R3931" s="25"/>
      <c r="S3931" s="25"/>
      <c r="T3931" s="141"/>
      <c r="U3931" s="28"/>
    </row>
    <row r="3932" ht="15.75" customHeight="1">
      <c r="P3932" s="25"/>
      <c r="Q3932" s="25"/>
      <c r="R3932" s="25"/>
      <c r="S3932" s="25"/>
      <c r="T3932" s="141"/>
      <c r="U3932" s="28"/>
    </row>
    <row r="3933" ht="15.75" customHeight="1">
      <c r="P3933" s="25"/>
      <c r="Q3933" s="25"/>
      <c r="R3933" s="25"/>
      <c r="S3933" s="25"/>
      <c r="T3933" s="141"/>
      <c r="U3933" s="28"/>
    </row>
    <row r="3934" ht="15.75" customHeight="1">
      <c r="P3934" s="25"/>
      <c r="Q3934" s="25"/>
      <c r="R3934" s="25"/>
      <c r="S3934" s="25"/>
      <c r="T3934" s="141"/>
      <c r="U3934" s="28"/>
    </row>
    <row r="3935" ht="15.75" customHeight="1">
      <c r="P3935" s="25"/>
      <c r="Q3935" s="25"/>
      <c r="R3935" s="25"/>
      <c r="S3935" s="25"/>
      <c r="T3935" s="141"/>
      <c r="U3935" s="28"/>
    </row>
    <row r="3936" ht="15.75" customHeight="1">
      <c r="P3936" s="25"/>
      <c r="Q3936" s="25"/>
      <c r="R3936" s="25"/>
      <c r="S3936" s="25"/>
      <c r="T3936" s="141"/>
      <c r="U3936" s="28"/>
    </row>
    <row r="3937" ht="15.75" customHeight="1">
      <c r="P3937" s="25"/>
      <c r="Q3937" s="25"/>
      <c r="R3937" s="25"/>
      <c r="S3937" s="25"/>
      <c r="T3937" s="141"/>
      <c r="U3937" s="28"/>
    </row>
    <row r="3938" ht="15.75" customHeight="1">
      <c r="P3938" s="25"/>
      <c r="Q3938" s="25"/>
      <c r="R3938" s="25"/>
      <c r="S3938" s="25"/>
      <c r="T3938" s="141"/>
      <c r="U3938" s="28"/>
    </row>
    <row r="3939" ht="15.75" customHeight="1">
      <c r="P3939" s="25"/>
      <c r="Q3939" s="25"/>
      <c r="R3939" s="25"/>
      <c r="S3939" s="25"/>
      <c r="T3939" s="141"/>
      <c r="U3939" s="28"/>
    </row>
    <row r="3940" ht="15.75" customHeight="1">
      <c r="P3940" s="25"/>
      <c r="Q3940" s="25"/>
      <c r="R3940" s="25"/>
      <c r="S3940" s="25"/>
      <c r="T3940" s="141"/>
      <c r="U3940" s="28"/>
    </row>
    <row r="3941" ht="15.75" customHeight="1">
      <c r="P3941" s="25"/>
      <c r="Q3941" s="25"/>
      <c r="R3941" s="25"/>
      <c r="S3941" s="25"/>
      <c r="T3941" s="141"/>
      <c r="U3941" s="28"/>
    </row>
    <row r="3942" ht="15.75" customHeight="1">
      <c r="P3942" s="25"/>
      <c r="Q3942" s="25"/>
      <c r="R3942" s="25"/>
      <c r="S3942" s="25"/>
      <c r="T3942" s="141"/>
      <c r="U3942" s="28"/>
    </row>
    <row r="3943" ht="15.75" customHeight="1">
      <c r="P3943" s="25"/>
      <c r="Q3943" s="25"/>
      <c r="R3943" s="25"/>
      <c r="S3943" s="25"/>
      <c r="T3943" s="141"/>
      <c r="U3943" s="28"/>
    </row>
    <row r="3944" ht="15.75" customHeight="1">
      <c r="P3944" s="25"/>
      <c r="Q3944" s="25"/>
      <c r="R3944" s="25"/>
      <c r="S3944" s="25"/>
      <c r="T3944" s="141"/>
      <c r="U3944" s="28"/>
    </row>
    <row r="3945" ht="15.75" customHeight="1">
      <c r="P3945" s="25"/>
      <c r="Q3945" s="25"/>
      <c r="R3945" s="25"/>
      <c r="S3945" s="25"/>
      <c r="T3945" s="141"/>
      <c r="U3945" s="28"/>
    </row>
    <row r="3946" ht="15.75" customHeight="1">
      <c r="P3946" s="25"/>
      <c r="Q3946" s="25"/>
      <c r="R3946" s="25"/>
      <c r="S3946" s="25"/>
      <c r="T3946" s="141"/>
      <c r="U3946" s="28"/>
    </row>
    <row r="3947" ht="15.75" customHeight="1">
      <c r="P3947" s="25"/>
      <c r="Q3947" s="25"/>
      <c r="R3947" s="25"/>
      <c r="S3947" s="25"/>
      <c r="T3947" s="141"/>
      <c r="U3947" s="28"/>
    </row>
    <row r="3948" ht="15.75" customHeight="1">
      <c r="P3948" s="25"/>
      <c r="Q3948" s="25"/>
      <c r="R3948" s="25"/>
      <c r="S3948" s="25"/>
      <c r="T3948" s="141"/>
      <c r="U3948" s="28"/>
    </row>
    <row r="3949" ht="15.75" customHeight="1">
      <c r="P3949" s="25"/>
      <c r="Q3949" s="25"/>
      <c r="R3949" s="25"/>
      <c r="S3949" s="25"/>
      <c r="T3949" s="141"/>
      <c r="U3949" s="28"/>
    </row>
    <row r="3950" ht="15.75" customHeight="1">
      <c r="P3950" s="25"/>
      <c r="Q3950" s="25"/>
      <c r="R3950" s="25"/>
      <c r="S3950" s="25"/>
      <c r="T3950" s="141"/>
      <c r="U3950" s="28"/>
    </row>
    <row r="3951" ht="15.75" customHeight="1">
      <c r="P3951" s="25"/>
      <c r="Q3951" s="25"/>
      <c r="R3951" s="25"/>
      <c r="S3951" s="25"/>
      <c r="T3951" s="141"/>
      <c r="U3951" s="28"/>
    </row>
    <row r="3952" ht="15.75" customHeight="1">
      <c r="P3952" s="25"/>
      <c r="Q3952" s="25"/>
      <c r="R3952" s="25"/>
      <c r="S3952" s="25"/>
      <c r="T3952" s="141"/>
      <c r="U3952" s="28"/>
    </row>
    <row r="3953" ht="15.75" customHeight="1">
      <c r="P3953" s="25"/>
      <c r="Q3953" s="25"/>
      <c r="R3953" s="25"/>
      <c r="S3953" s="25"/>
      <c r="T3953" s="141"/>
      <c r="U3953" s="28"/>
    </row>
    <row r="3954" ht="15.75" customHeight="1">
      <c r="P3954" s="25"/>
      <c r="Q3954" s="25"/>
      <c r="R3954" s="25"/>
      <c r="S3954" s="25"/>
      <c r="T3954" s="141"/>
      <c r="U3954" s="28"/>
    </row>
    <row r="3955" ht="15.75" customHeight="1">
      <c r="P3955" s="25"/>
      <c r="Q3955" s="25"/>
      <c r="R3955" s="25"/>
      <c r="S3955" s="25"/>
      <c r="T3955" s="141"/>
      <c r="U3955" s="28"/>
    </row>
    <row r="3956" ht="15.75" customHeight="1">
      <c r="P3956" s="25"/>
      <c r="Q3956" s="25"/>
      <c r="R3956" s="25"/>
      <c r="S3956" s="25"/>
      <c r="T3956" s="141"/>
      <c r="U3956" s="28"/>
    </row>
    <row r="3957" ht="15.75" customHeight="1">
      <c r="P3957" s="25"/>
      <c r="Q3957" s="25"/>
      <c r="R3957" s="25"/>
      <c r="S3957" s="25"/>
      <c r="T3957" s="141"/>
      <c r="U3957" s="28"/>
    </row>
    <row r="3958" ht="15.75" customHeight="1">
      <c r="P3958" s="25"/>
      <c r="Q3958" s="25"/>
      <c r="R3958" s="25"/>
      <c r="S3958" s="25"/>
      <c r="T3958" s="141"/>
      <c r="U3958" s="28"/>
    </row>
    <row r="3959" ht="15.75" customHeight="1">
      <c r="P3959" s="25"/>
      <c r="Q3959" s="25"/>
      <c r="R3959" s="25"/>
      <c r="S3959" s="25"/>
      <c r="T3959" s="141"/>
      <c r="U3959" s="28"/>
    </row>
    <row r="3960" ht="15.75" customHeight="1">
      <c r="P3960" s="25"/>
      <c r="Q3960" s="25"/>
      <c r="R3960" s="25"/>
      <c r="S3960" s="25"/>
      <c r="T3960" s="141"/>
      <c r="U3960" s="28"/>
    </row>
    <row r="3961" ht="15.75" customHeight="1">
      <c r="P3961" s="25"/>
      <c r="Q3961" s="25"/>
      <c r="R3961" s="25"/>
      <c r="S3961" s="25"/>
      <c r="T3961" s="141"/>
      <c r="U3961" s="28"/>
    </row>
    <row r="3962" ht="15.75" customHeight="1">
      <c r="P3962" s="25"/>
      <c r="Q3962" s="25"/>
      <c r="R3962" s="25"/>
      <c r="S3962" s="25"/>
      <c r="T3962" s="141"/>
      <c r="U3962" s="28"/>
    </row>
    <row r="3963" ht="15.75" customHeight="1">
      <c r="P3963" s="25"/>
      <c r="Q3963" s="25"/>
      <c r="R3963" s="25"/>
      <c r="S3963" s="25"/>
      <c r="T3963" s="141"/>
      <c r="U3963" s="28"/>
    </row>
    <row r="3964" ht="15.75" customHeight="1">
      <c r="P3964" s="25"/>
      <c r="Q3964" s="25"/>
      <c r="R3964" s="25"/>
      <c r="S3964" s="25"/>
      <c r="T3964" s="141"/>
      <c r="U3964" s="28"/>
    </row>
    <row r="3965" ht="15.75" customHeight="1">
      <c r="P3965" s="25"/>
      <c r="Q3965" s="25"/>
      <c r="R3965" s="25"/>
      <c r="S3965" s="25"/>
      <c r="T3965" s="141"/>
      <c r="U3965" s="28"/>
    </row>
    <row r="3966" ht="15.75" customHeight="1">
      <c r="P3966" s="25"/>
      <c r="Q3966" s="25"/>
      <c r="R3966" s="25"/>
      <c r="S3966" s="25"/>
      <c r="T3966" s="141"/>
      <c r="U3966" s="28"/>
    </row>
    <row r="3967" ht="15.75" customHeight="1">
      <c r="P3967" s="25"/>
      <c r="Q3967" s="25"/>
      <c r="R3967" s="25"/>
      <c r="S3967" s="25"/>
      <c r="T3967" s="141"/>
      <c r="U3967" s="28"/>
    </row>
    <row r="3968" ht="15.75" customHeight="1">
      <c r="P3968" s="25"/>
      <c r="Q3968" s="25"/>
      <c r="R3968" s="25"/>
      <c r="S3968" s="25"/>
      <c r="T3968" s="141"/>
      <c r="U3968" s="28"/>
    </row>
    <row r="3969" ht="15.75" customHeight="1">
      <c r="P3969" s="25"/>
      <c r="Q3969" s="25"/>
      <c r="R3969" s="25"/>
      <c r="S3969" s="25"/>
      <c r="T3969" s="141"/>
      <c r="U3969" s="28"/>
    </row>
    <row r="3970" ht="15.75" customHeight="1">
      <c r="P3970" s="25"/>
      <c r="Q3970" s="25"/>
      <c r="R3970" s="25"/>
      <c r="S3970" s="25"/>
      <c r="T3970" s="141"/>
      <c r="U3970" s="28"/>
    </row>
    <row r="3971" ht="15.75" customHeight="1">
      <c r="P3971" s="25"/>
      <c r="Q3971" s="25"/>
      <c r="R3971" s="25"/>
      <c r="S3971" s="25"/>
      <c r="T3971" s="141"/>
      <c r="U3971" s="28"/>
    </row>
    <row r="3972" ht="15.75" customHeight="1">
      <c r="P3972" s="25"/>
      <c r="Q3972" s="25"/>
      <c r="R3972" s="25"/>
      <c r="S3972" s="25"/>
      <c r="T3972" s="141"/>
      <c r="U3972" s="28"/>
    </row>
    <row r="3973" ht="15.75" customHeight="1">
      <c r="P3973" s="25"/>
      <c r="Q3973" s="25"/>
      <c r="R3973" s="25"/>
      <c r="S3973" s="25"/>
      <c r="T3973" s="141"/>
      <c r="U3973" s="28"/>
    </row>
    <row r="3974" ht="15.75" customHeight="1">
      <c r="P3974" s="25"/>
      <c r="Q3974" s="25"/>
      <c r="R3974" s="25"/>
      <c r="S3974" s="25"/>
      <c r="T3974" s="141"/>
      <c r="U3974" s="28"/>
    </row>
    <row r="3975" ht="15.75" customHeight="1">
      <c r="P3975" s="25"/>
      <c r="Q3975" s="25"/>
      <c r="R3975" s="25"/>
      <c r="S3975" s="25"/>
      <c r="T3975" s="141"/>
      <c r="U3975" s="28"/>
    </row>
    <row r="3976" ht="15.75" customHeight="1">
      <c r="P3976" s="25"/>
      <c r="Q3976" s="25"/>
      <c r="R3976" s="25"/>
      <c r="S3976" s="25"/>
      <c r="T3976" s="141"/>
      <c r="U3976" s="28"/>
    </row>
    <row r="3977" ht="15.75" customHeight="1">
      <c r="P3977" s="25"/>
      <c r="Q3977" s="25"/>
      <c r="R3977" s="25"/>
      <c r="S3977" s="25"/>
      <c r="T3977" s="141"/>
      <c r="U3977" s="28"/>
    </row>
    <row r="3978" ht="15.75" customHeight="1">
      <c r="P3978" s="25"/>
      <c r="Q3978" s="25"/>
      <c r="R3978" s="25"/>
      <c r="S3978" s="25"/>
      <c r="T3978" s="141"/>
      <c r="U3978" s="28"/>
    </row>
    <row r="3979" ht="15.75" customHeight="1">
      <c r="P3979" s="25"/>
      <c r="Q3979" s="25"/>
      <c r="R3979" s="25"/>
      <c r="S3979" s="25"/>
      <c r="T3979" s="141"/>
      <c r="U3979" s="28"/>
    </row>
    <row r="3980" ht="15.75" customHeight="1">
      <c r="P3980" s="25"/>
      <c r="Q3980" s="25"/>
      <c r="R3980" s="25"/>
      <c r="S3980" s="25"/>
      <c r="T3980" s="141"/>
      <c r="U3980" s="28"/>
    </row>
    <row r="3981" ht="15.75" customHeight="1">
      <c r="P3981" s="25"/>
      <c r="Q3981" s="25"/>
      <c r="R3981" s="25"/>
      <c r="S3981" s="25"/>
      <c r="T3981" s="141"/>
      <c r="U3981" s="28"/>
    </row>
    <row r="3982" ht="15.75" customHeight="1">
      <c r="P3982" s="25"/>
      <c r="Q3982" s="25"/>
      <c r="R3982" s="25"/>
      <c r="S3982" s="25"/>
      <c r="T3982" s="141"/>
      <c r="U3982" s="28"/>
    </row>
    <row r="3983" ht="15.75" customHeight="1">
      <c r="P3983" s="25"/>
      <c r="Q3983" s="25"/>
      <c r="R3983" s="25"/>
      <c r="S3983" s="25"/>
      <c r="T3983" s="141"/>
      <c r="U3983" s="28"/>
    </row>
    <row r="3984" ht="15.75" customHeight="1">
      <c r="P3984" s="25"/>
      <c r="Q3984" s="25"/>
      <c r="R3984" s="25"/>
      <c r="S3984" s="25"/>
      <c r="T3984" s="141"/>
      <c r="U3984" s="28"/>
    </row>
    <row r="3985" ht="15.75" customHeight="1">
      <c r="P3985" s="25"/>
      <c r="Q3985" s="25"/>
      <c r="R3985" s="25"/>
      <c r="S3985" s="25"/>
      <c r="T3985" s="141"/>
      <c r="U3985" s="28"/>
    </row>
    <row r="3986" ht="15.75" customHeight="1">
      <c r="P3986" s="25"/>
      <c r="Q3986" s="25"/>
      <c r="R3986" s="25"/>
      <c r="S3986" s="25"/>
      <c r="T3986" s="141"/>
      <c r="U3986" s="28"/>
    </row>
    <row r="3987" ht="15.75" customHeight="1">
      <c r="P3987" s="25"/>
      <c r="Q3987" s="25"/>
      <c r="R3987" s="25"/>
      <c r="S3987" s="25"/>
      <c r="T3987" s="141"/>
      <c r="U3987" s="28"/>
    </row>
    <row r="3988" ht="15.75" customHeight="1">
      <c r="P3988" s="25"/>
      <c r="Q3988" s="25"/>
      <c r="R3988" s="25"/>
      <c r="S3988" s="25"/>
      <c r="T3988" s="141"/>
      <c r="U3988" s="28"/>
    </row>
    <row r="3989" ht="15.75" customHeight="1">
      <c r="P3989" s="25"/>
      <c r="Q3989" s="25"/>
      <c r="R3989" s="25"/>
      <c r="S3989" s="25"/>
      <c r="T3989" s="141"/>
      <c r="U3989" s="28"/>
    </row>
    <row r="3990" ht="15.75" customHeight="1">
      <c r="P3990" s="25"/>
      <c r="Q3990" s="25"/>
      <c r="R3990" s="25"/>
      <c r="S3990" s="25"/>
      <c r="T3990" s="141"/>
      <c r="U3990" s="28"/>
    </row>
    <row r="3991" ht="15.75" customHeight="1">
      <c r="P3991" s="25"/>
      <c r="Q3991" s="25"/>
      <c r="R3991" s="25"/>
      <c r="S3991" s="25"/>
      <c r="T3991" s="141"/>
      <c r="U3991" s="28"/>
    </row>
    <row r="3992" ht="15.75" customHeight="1">
      <c r="P3992" s="25"/>
      <c r="Q3992" s="25"/>
      <c r="R3992" s="25"/>
      <c r="S3992" s="25"/>
      <c r="T3992" s="141"/>
      <c r="U3992" s="28"/>
    </row>
    <row r="3993" ht="15.75" customHeight="1">
      <c r="P3993" s="25"/>
      <c r="Q3993" s="25"/>
      <c r="R3993" s="25"/>
      <c r="S3993" s="25"/>
      <c r="T3993" s="141"/>
      <c r="U3993" s="28"/>
    </row>
    <row r="3994" ht="15.75" customHeight="1">
      <c r="P3994" s="25"/>
      <c r="Q3994" s="25"/>
      <c r="R3994" s="25"/>
      <c r="S3994" s="25"/>
      <c r="T3994" s="141"/>
      <c r="U3994" s="28"/>
    </row>
    <row r="3995" ht="15.75" customHeight="1">
      <c r="P3995" s="25"/>
      <c r="Q3995" s="25"/>
      <c r="R3995" s="25"/>
      <c r="S3995" s="25"/>
      <c r="T3995" s="141"/>
      <c r="U3995" s="28"/>
    </row>
    <row r="3996" ht="15.75" customHeight="1">
      <c r="P3996" s="25"/>
      <c r="Q3996" s="25"/>
      <c r="R3996" s="25"/>
      <c r="S3996" s="25"/>
      <c r="T3996" s="141"/>
      <c r="U3996" s="28"/>
    </row>
    <row r="3997" ht="15.75" customHeight="1">
      <c r="P3997" s="25"/>
      <c r="Q3997" s="25"/>
      <c r="R3997" s="25"/>
      <c r="S3997" s="25"/>
      <c r="T3997" s="141"/>
      <c r="U3997" s="28"/>
    </row>
    <row r="3998" ht="15.75" customHeight="1">
      <c r="P3998" s="25"/>
      <c r="Q3998" s="25"/>
      <c r="R3998" s="25"/>
      <c r="S3998" s="25"/>
      <c r="T3998" s="141"/>
      <c r="U3998" s="28"/>
    </row>
    <row r="3999" ht="15.75" customHeight="1">
      <c r="P3999" s="25"/>
      <c r="Q3999" s="25"/>
      <c r="R3999" s="25"/>
      <c r="S3999" s="25"/>
      <c r="T3999" s="141"/>
      <c r="U3999" s="28"/>
    </row>
    <row r="4000" ht="15.75" customHeight="1">
      <c r="P4000" s="25"/>
      <c r="Q4000" s="25"/>
      <c r="R4000" s="25"/>
      <c r="S4000" s="25"/>
      <c r="T4000" s="141"/>
      <c r="U4000" s="28"/>
    </row>
    <row r="4001" ht="15.75" customHeight="1">
      <c r="P4001" s="25"/>
      <c r="Q4001" s="25"/>
      <c r="R4001" s="25"/>
      <c r="S4001" s="25"/>
      <c r="T4001" s="141"/>
      <c r="U4001" s="28"/>
    </row>
    <row r="4002" ht="15.75" customHeight="1">
      <c r="P4002" s="25"/>
      <c r="Q4002" s="25"/>
      <c r="R4002" s="25"/>
      <c r="S4002" s="25"/>
      <c r="T4002" s="141"/>
      <c r="U4002" s="28"/>
    </row>
    <row r="4003" ht="15.75" customHeight="1">
      <c r="P4003" s="25"/>
      <c r="Q4003" s="25"/>
      <c r="R4003" s="25"/>
      <c r="S4003" s="25"/>
      <c r="T4003" s="141"/>
      <c r="U4003" s="28"/>
    </row>
    <row r="4004" ht="15.75" customHeight="1">
      <c r="P4004" s="25"/>
      <c r="Q4004" s="25"/>
      <c r="R4004" s="25"/>
      <c r="S4004" s="25"/>
      <c r="T4004" s="141"/>
      <c r="U4004" s="28"/>
    </row>
    <row r="4005" ht="15.75" customHeight="1">
      <c r="P4005" s="25"/>
      <c r="Q4005" s="25"/>
      <c r="R4005" s="25"/>
      <c r="S4005" s="25"/>
      <c r="T4005" s="141"/>
      <c r="U4005" s="28"/>
    </row>
    <row r="4006" ht="15.75" customHeight="1">
      <c r="P4006" s="25"/>
      <c r="Q4006" s="25"/>
      <c r="R4006" s="25"/>
      <c r="S4006" s="25"/>
      <c r="T4006" s="141"/>
      <c r="U4006" s="28"/>
    </row>
    <row r="4007" ht="15.75" customHeight="1">
      <c r="P4007" s="25"/>
      <c r="Q4007" s="25"/>
      <c r="R4007" s="25"/>
      <c r="S4007" s="25"/>
      <c r="T4007" s="141"/>
      <c r="U4007" s="28"/>
    </row>
    <row r="4008" ht="15.75" customHeight="1">
      <c r="P4008" s="25"/>
      <c r="Q4008" s="25"/>
      <c r="R4008" s="25"/>
      <c r="S4008" s="25"/>
      <c r="T4008" s="141"/>
      <c r="U4008" s="28"/>
    </row>
    <row r="4009" ht="15.75" customHeight="1">
      <c r="P4009" s="25"/>
      <c r="Q4009" s="25"/>
      <c r="R4009" s="25"/>
      <c r="S4009" s="25"/>
      <c r="T4009" s="141"/>
      <c r="U4009" s="28"/>
    </row>
    <row r="4010" ht="15.75" customHeight="1">
      <c r="P4010" s="25"/>
      <c r="Q4010" s="25"/>
      <c r="R4010" s="25"/>
      <c r="S4010" s="25"/>
      <c r="T4010" s="141"/>
      <c r="U4010" s="28"/>
    </row>
    <row r="4011" ht="15.75" customHeight="1">
      <c r="P4011" s="25"/>
      <c r="Q4011" s="25"/>
      <c r="R4011" s="25"/>
      <c r="S4011" s="25"/>
      <c r="T4011" s="141"/>
      <c r="U4011" s="28"/>
    </row>
    <row r="4012" ht="15.75" customHeight="1">
      <c r="P4012" s="25"/>
      <c r="Q4012" s="25"/>
      <c r="R4012" s="25"/>
      <c r="S4012" s="25"/>
      <c r="T4012" s="141"/>
      <c r="U4012" s="28"/>
    </row>
    <row r="4013" ht="15.75" customHeight="1">
      <c r="P4013" s="25"/>
      <c r="Q4013" s="25"/>
      <c r="R4013" s="25"/>
      <c r="S4013" s="25"/>
      <c r="T4013" s="141"/>
      <c r="U4013" s="28"/>
    </row>
    <row r="4014" ht="15.75" customHeight="1">
      <c r="P4014" s="25"/>
      <c r="Q4014" s="25"/>
      <c r="R4014" s="25"/>
      <c r="S4014" s="25"/>
      <c r="T4014" s="141"/>
      <c r="U4014" s="28"/>
    </row>
    <row r="4015" ht="15.75" customHeight="1">
      <c r="P4015" s="25"/>
      <c r="Q4015" s="25"/>
      <c r="R4015" s="25"/>
      <c r="S4015" s="25"/>
      <c r="T4015" s="141"/>
      <c r="U4015" s="28"/>
    </row>
    <row r="4016" ht="15.75" customHeight="1">
      <c r="P4016" s="25"/>
      <c r="Q4016" s="25"/>
      <c r="R4016" s="25"/>
      <c r="S4016" s="25"/>
      <c r="T4016" s="141"/>
      <c r="U4016" s="28"/>
    </row>
    <row r="4017" ht="15.75" customHeight="1">
      <c r="P4017" s="25"/>
      <c r="Q4017" s="25"/>
      <c r="R4017" s="25"/>
      <c r="S4017" s="25"/>
      <c r="T4017" s="141"/>
      <c r="U4017" s="28"/>
    </row>
    <row r="4018" ht="15.75" customHeight="1">
      <c r="P4018" s="25"/>
      <c r="Q4018" s="25"/>
      <c r="R4018" s="25"/>
      <c r="S4018" s="25"/>
      <c r="T4018" s="141"/>
      <c r="U4018" s="28"/>
    </row>
    <row r="4019" ht="15.75" customHeight="1">
      <c r="P4019" s="25"/>
      <c r="Q4019" s="25"/>
      <c r="R4019" s="25"/>
      <c r="S4019" s="25"/>
      <c r="T4019" s="141"/>
      <c r="U4019" s="28"/>
    </row>
    <row r="4020" ht="15.75" customHeight="1">
      <c r="P4020" s="25"/>
      <c r="Q4020" s="25"/>
      <c r="R4020" s="25"/>
      <c r="S4020" s="25"/>
      <c r="T4020" s="141"/>
      <c r="U4020" s="28"/>
    </row>
    <row r="4021" ht="15.75" customHeight="1">
      <c r="P4021" s="25"/>
      <c r="Q4021" s="25"/>
      <c r="R4021" s="25"/>
      <c r="S4021" s="25"/>
      <c r="T4021" s="141"/>
      <c r="U4021" s="28"/>
    </row>
    <row r="4022" ht="15.75" customHeight="1">
      <c r="P4022" s="25"/>
      <c r="Q4022" s="25"/>
      <c r="R4022" s="25"/>
      <c r="S4022" s="25"/>
      <c r="T4022" s="141"/>
      <c r="U4022" s="28"/>
    </row>
    <row r="4023" ht="15.75" customHeight="1">
      <c r="P4023" s="25"/>
      <c r="Q4023" s="25"/>
      <c r="R4023" s="25"/>
      <c r="S4023" s="25"/>
      <c r="T4023" s="141"/>
      <c r="U4023" s="28"/>
    </row>
    <row r="4024" ht="15.75" customHeight="1">
      <c r="P4024" s="25"/>
      <c r="Q4024" s="25"/>
      <c r="R4024" s="25"/>
      <c r="S4024" s="25"/>
      <c r="T4024" s="141"/>
      <c r="U4024" s="28"/>
    </row>
    <row r="4025" ht="15.75" customHeight="1">
      <c r="P4025" s="25"/>
      <c r="Q4025" s="25"/>
      <c r="R4025" s="25"/>
      <c r="S4025" s="25"/>
      <c r="T4025" s="141"/>
      <c r="U4025" s="28"/>
    </row>
    <row r="4026" ht="15.75" customHeight="1">
      <c r="P4026" s="25"/>
      <c r="Q4026" s="25"/>
      <c r="R4026" s="25"/>
      <c r="S4026" s="25"/>
      <c r="T4026" s="141"/>
      <c r="U4026" s="28"/>
    </row>
    <row r="4027" ht="15.75" customHeight="1">
      <c r="P4027" s="25"/>
      <c r="Q4027" s="25"/>
      <c r="R4027" s="25"/>
      <c r="S4027" s="25"/>
      <c r="T4027" s="141"/>
      <c r="U4027" s="28"/>
    </row>
    <row r="4028" ht="15.75" customHeight="1">
      <c r="P4028" s="25"/>
      <c r="Q4028" s="25"/>
      <c r="R4028" s="25"/>
      <c r="S4028" s="25"/>
      <c r="T4028" s="141"/>
      <c r="U4028" s="28"/>
    </row>
    <row r="4029" ht="15.75" customHeight="1">
      <c r="P4029" s="25"/>
      <c r="Q4029" s="25"/>
      <c r="R4029" s="25"/>
      <c r="S4029" s="25"/>
      <c r="T4029" s="141"/>
      <c r="U4029" s="28"/>
    </row>
    <row r="4030" ht="15.75" customHeight="1">
      <c r="P4030" s="25"/>
      <c r="Q4030" s="25"/>
      <c r="R4030" s="25"/>
      <c r="S4030" s="25"/>
      <c r="T4030" s="141"/>
      <c r="U4030" s="28"/>
    </row>
    <row r="4031" ht="15.75" customHeight="1">
      <c r="P4031" s="25"/>
      <c r="Q4031" s="25"/>
      <c r="R4031" s="25"/>
      <c r="S4031" s="25"/>
      <c r="T4031" s="141"/>
      <c r="U4031" s="28"/>
    </row>
    <row r="4032" ht="15.75" customHeight="1">
      <c r="P4032" s="25"/>
      <c r="Q4032" s="25"/>
      <c r="R4032" s="25"/>
      <c r="S4032" s="25"/>
      <c r="T4032" s="141"/>
      <c r="U4032" s="28"/>
    </row>
    <row r="4033" ht="15.75" customHeight="1">
      <c r="P4033" s="25"/>
      <c r="Q4033" s="25"/>
      <c r="R4033" s="25"/>
      <c r="S4033" s="25"/>
      <c r="T4033" s="141"/>
      <c r="U4033" s="28"/>
    </row>
    <row r="4034" ht="15.75" customHeight="1">
      <c r="P4034" s="25"/>
      <c r="Q4034" s="25"/>
      <c r="R4034" s="25"/>
      <c r="S4034" s="25"/>
      <c r="T4034" s="141"/>
      <c r="U4034" s="28"/>
    </row>
    <row r="4035" ht="15.75" customHeight="1">
      <c r="P4035" s="25"/>
      <c r="Q4035" s="25"/>
      <c r="R4035" s="25"/>
      <c r="S4035" s="25"/>
      <c r="T4035" s="141"/>
      <c r="U4035" s="28"/>
    </row>
    <row r="4036" ht="15.75" customHeight="1">
      <c r="P4036" s="25"/>
      <c r="Q4036" s="25"/>
      <c r="R4036" s="25"/>
      <c r="S4036" s="25"/>
      <c r="T4036" s="141"/>
      <c r="U4036" s="28"/>
    </row>
    <row r="4037" ht="15.75" customHeight="1">
      <c r="P4037" s="25"/>
      <c r="Q4037" s="25"/>
      <c r="R4037" s="25"/>
      <c r="S4037" s="25"/>
      <c r="T4037" s="141"/>
      <c r="U4037" s="28"/>
    </row>
    <row r="4038" ht="15.75" customHeight="1">
      <c r="P4038" s="25"/>
      <c r="Q4038" s="25"/>
      <c r="R4038" s="25"/>
      <c r="S4038" s="25"/>
      <c r="T4038" s="141"/>
      <c r="U4038" s="28"/>
    </row>
    <row r="4039" ht="15.75" customHeight="1">
      <c r="P4039" s="25"/>
      <c r="Q4039" s="25"/>
      <c r="R4039" s="25"/>
      <c r="S4039" s="25"/>
      <c r="T4039" s="141"/>
      <c r="U4039" s="28"/>
    </row>
    <row r="4040" ht="15.75" customHeight="1">
      <c r="P4040" s="25"/>
      <c r="Q4040" s="25"/>
      <c r="R4040" s="25"/>
      <c r="S4040" s="25"/>
      <c r="T4040" s="141"/>
      <c r="U4040" s="28"/>
    </row>
    <row r="4041" ht="15.75" customHeight="1">
      <c r="P4041" s="25"/>
      <c r="Q4041" s="25"/>
      <c r="R4041" s="25"/>
      <c r="S4041" s="25"/>
      <c r="T4041" s="141"/>
      <c r="U4041" s="28"/>
    </row>
    <row r="4042" ht="15.75" customHeight="1">
      <c r="P4042" s="25"/>
      <c r="Q4042" s="25"/>
      <c r="R4042" s="25"/>
      <c r="S4042" s="25"/>
      <c r="T4042" s="141"/>
      <c r="U4042" s="28"/>
    </row>
    <row r="4043" ht="15.75" customHeight="1">
      <c r="P4043" s="25"/>
      <c r="Q4043" s="25"/>
      <c r="R4043" s="25"/>
      <c r="S4043" s="25"/>
      <c r="T4043" s="141"/>
      <c r="U4043" s="28"/>
    </row>
    <row r="4044" ht="15.75" customHeight="1">
      <c r="P4044" s="25"/>
      <c r="Q4044" s="25"/>
      <c r="R4044" s="25"/>
      <c r="S4044" s="25"/>
      <c r="T4044" s="141"/>
      <c r="U4044" s="28"/>
    </row>
    <row r="4045" ht="15.75" customHeight="1">
      <c r="P4045" s="25"/>
      <c r="Q4045" s="25"/>
      <c r="R4045" s="25"/>
      <c r="S4045" s="25"/>
      <c r="T4045" s="141"/>
      <c r="U4045" s="28"/>
    </row>
    <row r="4046" ht="15.75" customHeight="1">
      <c r="P4046" s="25"/>
      <c r="Q4046" s="25"/>
      <c r="R4046" s="25"/>
      <c r="S4046" s="25"/>
      <c r="T4046" s="141"/>
      <c r="U4046" s="28"/>
    </row>
    <row r="4047" ht="15.75" customHeight="1">
      <c r="P4047" s="25"/>
      <c r="Q4047" s="25"/>
      <c r="R4047" s="25"/>
      <c r="S4047" s="25"/>
      <c r="T4047" s="141"/>
      <c r="U4047" s="28"/>
    </row>
    <row r="4048" ht="15.75" customHeight="1">
      <c r="P4048" s="25"/>
      <c r="Q4048" s="25"/>
      <c r="R4048" s="25"/>
      <c r="S4048" s="25"/>
      <c r="T4048" s="141"/>
      <c r="U4048" s="28"/>
    </row>
    <row r="4049" ht="15.75" customHeight="1">
      <c r="P4049" s="25"/>
      <c r="Q4049" s="25"/>
      <c r="R4049" s="25"/>
      <c r="S4049" s="25"/>
      <c r="T4049" s="141"/>
      <c r="U4049" s="28"/>
    </row>
    <row r="4050" ht="15.75" customHeight="1">
      <c r="P4050" s="25"/>
      <c r="Q4050" s="25"/>
      <c r="R4050" s="25"/>
      <c r="S4050" s="25"/>
      <c r="T4050" s="141"/>
      <c r="U4050" s="28"/>
    </row>
    <row r="4051" ht="15.75" customHeight="1">
      <c r="P4051" s="25"/>
      <c r="Q4051" s="25"/>
      <c r="R4051" s="25"/>
      <c r="S4051" s="25"/>
      <c r="T4051" s="141"/>
      <c r="U4051" s="28"/>
    </row>
    <row r="4052" ht="15.75" customHeight="1">
      <c r="P4052" s="25"/>
      <c r="Q4052" s="25"/>
      <c r="R4052" s="25"/>
      <c r="S4052" s="25"/>
      <c r="T4052" s="141"/>
      <c r="U4052" s="28"/>
    </row>
    <row r="4053" ht="15.75" customHeight="1">
      <c r="P4053" s="25"/>
      <c r="Q4053" s="25"/>
      <c r="R4053" s="25"/>
      <c r="S4053" s="25"/>
      <c r="T4053" s="141"/>
      <c r="U4053" s="28"/>
    </row>
    <row r="4054" ht="15.75" customHeight="1">
      <c r="P4054" s="25"/>
      <c r="Q4054" s="25"/>
      <c r="R4054" s="25"/>
      <c r="S4054" s="25"/>
      <c r="T4054" s="141"/>
      <c r="U4054" s="28"/>
    </row>
    <row r="4055" ht="15.75" customHeight="1">
      <c r="P4055" s="25"/>
      <c r="Q4055" s="25"/>
      <c r="R4055" s="25"/>
      <c r="S4055" s="25"/>
      <c r="T4055" s="141"/>
      <c r="U4055" s="28"/>
    </row>
    <row r="4056" ht="15.75" customHeight="1">
      <c r="P4056" s="25"/>
      <c r="Q4056" s="25"/>
      <c r="R4056" s="25"/>
      <c r="S4056" s="25"/>
      <c r="T4056" s="141"/>
      <c r="U4056" s="28"/>
    </row>
    <row r="4057" ht="15.75" customHeight="1">
      <c r="P4057" s="25"/>
      <c r="Q4057" s="25"/>
      <c r="R4057" s="25"/>
      <c r="S4057" s="25"/>
      <c r="T4057" s="141"/>
      <c r="U4057" s="28"/>
    </row>
    <row r="4058" ht="15.75" customHeight="1">
      <c r="P4058" s="25"/>
      <c r="Q4058" s="25"/>
      <c r="R4058" s="25"/>
      <c r="S4058" s="25"/>
      <c r="T4058" s="141"/>
      <c r="U4058" s="28"/>
    </row>
    <row r="4059" ht="15.75" customHeight="1">
      <c r="P4059" s="25"/>
      <c r="Q4059" s="25"/>
      <c r="R4059" s="25"/>
      <c r="S4059" s="25"/>
      <c r="T4059" s="141"/>
      <c r="U4059" s="28"/>
    </row>
    <row r="4060" ht="15.75" customHeight="1">
      <c r="P4060" s="25"/>
      <c r="Q4060" s="25"/>
      <c r="R4060" s="25"/>
      <c r="S4060" s="25"/>
      <c r="T4060" s="141"/>
      <c r="U4060" s="28"/>
    </row>
    <row r="4061" ht="15.75" customHeight="1">
      <c r="P4061" s="25"/>
      <c r="Q4061" s="25"/>
      <c r="R4061" s="25"/>
      <c r="S4061" s="25"/>
      <c r="T4061" s="141"/>
      <c r="U4061" s="28"/>
    </row>
    <row r="4062" ht="15.75" customHeight="1">
      <c r="P4062" s="25"/>
      <c r="Q4062" s="25"/>
      <c r="R4062" s="25"/>
      <c r="S4062" s="25"/>
      <c r="T4062" s="141"/>
      <c r="U4062" s="28"/>
    </row>
    <row r="4063" ht="15.75" customHeight="1">
      <c r="P4063" s="25"/>
      <c r="Q4063" s="25"/>
      <c r="R4063" s="25"/>
      <c r="S4063" s="25"/>
      <c r="T4063" s="141"/>
      <c r="U4063" s="28"/>
    </row>
    <row r="4064" ht="15.75" customHeight="1">
      <c r="P4064" s="25"/>
      <c r="Q4064" s="25"/>
      <c r="R4064" s="25"/>
      <c r="S4064" s="25"/>
      <c r="T4064" s="141"/>
      <c r="U4064" s="28"/>
    </row>
    <row r="4065" ht="15.75" customHeight="1">
      <c r="P4065" s="25"/>
      <c r="Q4065" s="25"/>
      <c r="R4065" s="25"/>
      <c r="S4065" s="25"/>
      <c r="T4065" s="141"/>
      <c r="U4065" s="28"/>
    </row>
    <row r="4066" ht="15.75" customHeight="1">
      <c r="P4066" s="25"/>
      <c r="Q4066" s="25"/>
      <c r="R4066" s="25"/>
      <c r="S4066" s="25"/>
      <c r="T4066" s="141"/>
      <c r="U4066" s="28"/>
    </row>
    <row r="4067" ht="15.75" customHeight="1">
      <c r="P4067" s="25"/>
      <c r="Q4067" s="25"/>
      <c r="R4067" s="25"/>
      <c r="S4067" s="25"/>
      <c r="T4067" s="141"/>
      <c r="U4067" s="28"/>
    </row>
    <row r="4068" ht="15.75" customHeight="1">
      <c r="P4068" s="25"/>
      <c r="Q4068" s="25"/>
      <c r="R4068" s="25"/>
      <c r="S4068" s="25"/>
      <c r="T4068" s="141"/>
      <c r="U4068" s="28"/>
    </row>
    <row r="4069" ht="15.75" customHeight="1">
      <c r="P4069" s="25"/>
      <c r="Q4069" s="25"/>
      <c r="R4069" s="25"/>
      <c r="S4069" s="25"/>
      <c r="T4069" s="141"/>
      <c r="U4069" s="28"/>
    </row>
    <row r="4070" ht="15.75" customHeight="1">
      <c r="P4070" s="25"/>
      <c r="Q4070" s="25"/>
      <c r="R4070" s="25"/>
      <c r="S4070" s="25"/>
      <c r="T4070" s="141"/>
      <c r="U4070" s="28"/>
    </row>
    <row r="4071" ht="15.75" customHeight="1">
      <c r="P4071" s="25"/>
      <c r="Q4071" s="25"/>
      <c r="R4071" s="25"/>
      <c r="S4071" s="25"/>
      <c r="T4071" s="141"/>
      <c r="U4071" s="28"/>
    </row>
    <row r="4072" ht="15.75" customHeight="1">
      <c r="P4072" s="25"/>
      <c r="Q4072" s="25"/>
      <c r="R4072" s="25"/>
      <c r="S4072" s="25"/>
      <c r="T4072" s="141"/>
      <c r="U4072" s="28"/>
    </row>
    <row r="4073" ht="15.75" customHeight="1">
      <c r="P4073" s="25"/>
      <c r="Q4073" s="25"/>
      <c r="R4073" s="25"/>
      <c r="S4073" s="25"/>
      <c r="T4073" s="141"/>
      <c r="U4073" s="28"/>
    </row>
    <row r="4074" ht="15.75" customHeight="1">
      <c r="P4074" s="25"/>
      <c r="Q4074" s="25"/>
      <c r="R4074" s="25"/>
      <c r="S4074" s="25"/>
      <c r="T4074" s="141"/>
      <c r="U4074" s="28"/>
    </row>
    <row r="4075" ht="15.75" customHeight="1">
      <c r="P4075" s="25"/>
      <c r="Q4075" s="25"/>
      <c r="R4075" s="25"/>
      <c r="S4075" s="25"/>
      <c r="T4075" s="141"/>
      <c r="U4075" s="28"/>
    </row>
    <row r="4076" ht="15.75" customHeight="1">
      <c r="P4076" s="25"/>
      <c r="Q4076" s="25"/>
      <c r="R4076" s="25"/>
      <c r="S4076" s="25"/>
      <c r="T4076" s="141"/>
      <c r="U4076" s="28"/>
    </row>
    <row r="4077" ht="15.75" customHeight="1">
      <c r="P4077" s="25"/>
      <c r="Q4077" s="25"/>
      <c r="R4077" s="25"/>
      <c r="S4077" s="25"/>
      <c r="T4077" s="141"/>
      <c r="U4077" s="28"/>
    </row>
    <row r="4078" ht="15.75" customHeight="1">
      <c r="P4078" s="25"/>
      <c r="Q4078" s="25"/>
      <c r="R4078" s="25"/>
      <c r="S4078" s="25"/>
      <c r="T4078" s="141"/>
      <c r="U4078" s="28"/>
    </row>
    <row r="4079" ht="15.75" customHeight="1">
      <c r="P4079" s="25"/>
      <c r="Q4079" s="25"/>
      <c r="R4079" s="25"/>
      <c r="S4079" s="25"/>
      <c r="T4079" s="141"/>
      <c r="U4079" s="28"/>
    </row>
    <row r="4080" ht="15.75" customHeight="1">
      <c r="P4080" s="25"/>
      <c r="Q4080" s="25"/>
      <c r="R4080" s="25"/>
      <c r="S4080" s="25"/>
      <c r="T4080" s="141"/>
      <c r="U4080" s="28"/>
    </row>
    <row r="4081" ht="15.75" customHeight="1">
      <c r="P4081" s="25"/>
      <c r="Q4081" s="25"/>
      <c r="R4081" s="25"/>
      <c r="S4081" s="25"/>
      <c r="T4081" s="141"/>
      <c r="U4081" s="28"/>
    </row>
    <row r="4082" ht="15.75" customHeight="1">
      <c r="P4082" s="25"/>
      <c r="Q4082" s="25"/>
      <c r="R4082" s="25"/>
      <c r="S4082" s="25"/>
      <c r="T4082" s="141"/>
      <c r="U4082" s="28"/>
    </row>
    <row r="4083" ht="15.75" customHeight="1">
      <c r="P4083" s="25"/>
      <c r="Q4083" s="25"/>
      <c r="R4083" s="25"/>
      <c r="S4083" s="25"/>
      <c r="T4083" s="141"/>
      <c r="U4083" s="28"/>
    </row>
    <row r="4084" ht="15.75" customHeight="1">
      <c r="P4084" s="25"/>
      <c r="Q4084" s="25"/>
      <c r="R4084" s="25"/>
      <c r="S4084" s="25"/>
      <c r="T4084" s="141"/>
      <c r="U4084" s="28"/>
    </row>
    <row r="4085" ht="15.75" customHeight="1">
      <c r="P4085" s="25"/>
      <c r="Q4085" s="25"/>
      <c r="R4085" s="25"/>
      <c r="S4085" s="25"/>
      <c r="T4085" s="141"/>
      <c r="U4085" s="28"/>
    </row>
    <row r="4086" ht="15.75" customHeight="1">
      <c r="P4086" s="25"/>
      <c r="Q4086" s="25"/>
      <c r="R4086" s="25"/>
      <c r="S4086" s="25"/>
      <c r="T4086" s="141"/>
      <c r="U4086" s="28"/>
    </row>
    <row r="4087" ht="15.75" customHeight="1">
      <c r="P4087" s="25"/>
      <c r="Q4087" s="25"/>
      <c r="R4087" s="25"/>
      <c r="S4087" s="25"/>
      <c r="T4087" s="141"/>
      <c r="U4087" s="28"/>
    </row>
    <row r="4088" ht="15.75" customHeight="1">
      <c r="P4088" s="25"/>
      <c r="Q4088" s="25"/>
      <c r="R4088" s="25"/>
      <c r="S4088" s="25"/>
      <c r="T4088" s="141"/>
      <c r="U4088" s="28"/>
    </row>
    <row r="4089" ht="15.75" customHeight="1">
      <c r="P4089" s="25"/>
      <c r="Q4089" s="25"/>
      <c r="R4089" s="25"/>
      <c r="S4089" s="25"/>
      <c r="T4089" s="141"/>
      <c r="U4089" s="28"/>
    </row>
    <row r="4090" ht="15.75" customHeight="1">
      <c r="P4090" s="25"/>
      <c r="Q4090" s="25"/>
      <c r="R4090" s="25"/>
      <c r="S4090" s="25"/>
      <c r="T4090" s="141"/>
      <c r="U4090" s="28"/>
    </row>
    <row r="4091" ht="15.75" customHeight="1">
      <c r="P4091" s="25"/>
      <c r="Q4091" s="25"/>
      <c r="R4091" s="25"/>
      <c r="S4091" s="25"/>
      <c r="T4091" s="141"/>
      <c r="U4091" s="28"/>
    </row>
    <row r="4092" ht="15.75" customHeight="1">
      <c r="P4092" s="25"/>
      <c r="Q4092" s="25"/>
      <c r="R4092" s="25"/>
      <c r="S4092" s="25"/>
      <c r="T4092" s="141"/>
      <c r="U4092" s="28"/>
    </row>
    <row r="4093" ht="15.75" customHeight="1">
      <c r="P4093" s="25"/>
      <c r="Q4093" s="25"/>
      <c r="R4093" s="25"/>
      <c r="S4093" s="25"/>
      <c r="T4093" s="141"/>
      <c r="U4093" s="28"/>
    </row>
    <row r="4094" ht="15.75" customHeight="1">
      <c r="P4094" s="25"/>
      <c r="Q4094" s="25"/>
      <c r="R4094" s="25"/>
      <c r="S4094" s="25"/>
      <c r="T4094" s="141"/>
      <c r="U4094" s="28"/>
    </row>
    <row r="4095" ht="15.75" customHeight="1">
      <c r="P4095" s="25"/>
      <c r="Q4095" s="25"/>
      <c r="R4095" s="25"/>
      <c r="S4095" s="25"/>
      <c r="T4095" s="141"/>
      <c r="U4095" s="28"/>
    </row>
    <row r="4096" ht="15.75" customHeight="1">
      <c r="P4096" s="25"/>
      <c r="Q4096" s="25"/>
      <c r="R4096" s="25"/>
      <c r="S4096" s="25"/>
      <c r="T4096" s="141"/>
      <c r="U4096" s="28"/>
    </row>
    <row r="4097" ht="15.75" customHeight="1">
      <c r="P4097" s="25"/>
      <c r="Q4097" s="25"/>
      <c r="R4097" s="25"/>
      <c r="S4097" s="25"/>
      <c r="T4097" s="141"/>
      <c r="U4097" s="28"/>
    </row>
    <row r="4098" ht="15.75" customHeight="1">
      <c r="P4098" s="25"/>
      <c r="Q4098" s="25"/>
      <c r="R4098" s="25"/>
      <c r="S4098" s="25"/>
      <c r="T4098" s="141"/>
      <c r="U4098" s="28"/>
    </row>
    <row r="4099" ht="15.75" customHeight="1">
      <c r="P4099" s="25"/>
      <c r="Q4099" s="25"/>
      <c r="R4099" s="25"/>
      <c r="S4099" s="25"/>
      <c r="T4099" s="141"/>
      <c r="U4099" s="28"/>
    </row>
    <row r="4100" ht="15.75" customHeight="1">
      <c r="P4100" s="25"/>
      <c r="Q4100" s="25"/>
      <c r="R4100" s="25"/>
      <c r="S4100" s="25"/>
      <c r="T4100" s="141"/>
      <c r="U4100" s="28"/>
    </row>
    <row r="4101" ht="15.75" customHeight="1">
      <c r="P4101" s="25"/>
      <c r="Q4101" s="25"/>
      <c r="R4101" s="25"/>
      <c r="S4101" s="25"/>
      <c r="T4101" s="141"/>
      <c r="U4101" s="28"/>
    </row>
    <row r="4102" ht="15.75" customHeight="1">
      <c r="P4102" s="25"/>
      <c r="Q4102" s="25"/>
      <c r="R4102" s="25"/>
      <c r="S4102" s="25"/>
      <c r="T4102" s="141"/>
      <c r="U4102" s="28"/>
    </row>
    <row r="4103" ht="15.75" customHeight="1">
      <c r="P4103" s="25"/>
      <c r="Q4103" s="25"/>
      <c r="R4103" s="25"/>
      <c r="S4103" s="25"/>
      <c r="T4103" s="141"/>
      <c r="U4103" s="28"/>
    </row>
    <row r="4104" ht="15.75" customHeight="1">
      <c r="P4104" s="25"/>
      <c r="Q4104" s="25"/>
      <c r="R4104" s="25"/>
      <c r="S4104" s="25"/>
      <c r="T4104" s="141"/>
      <c r="U4104" s="28"/>
    </row>
    <row r="4105" ht="15.75" customHeight="1">
      <c r="P4105" s="25"/>
      <c r="Q4105" s="25"/>
      <c r="R4105" s="25"/>
      <c r="S4105" s="25"/>
      <c r="T4105" s="141"/>
      <c r="U4105" s="28"/>
    </row>
    <row r="4106" ht="15.75" customHeight="1">
      <c r="P4106" s="25"/>
      <c r="Q4106" s="25"/>
      <c r="R4106" s="25"/>
      <c r="S4106" s="25"/>
      <c r="T4106" s="141"/>
      <c r="U4106" s="28"/>
    </row>
    <row r="4107" ht="15.75" customHeight="1">
      <c r="P4107" s="25"/>
      <c r="Q4107" s="25"/>
      <c r="R4107" s="25"/>
      <c r="S4107" s="25"/>
      <c r="T4107" s="141"/>
      <c r="U4107" s="28"/>
    </row>
    <row r="4108" ht="15.75" customHeight="1">
      <c r="P4108" s="25"/>
      <c r="Q4108" s="25"/>
      <c r="R4108" s="25"/>
      <c r="S4108" s="25"/>
      <c r="T4108" s="141"/>
      <c r="U4108" s="28"/>
    </row>
    <row r="4109" ht="15.75" customHeight="1">
      <c r="P4109" s="25"/>
      <c r="Q4109" s="25"/>
      <c r="R4109" s="25"/>
      <c r="S4109" s="25"/>
      <c r="T4109" s="141"/>
      <c r="U4109" s="28"/>
    </row>
    <row r="4110" ht="15.75" customHeight="1">
      <c r="P4110" s="25"/>
      <c r="Q4110" s="25"/>
      <c r="R4110" s="25"/>
      <c r="S4110" s="25"/>
      <c r="T4110" s="141"/>
      <c r="U4110" s="28"/>
    </row>
    <row r="4111" ht="15.75" customHeight="1">
      <c r="P4111" s="25"/>
      <c r="Q4111" s="25"/>
      <c r="R4111" s="25"/>
      <c r="S4111" s="25"/>
      <c r="T4111" s="141"/>
      <c r="U4111" s="28"/>
    </row>
    <row r="4112" ht="15.75" customHeight="1">
      <c r="P4112" s="25"/>
      <c r="Q4112" s="25"/>
      <c r="R4112" s="25"/>
      <c r="S4112" s="25"/>
      <c r="T4112" s="141"/>
      <c r="U4112" s="28"/>
    </row>
    <row r="4113" ht="15.75" customHeight="1">
      <c r="P4113" s="25"/>
      <c r="Q4113" s="25"/>
      <c r="R4113" s="25"/>
      <c r="S4113" s="25"/>
      <c r="T4113" s="141"/>
      <c r="U4113" s="28"/>
    </row>
    <row r="4114" ht="15.75" customHeight="1">
      <c r="P4114" s="25"/>
      <c r="Q4114" s="25"/>
      <c r="R4114" s="25"/>
      <c r="S4114" s="25"/>
      <c r="T4114" s="141"/>
      <c r="U4114" s="28"/>
    </row>
    <row r="4115" ht="15.75" customHeight="1">
      <c r="P4115" s="25"/>
      <c r="Q4115" s="25"/>
      <c r="R4115" s="25"/>
      <c r="S4115" s="25"/>
      <c r="T4115" s="141"/>
      <c r="U4115" s="28"/>
    </row>
    <row r="4116" ht="15.75" customHeight="1">
      <c r="P4116" s="25"/>
      <c r="Q4116" s="25"/>
      <c r="R4116" s="25"/>
      <c r="S4116" s="25"/>
      <c r="T4116" s="141"/>
      <c r="U4116" s="28"/>
    </row>
    <row r="4117" ht="15.75" customHeight="1">
      <c r="P4117" s="25"/>
      <c r="Q4117" s="25"/>
      <c r="R4117" s="25"/>
      <c r="S4117" s="25"/>
      <c r="T4117" s="141"/>
      <c r="U4117" s="28"/>
    </row>
    <row r="4118" ht="15.75" customHeight="1">
      <c r="P4118" s="25"/>
      <c r="Q4118" s="25"/>
      <c r="R4118" s="25"/>
      <c r="S4118" s="25"/>
      <c r="T4118" s="141"/>
      <c r="U4118" s="28"/>
    </row>
    <row r="4119" ht="15.75" customHeight="1">
      <c r="P4119" s="25"/>
      <c r="Q4119" s="25"/>
      <c r="R4119" s="25"/>
      <c r="S4119" s="25"/>
      <c r="T4119" s="141"/>
      <c r="U4119" s="28"/>
    </row>
    <row r="4120" ht="15.75" customHeight="1">
      <c r="P4120" s="25"/>
      <c r="Q4120" s="25"/>
      <c r="R4120" s="25"/>
      <c r="S4120" s="25"/>
      <c r="T4120" s="141"/>
      <c r="U4120" s="28"/>
    </row>
    <row r="4121" ht="15.75" customHeight="1">
      <c r="P4121" s="25"/>
      <c r="Q4121" s="25"/>
      <c r="R4121" s="25"/>
      <c r="S4121" s="25"/>
      <c r="T4121" s="141"/>
      <c r="U4121" s="28"/>
    </row>
    <row r="4122" ht="15.75" customHeight="1">
      <c r="P4122" s="25"/>
      <c r="Q4122" s="25"/>
      <c r="R4122" s="25"/>
      <c r="S4122" s="25"/>
      <c r="T4122" s="141"/>
      <c r="U4122" s="28"/>
    </row>
    <row r="4123" ht="15.75" customHeight="1">
      <c r="P4123" s="25"/>
      <c r="Q4123" s="25"/>
      <c r="R4123" s="25"/>
      <c r="S4123" s="25"/>
      <c r="T4123" s="141"/>
      <c r="U4123" s="28"/>
    </row>
    <row r="4124" ht="15.75" customHeight="1">
      <c r="P4124" s="25"/>
      <c r="Q4124" s="25"/>
      <c r="R4124" s="25"/>
      <c r="S4124" s="25"/>
      <c r="T4124" s="141"/>
      <c r="U4124" s="28"/>
    </row>
    <row r="4125" ht="15.75" customHeight="1">
      <c r="P4125" s="25"/>
      <c r="Q4125" s="25"/>
      <c r="R4125" s="25"/>
      <c r="S4125" s="25"/>
      <c r="T4125" s="141"/>
      <c r="U4125" s="28"/>
    </row>
    <row r="4126" ht="15.75" customHeight="1">
      <c r="P4126" s="25"/>
      <c r="Q4126" s="25"/>
      <c r="R4126" s="25"/>
      <c r="S4126" s="25"/>
      <c r="T4126" s="141"/>
      <c r="U4126" s="28"/>
    </row>
    <row r="4127" ht="15.75" customHeight="1">
      <c r="P4127" s="25"/>
      <c r="Q4127" s="25"/>
      <c r="R4127" s="25"/>
      <c r="S4127" s="25"/>
      <c r="T4127" s="141"/>
      <c r="U4127" s="28"/>
    </row>
    <row r="4128" ht="15.75" customHeight="1">
      <c r="P4128" s="25"/>
      <c r="Q4128" s="25"/>
      <c r="R4128" s="25"/>
      <c r="S4128" s="25"/>
      <c r="T4128" s="141"/>
      <c r="U4128" s="28"/>
    </row>
    <row r="4129" ht="15.75" customHeight="1">
      <c r="P4129" s="25"/>
      <c r="Q4129" s="25"/>
      <c r="R4129" s="25"/>
      <c r="S4129" s="25"/>
      <c r="T4129" s="141"/>
      <c r="U4129" s="28"/>
    </row>
    <row r="4130" ht="15.75" customHeight="1">
      <c r="P4130" s="25"/>
      <c r="Q4130" s="25"/>
      <c r="R4130" s="25"/>
      <c r="S4130" s="25"/>
      <c r="T4130" s="141"/>
      <c r="U4130" s="28"/>
    </row>
    <row r="4131" ht="15.75" customHeight="1">
      <c r="P4131" s="25"/>
      <c r="Q4131" s="25"/>
      <c r="R4131" s="25"/>
      <c r="S4131" s="25"/>
      <c r="T4131" s="141"/>
      <c r="U4131" s="28"/>
    </row>
    <row r="4132" ht="15.75" customHeight="1">
      <c r="P4132" s="25"/>
      <c r="Q4132" s="25"/>
      <c r="R4132" s="25"/>
      <c r="S4132" s="25"/>
      <c r="T4132" s="141"/>
      <c r="U4132" s="28"/>
    </row>
    <row r="4133" ht="15.75" customHeight="1">
      <c r="P4133" s="25"/>
      <c r="Q4133" s="25"/>
      <c r="R4133" s="25"/>
      <c r="S4133" s="25"/>
      <c r="T4133" s="141"/>
      <c r="U4133" s="28"/>
    </row>
    <row r="4134" ht="15.75" customHeight="1">
      <c r="P4134" s="25"/>
      <c r="Q4134" s="25"/>
      <c r="R4134" s="25"/>
      <c r="S4134" s="25"/>
      <c r="T4134" s="141"/>
      <c r="U4134" s="28"/>
    </row>
    <row r="4135" ht="15.75" customHeight="1">
      <c r="P4135" s="25"/>
      <c r="Q4135" s="25"/>
      <c r="R4135" s="25"/>
      <c r="S4135" s="25"/>
      <c r="T4135" s="141"/>
      <c r="U4135" s="28"/>
    </row>
    <row r="4136" ht="15.75" customHeight="1">
      <c r="P4136" s="25"/>
      <c r="Q4136" s="25"/>
      <c r="R4136" s="25"/>
      <c r="S4136" s="25"/>
      <c r="T4136" s="141"/>
      <c r="U4136" s="28"/>
    </row>
    <row r="4137" ht="15.75" customHeight="1">
      <c r="P4137" s="25"/>
      <c r="Q4137" s="25"/>
      <c r="R4137" s="25"/>
      <c r="S4137" s="25"/>
      <c r="T4137" s="141"/>
      <c r="U4137" s="28"/>
    </row>
    <row r="4138" ht="15.75" customHeight="1">
      <c r="P4138" s="25"/>
      <c r="Q4138" s="25"/>
      <c r="R4138" s="25"/>
      <c r="S4138" s="25"/>
      <c r="T4138" s="141"/>
      <c r="U4138" s="28"/>
    </row>
    <row r="4139" ht="15.75" customHeight="1">
      <c r="P4139" s="25"/>
      <c r="Q4139" s="25"/>
      <c r="R4139" s="25"/>
      <c r="S4139" s="25"/>
      <c r="T4139" s="141"/>
      <c r="U4139" s="28"/>
    </row>
    <row r="4140" ht="15.75" customHeight="1">
      <c r="P4140" s="25"/>
      <c r="Q4140" s="25"/>
      <c r="R4140" s="25"/>
      <c r="S4140" s="25"/>
      <c r="T4140" s="141"/>
      <c r="U4140" s="28"/>
    </row>
    <row r="4141" ht="15.75" customHeight="1">
      <c r="P4141" s="25"/>
      <c r="Q4141" s="25"/>
      <c r="R4141" s="25"/>
      <c r="S4141" s="25"/>
      <c r="T4141" s="141"/>
      <c r="U4141" s="28"/>
    </row>
    <row r="4142" ht="15.75" customHeight="1">
      <c r="P4142" s="25"/>
      <c r="Q4142" s="25"/>
      <c r="R4142" s="25"/>
      <c r="S4142" s="25"/>
      <c r="T4142" s="141"/>
      <c r="U4142" s="28"/>
    </row>
    <row r="4143" ht="15.75" customHeight="1">
      <c r="P4143" s="25"/>
      <c r="Q4143" s="25"/>
      <c r="R4143" s="25"/>
      <c r="S4143" s="25"/>
      <c r="T4143" s="141"/>
      <c r="U4143" s="28"/>
    </row>
    <row r="4144" ht="15.75" customHeight="1">
      <c r="P4144" s="25"/>
      <c r="Q4144" s="25"/>
      <c r="R4144" s="25"/>
      <c r="S4144" s="25"/>
      <c r="T4144" s="141"/>
      <c r="U4144" s="28"/>
    </row>
    <row r="4145" ht="15.75" customHeight="1">
      <c r="P4145" s="25"/>
      <c r="Q4145" s="25"/>
      <c r="R4145" s="25"/>
      <c r="S4145" s="25"/>
      <c r="T4145" s="141"/>
      <c r="U4145" s="28"/>
    </row>
    <row r="4146" ht="15.75" customHeight="1">
      <c r="P4146" s="25"/>
      <c r="Q4146" s="25"/>
      <c r="R4146" s="25"/>
      <c r="S4146" s="25"/>
      <c r="T4146" s="141"/>
      <c r="U4146" s="28"/>
    </row>
    <row r="4147" ht="15.75" customHeight="1">
      <c r="P4147" s="25"/>
      <c r="Q4147" s="25"/>
      <c r="R4147" s="25"/>
      <c r="S4147" s="25"/>
      <c r="T4147" s="141"/>
      <c r="U4147" s="28"/>
    </row>
    <row r="4148" ht="15.75" customHeight="1">
      <c r="P4148" s="25"/>
      <c r="Q4148" s="25"/>
      <c r="R4148" s="25"/>
      <c r="S4148" s="25"/>
      <c r="T4148" s="141"/>
      <c r="U4148" s="28"/>
    </row>
    <row r="4149" ht="15.75" customHeight="1">
      <c r="P4149" s="25"/>
      <c r="Q4149" s="25"/>
      <c r="R4149" s="25"/>
      <c r="S4149" s="25"/>
      <c r="T4149" s="141"/>
      <c r="U4149" s="28"/>
    </row>
    <row r="4150" ht="15.75" customHeight="1">
      <c r="P4150" s="25"/>
      <c r="Q4150" s="25"/>
      <c r="R4150" s="25"/>
      <c r="S4150" s="25"/>
      <c r="T4150" s="141"/>
      <c r="U4150" s="28"/>
    </row>
    <row r="4151" ht="15.75" customHeight="1">
      <c r="P4151" s="25"/>
      <c r="Q4151" s="25"/>
      <c r="R4151" s="25"/>
      <c r="S4151" s="25"/>
      <c r="T4151" s="141"/>
      <c r="U4151" s="28"/>
    </row>
    <row r="4152" ht="15.75" customHeight="1">
      <c r="P4152" s="25"/>
      <c r="Q4152" s="25"/>
      <c r="R4152" s="25"/>
      <c r="S4152" s="25"/>
      <c r="T4152" s="141"/>
      <c r="U4152" s="28"/>
    </row>
    <row r="4153" ht="15.75" customHeight="1">
      <c r="P4153" s="25"/>
      <c r="Q4153" s="25"/>
      <c r="R4153" s="25"/>
      <c r="S4153" s="25"/>
      <c r="T4153" s="141"/>
      <c r="U4153" s="28"/>
    </row>
    <row r="4154" ht="15.75" customHeight="1">
      <c r="P4154" s="25"/>
      <c r="Q4154" s="25"/>
      <c r="R4154" s="25"/>
      <c r="S4154" s="25"/>
      <c r="T4154" s="141"/>
      <c r="U4154" s="28"/>
    </row>
    <row r="4155" ht="15.75" customHeight="1">
      <c r="P4155" s="25"/>
      <c r="Q4155" s="25"/>
      <c r="R4155" s="25"/>
      <c r="S4155" s="25"/>
      <c r="T4155" s="141"/>
      <c r="U4155" s="28"/>
    </row>
    <row r="4156" ht="15.75" customHeight="1">
      <c r="P4156" s="25"/>
      <c r="Q4156" s="25"/>
      <c r="R4156" s="25"/>
      <c r="S4156" s="25"/>
      <c r="T4156" s="141"/>
      <c r="U4156" s="28"/>
    </row>
    <row r="4157" ht="15.75" customHeight="1">
      <c r="P4157" s="25"/>
      <c r="Q4157" s="25"/>
      <c r="R4157" s="25"/>
      <c r="S4157" s="25"/>
      <c r="T4157" s="141"/>
      <c r="U4157" s="28"/>
    </row>
    <row r="4158" ht="15.75" customHeight="1">
      <c r="P4158" s="25"/>
      <c r="Q4158" s="25"/>
      <c r="R4158" s="25"/>
      <c r="S4158" s="25"/>
      <c r="T4158" s="141"/>
      <c r="U4158" s="28"/>
    </row>
    <row r="4159" ht="15.75" customHeight="1">
      <c r="P4159" s="25"/>
      <c r="Q4159" s="25"/>
      <c r="R4159" s="25"/>
      <c r="S4159" s="25"/>
      <c r="T4159" s="141"/>
      <c r="U4159" s="28"/>
    </row>
    <row r="4160" ht="15.75" customHeight="1">
      <c r="P4160" s="25"/>
      <c r="Q4160" s="25"/>
      <c r="R4160" s="25"/>
      <c r="S4160" s="25"/>
      <c r="T4160" s="141"/>
      <c r="U4160" s="28"/>
    </row>
    <row r="4161" ht="15.75" customHeight="1">
      <c r="P4161" s="25"/>
      <c r="Q4161" s="25"/>
      <c r="R4161" s="25"/>
      <c r="S4161" s="25"/>
      <c r="T4161" s="141"/>
      <c r="U4161" s="28"/>
    </row>
    <row r="4162" ht="15.75" customHeight="1">
      <c r="P4162" s="25"/>
      <c r="Q4162" s="25"/>
      <c r="R4162" s="25"/>
      <c r="S4162" s="25"/>
      <c r="T4162" s="141"/>
      <c r="U4162" s="28"/>
    </row>
    <row r="4163" ht="15.75" customHeight="1">
      <c r="P4163" s="25"/>
      <c r="Q4163" s="25"/>
      <c r="R4163" s="25"/>
      <c r="S4163" s="25"/>
      <c r="T4163" s="141"/>
      <c r="U4163" s="28"/>
    </row>
    <row r="4164" ht="15.75" customHeight="1">
      <c r="P4164" s="25"/>
      <c r="Q4164" s="25"/>
      <c r="R4164" s="25"/>
      <c r="S4164" s="25"/>
      <c r="T4164" s="141"/>
      <c r="U4164" s="28"/>
    </row>
    <row r="4165" ht="15.75" customHeight="1">
      <c r="P4165" s="25"/>
      <c r="Q4165" s="25"/>
      <c r="R4165" s="25"/>
      <c r="S4165" s="25"/>
      <c r="T4165" s="141"/>
      <c r="U4165" s="28"/>
    </row>
    <row r="4166" ht="15.75" customHeight="1">
      <c r="P4166" s="25"/>
      <c r="Q4166" s="25"/>
      <c r="R4166" s="25"/>
      <c r="S4166" s="25"/>
      <c r="T4166" s="141"/>
      <c r="U4166" s="28"/>
    </row>
    <row r="4167" ht="15.75" customHeight="1">
      <c r="P4167" s="25"/>
      <c r="Q4167" s="25"/>
      <c r="R4167" s="25"/>
      <c r="S4167" s="25"/>
      <c r="T4167" s="141"/>
      <c r="U4167" s="28"/>
    </row>
    <row r="4168" ht="15.75" customHeight="1">
      <c r="P4168" s="25"/>
      <c r="Q4168" s="25"/>
      <c r="R4168" s="25"/>
      <c r="S4168" s="25"/>
      <c r="T4168" s="141"/>
      <c r="U4168" s="28"/>
    </row>
    <row r="4169" ht="15.75" customHeight="1">
      <c r="P4169" s="25"/>
      <c r="Q4169" s="25"/>
      <c r="R4169" s="25"/>
      <c r="S4169" s="25"/>
      <c r="T4169" s="141"/>
      <c r="U4169" s="28"/>
    </row>
    <row r="4170" ht="15.75" customHeight="1">
      <c r="P4170" s="25"/>
      <c r="Q4170" s="25"/>
      <c r="R4170" s="25"/>
      <c r="S4170" s="25"/>
      <c r="T4170" s="141"/>
      <c r="U4170" s="28"/>
    </row>
    <row r="4171" ht="15.75" customHeight="1">
      <c r="P4171" s="25"/>
      <c r="Q4171" s="25"/>
      <c r="R4171" s="25"/>
      <c r="S4171" s="25"/>
      <c r="T4171" s="141"/>
      <c r="U4171" s="28"/>
    </row>
    <row r="4172" ht="15.75" customHeight="1">
      <c r="P4172" s="25"/>
      <c r="Q4172" s="25"/>
      <c r="R4172" s="25"/>
      <c r="S4172" s="25"/>
      <c r="T4172" s="141"/>
      <c r="U4172" s="28"/>
    </row>
    <row r="4173" ht="15.75" customHeight="1">
      <c r="P4173" s="25"/>
      <c r="Q4173" s="25"/>
      <c r="R4173" s="25"/>
      <c r="S4173" s="25"/>
      <c r="T4173" s="141"/>
      <c r="U4173" s="28"/>
    </row>
    <row r="4174" ht="15.75" customHeight="1">
      <c r="P4174" s="25"/>
      <c r="Q4174" s="25"/>
      <c r="R4174" s="25"/>
      <c r="S4174" s="25"/>
      <c r="T4174" s="141"/>
      <c r="U4174" s="28"/>
    </row>
    <row r="4175" ht="15.75" customHeight="1">
      <c r="P4175" s="25"/>
      <c r="Q4175" s="25"/>
      <c r="R4175" s="25"/>
      <c r="S4175" s="25"/>
      <c r="T4175" s="141"/>
      <c r="U4175" s="28"/>
    </row>
    <row r="4176" ht="15.75" customHeight="1">
      <c r="P4176" s="25"/>
      <c r="Q4176" s="25"/>
      <c r="R4176" s="25"/>
      <c r="S4176" s="25"/>
      <c r="T4176" s="141"/>
      <c r="U4176" s="28"/>
    </row>
    <row r="4177" ht="15.75" customHeight="1">
      <c r="P4177" s="25"/>
      <c r="Q4177" s="25"/>
      <c r="R4177" s="25"/>
      <c r="S4177" s="25"/>
      <c r="T4177" s="141"/>
      <c r="U4177" s="28"/>
    </row>
    <row r="4178" ht="15.75" customHeight="1">
      <c r="P4178" s="25"/>
      <c r="Q4178" s="25"/>
      <c r="R4178" s="25"/>
      <c r="S4178" s="25"/>
      <c r="T4178" s="141"/>
      <c r="U4178" s="28"/>
    </row>
    <row r="4179" ht="15.75" customHeight="1">
      <c r="P4179" s="25"/>
      <c r="Q4179" s="25"/>
      <c r="R4179" s="25"/>
      <c r="S4179" s="25"/>
      <c r="T4179" s="141"/>
      <c r="U4179" s="28"/>
    </row>
    <row r="4180" ht="15.75" customHeight="1">
      <c r="P4180" s="25"/>
      <c r="Q4180" s="25"/>
      <c r="R4180" s="25"/>
      <c r="S4180" s="25"/>
      <c r="T4180" s="141"/>
      <c r="U4180" s="28"/>
    </row>
    <row r="4181" ht="15.75" customHeight="1">
      <c r="P4181" s="25"/>
      <c r="Q4181" s="25"/>
      <c r="R4181" s="25"/>
      <c r="S4181" s="25"/>
      <c r="T4181" s="141"/>
      <c r="U4181" s="28"/>
    </row>
    <row r="4182" ht="15.75" customHeight="1">
      <c r="P4182" s="25"/>
      <c r="Q4182" s="25"/>
      <c r="R4182" s="25"/>
      <c r="S4182" s="25"/>
      <c r="T4182" s="141"/>
      <c r="U4182" s="28"/>
    </row>
    <row r="4183" ht="15.75" customHeight="1">
      <c r="P4183" s="25"/>
      <c r="Q4183" s="25"/>
      <c r="R4183" s="25"/>
      <c r="S4183" s="25"/>
      <c r="T4183" s="141"/>
      <c r="U4183" s="28"/>
    </row>
    <row r="4184" ht="15.75" customHeight="1">
      <c r="P4184" s="25"/>
      <c r="Q4184" s="25"/>
      <c r="R4184" s="25"/>
      <c r="S4184" s="25"/>
      <c r="T4184" s="141"/>
      <c r="U4184" s="28"/>
    </row>
    <row r="4185" ht="15.75" customHeight="1">
      <c r="P4185" s="25"/>
      <c r="Q4185" s="25"/>
      <c r="R4185" s="25"/>
      <c r="S4185" s="25"/>
      <c r="T4185" s="141"/>
      <c r="U4185" s="28"/>
    </row>
    <row r="4186" ht="15.75" customHeight="1">
      <c r="P4186" s="25"/>
      <c r="Q4186" s="25"/>
      <c r="R4186" s="25"/>
      <c r="S4186" s="25"/>
      <c r="T4186" s="141"/>
      <c r="U4186" s="28"/>
    </row>
    <row r="4187" ht="15.75" customHeight="1">
      <c r="P4187" s="25"/>
      <c r="Q4187" s="25"/>
      <c r="R4187" s="25"/>
      <c r="S4187" s="25"/>
      <c r="T4187" s="141"/>
      <c r="U4187" s="28"/>
    </row>
    <row r="4188" ht="15.75" customHeight="1">
      <c r="P4188" s="25"/>
      <c r="Q4188" s="25"/>
      <c r="R4188" s="25"/>
      <c r="S4188" s="25"/>
      <c r="T4188" s="141"/>
      <c r="U4188" s="28"/>
    </row>
    <row r="4189" ht="15.75" customHeight="1">
      <c r="P4189" s="25"/>
      <c r="Q4189" s="25"/>
      <c r="R4189" s="25"/>
      <c r="S4189" s="25"/>
      <c r="T4189" s="141"/>
      <c r="U4189" s="28"/>
    </row>
    <row r="4190" ht="15.75" customHeight="1">
      <c r="P4190" s="25"/>
      <c r="Q4190" s="25"/>
      <c r="R4190" s="25"/>
      <c r="S4190" s="25"/>
      <c r="T4190" s="141"/>
      <c r="U4190" s="28"/>
    </row>
    <row r="4191" ht="15.75" customHeight="1">
      <c r="P4191" s="25"/>
      <c r="Q4191" s="25"/>
      <c r="R4191" s="25"/>
      <c r="S4191" s="25"/>
      <c r="T4191" s="141"/>
      <c r="U4191" s="28"/>
    </row>
    <row r="4192" ht="15.75" customHeight="1">
      <c r="P4192" s="25"/>
      <c r="Q4192" s="25"/>
      <c r="R4192" s="25"/>
      <c r="S4192" s="25"/>
      <c r="T4192" s="141"/>
      <c r="U4192" s="28"/>
    </row>
    <row r="4193" ht="15.75" customHeight="1">
      <c r="P4193" s="25"/>
      <c r="Q4193" s="25"/>
      <c r="R4193" s="25"/>
      <c r="S4193" s="25"/>
      <c r="T4193" s="141"/>
      <c r="U4193" s="28"/>
    </row>
    <row r="4194" ht="15.75" customHeight="1">
      <c r="P4194" s="25"/>
      <c r="Q4194" s="25"/>
      <c r="R4194" s="25"/>
      <c r="S4194" s="25"/>
      <c r="T4194" s="141"/>
      <c r="U4194" s="28"/>
    </row>
    <row r="4195" ht="15.75" customHeight="1">
      <c r="P4195" s="25"/>
      <c r="Q4195" s="25"/>
      <c r="R4195" s="25"/>
      <c r="S4195" s="25"/>
      <c r="T4195" s="141"/>
      <c r="U4195" s="28"/>
    </row>
    <row r="4196" ht="15.75" customHeight="1">
      <c r="P4196" s="25"/>
      <c r="Q4196" s="25"/>
      <c r="R4196" s="25"/>
      <c r="S4196" s="25"/>
      <c r="T4196" s="141"/>
      <c r="U4196" s="28"/>
    </row>
    <row r="4197" ht="15.75" customHeight="1">
      <c r="P4197" s="25"/>
      <c r="Q4197" s="25"/>
      <c r="R4197" s="25"/>
      <c r="S4197" s="25"/>
      <c r="T4197" s="141"/>
      <c r="U4197" s="28"/>
    </row>
    <row r="4198" ht="15.75" customHeight="1">
      <c r="P4198" s="25"/>
      <c r="Q4198" s="25"/>
      <c r="R4198" s="25"/>
      <c r="S4198" s="25"/>
      <c r="T4198" s="141"/>
      <c r="U4198" s="28"/>
    </row>
    <row r="4199" ht="15.75" customHeight="1">
      <c r="P4199" s="25"/>
      <c r="Q4199" s="25"/>
      <c r="R4199" s="25"/>
      <c r="S4199" s="25"/>
      <c r="T4199" s="141"/>
      <c r="U4199" s="28"/>
    </row>
    <row r="4200" ht="15.75" customHeight="1">
      <c r="P4200" s="25"/>
      <c r="Q4200" s="25"/>
      <c r="R4200" s="25"/>
      <c r="S4200" s="25"/>
      <c r="T4200" s="141"/>
      <c r="U4200" s="28"/>
    </row>
    <row r="4201" ht="15.75" customHeight="1">
      <c r="P4201" s="25"/>
      <c r="Q4201" s="25"/>
      <c r="R4201" s="25"/>
      <c r="S4201" s="25"/>
      <c r="T4201" s="141"/>
      <c r="U4201" s="28"/>
    </row>
    <row r="4202" ht="15.75" customHeight="1">
      <c r="P4202" s="25"/>
      <c r="Q4202" s="25"/>
      <c r="R4202" s="25"/>
      <c r="S4202" s="25"/>
      <c r="T4202" s="141"/>
      <c r="U4202" s="28"/>
    </row>
    <row r="4203" ht="15.75" customHeight="1">
      <c r="P4203" s="25"/>
      <c r="Q4203" s="25"/>
      <c r="R4203" s="25"/>
      <c r="S4203" s="25"/>
      <c r="T4203" s="141"/>
      <c r="U4203" s="28"/>
    </row>
    <row r="4204" ht="15.75" customHeight="1">
      <c r="P4204" s="25"/>
      <c r="Q4204" s="25"/>
      <c r="R4204" s="25"/>
      <c r="S4204" s="25"/>
      <c r="T4204" s="141"/>
      <c r="U4204" s="28"/>
    </row>
    <row r="4205" ht="15.75" customHeight="1">
      <c r="P4205" s="25"/>
      <c r="Q4205" s="25"/>
      <c r="R4205" s="25"/>
      <c r="S4205" s="25"/>
      <c r="T4205" s="141"/>
      <c r="U4205" s="28"/>
    </row>
    <row r="4206" ht="15.75" customHeight="1">
      <c r="P4206" s="25"/>
      <c r="Q4206" s="25"/>
      <c r="R4206" s="25"/>
      <c r="S4206" s="25"/>
      <c r="T4206" s="141"/>
      <c r="U4206" s="28"/>
    </row>
    <row r="4207" ht="15.75" customHeight="1">
      <c r="P4207" s="25"/>
      <c r="Q4207" s="25"/>
      <c r="R4207" s="25"/>
      <c r="S4207" s="25"/>
      <c r="T4207" s="141"/>
      <c r="U4207" s="28"/>
    </row>
    <row r="4208" ht="15.75" customHeight="1">
      <c r="P4208" s="25"/>
      <c r="Q4208" s="25"/>
      <c r="R4208" s="25"/>
      <c r="S4208" s="25"/>
      <c r="T4208" s="141"/>
      <c r="U4208" s="28"/>
    </row>
    <row r="4209" ht="15.75" customHeight="1">
      <c r="P4209" s="25"/>
      <c r="Q4209" s="25"/>
      <c r="R4209" s="25"/>
      <c r="S4209" s="25"/>
      <c r="T4209" s="141"/>
      <c r="U4209" s="28"/>
    </row>
    <row r="4210" ht="15.75" customHeight="1">
      <c r="P4210" s="25"/>
      <c r="Q4210" s="25"/>
      <c r="R4210" s="25"/>
      <c r="S4210" s="25"/>
      <c r="T4210" s="141"/>
      <c r="U4210" s="28"/>
    </row>
    <row r="4211" ht="15.75" customHeight="1">
      <c r="P4211" s="25"/>
      <c r="Q4211" s="25"/>
      <c r="R4211" s="25"/>
      <c r="S4211" s="25"/>
      <c r="T4211" s="141"/>
      <c r="U4211" s="28"/>
    </row>
    <row r="4212" ht="15.75" customHeight="1">
      <c r="P4212" s="25"/>
      <c r="Q4212" s="25"/>
      <c r="R4212" s="25"/>
      <c r="S4212" s="25"/>
      <c r="T4212" s="141"/>
      <c r="U4212" s="28"/>
    </row>
    <row r="4213" ht="15.75" customHeight="1">
      <c r="P4213" s="25"/>
      <c r="Q4213" s="25"/>
      <c r="R4213" s="25"/>
      <c r="S4213" s="25"/>
      <c r="T4213" s="141"/>
      <c r="U4213" s="28"/>
    </row>
    <row r="4214" ht="15.75" customHeight="1">
      <c r="P4214" s="25"/>
      <c r="Q4214" s="25"/>
      <c r="R4214" s="25"/>
      <c r="S4214" s="25"/>
      <c r="T4214" s="141"/>
      <c r="U4214" s="28"/>
    </row>
    <row r="4215" ht="15.75" customHeight="1">
      <c r="P4215" s="25"/>
      <c r="Q4215" s="25"/>
      <c r="R4215" s="25"/>
      <c r="S4215" s="25"/>
      <c r="T4215" s="141"/>
      <c r="U4215" s="28"/>
    </row>
    <row r="4216" ht="15.75" customHeight="1">
      <c r="P4216" s="25"/>
      <c r="Q4216" s="25"/>
      <c r="R4216" s="25"/>
      <c r="S4216" s="25"/>
      <c r="T4216" s="141"/>
      <c r="U4216" s="28"/>
    </row>
    <row r="4217" ht="15.75" customHeight="1">
      <c r="P4217" s="25"/>
      <c r="Q4217" s="25"/>
      <c r="R4217" s="25"/>
      <c r="S4217" s="25"/>
      <c r="T4217" s="141"/>
      <c r="U4217" s="28"/>
    </row>
    <row r="4218" ht="15.75" customHeight="1">
      <c r="P4218" s="25"/>
      <c r="Q4218" s="25"/>
      <c r="R4218" s="25"/>
      <c r="S4218" s="25"/>
      <c r="T4218" s="141"/>
      <c r="U4218" s="28"/>
    </row>
    <row r="4219" ht="15.75" customHeight="1">
      <c r="P4219" s="25"/>
      <c r="Q4219" s="25"/>
      <c r="R4219" s="25"/>
      <c r="S4219" s="25"/>
      <c r="T4219" s="141"/>
      <c r="U4219" s="28"/>
    </row>
    <row r="4220" ht="15.75" customHeight="1">
      <c r="P4220" s="25"/>
      <c r="Q4220" s="25"/>
      <c r="R4220" s="25"/>
      <c r="S4220" s="25"/>
      <c r="T4220" s="141"/>
      <c r="U4220" s="28"/>
    </row>
    <row r="4221" ht="15.75" customHeight="1">
      <c r="P4221" s="25"/>
      <c r="Q4221" s="25"/>
      <c r="R4221" s="25"/>
      <c r="S4221" s="25"/>
      <c r="T4221" s="141"/>
      <c r="U4221" s="28"/>
    </row>
    <row r="4222" ht="15.75" customHeight="1">
      <c r="P4222" s="25"/>
      <c r="Q4222" s="25"/>
      <c r="R4222" s="25"/>
      <c r="S4222" s="25"/>
      <c r="T4222" s="141"/>
      <c r="U4222" s="28"/>
    </row>
    <row r="4223" ht="15.75" customHeight="1">
      <c r="P4223" s="25"/>
      <c r="Q4223" s="25"/>
      <c r="R4223" s="25"/>
      <c r="S4223" s="25"/>
      <c r="T4223" s="141"/>
      <c r="U4223" s="28"/>
    </row>
    <row r="4224" ht="15.75" customHeight="1">
      <c r="P4224" s="25"/>
      <c r="Q4224" s="25"/>
      <c r="R4224" s="25"/>
      <c r="S4224" s="25"/>
      <c r="T4224" s="141"/>
      <c r="U4224" s="28"/>
    </row>
    <row r="4225" ht="15.75" customHeight="1">
      <c r="P4225" s="25"/>
      <c r="Q4225" s="25"/>
      <c r="R4225" s="25"/>
      <c r="S4225" s="25"/>
      <c r="T4225" s="141"/>
      <c r="U4225" s="28"/>
    </row>
    <row r="4226" ht="15.75" customHeight="1">
      <c r="P4226" s="25"/>
      <c r="Q4226" s="25"/>
      <c r="R4226" s="25"/>
      <c r="S4226" s="25"/>
      <c r="T4226" s="141"/>
      <c r="U4226" s="28"/>
    </row>
    <row r="4227" ht="15.75" customHeight="1">
      <c r="P4227" s="25"/>
      <c r="Q4227" s="25"/>
      <c r="R4227" s="25"/>
      <c r="S4227" s="25"/>
      <c r="T4227" s="141"/>
      <c r="U4227" s="28"/>
    </row>
    <row r="4228" ht="15.75" customHeight="1">
      <c r="P4228" s="25"/>
      <c r="Q4228" s="25"/>
      <c r="R4228" s="25"/>
      <c r="S4228" s="25"/>
      <c r="T4228" s="141"/>
      <c r="U4228" s="28"/>
    </row>
    <row r="4229" ht="15.75" customHeight="1">
      <c r="P4229" s="25"/>
      <c r="Q4229" s="25"/>
      <c r="R4229" s="25"/>
      <c r="S4229" s="25"/>
      <c r="T4229" s="141"/>
      <c r="U4229" s="28"/>
    </row>
    <row r="4230" ht="15.75" customHeight="1">
      <c r="P4230" s="25"/>
      <c r="Q4230" s="25"/>
      <c r="R4230" s="25"/>
      <c r="S4230" s="25"/>
      <c r="T4230" s="141"/>
      <c r="U4230" s="28"/>
    </row>
    <row r="4231" ht="15.75" customHeight="1">
      <c r="P4231" s="25"/>
      <c r="Q4231" s="25"/>
      <c r="R4231" s="25"/>
      <c r="S4231" s="25"/>
      <c r="T4231" s="141"/>
      <c r="U4231" s="28"/>
    </row>
    <row r="4232" ht="15.75" customHeight="1">
      <c r="P4232" s="25"/>
      <c r="Q4232" s="25"/>
      <c r="R4232" s="25"/>
      <c r="S4232" s="25"/>
      <c r="T4232" s="141"/>
      <c r="U4232" s="28"/>
    </row>
    <row r="4233" ht="15.75" customHeight="1">
      <c r="P4233" s="25"/>
      <c r="Q4233" s="25"/>
      <c r="R4233" s="25"/>
      <c r="S4233" s="25"/>
      <c r="T4233" s="141"/>
      <c r="U4233" s="28"/>
    </row>
    <row r="4234" ht="15.75" customHeight="1">
      <c r="P4234" s="25"/>
      <c r="Q4234" s="25"/>
      <c r="R4234" s="25"/>
      <c r="S4234" s="25"/>
      <c r="T4234" s="141"/>
      <c r="U4234" s="28"/>
    </row>
    <row r="4235" ht="15.75" customHeight="1">
      <c r="P4235" s="25"/>
      <c r="Q4235" s="25"/>
      <c r="R4235" s="25"/>
      <c r="S4235" s="25"/>
      <c r="T4235" s="141"/>
      <c r="U4235" s="28"/>
    </row>
    <row r="4236" ht="15.75" customHeight="1">
      <c r="P4236" s="25"/>
      <c r="Q4236" s="25"/>
      <c r="R4236" s="25"/>
      <c r="S4236" s="25"/>
      <c r="T4236" s="141"/>
      <c r="U4236" s="28"/>
    </row>
    <row r="4237" ht="15.75" customHeight="1">
      <c r="P4237" s="25"/>
      <c r="Q4237" s="25"/>
      <c r="R4237" s="25"/>
      <c r="S4237" s="25"/>
      <c r="T4237" s="141"/>
      <c r="U4237" s="28"/>
    </row>
    <row r="4238" ht="15.75" customHeight="1">
      <c r="P4238" s="25"/>
      <c r="Q4238" s="25"/>
      <c r="R4238" s="25"/>
      <c r="S4238" s="25"/>
      <c r="T4238" s="141"/>
      <c r="U4238" s="28"/>
    </row>
    <row r="4239" ht="15.75" customHeight="1">
      <c r="P4239" s="25"/>
      <c r="Q4239" s="25"/>
      <c r="R4239" s="25"/>
      <c r="S4239" s="25"/>
      <c r="T4239" s="141"/>
      <c r="U4239" s="28"/>
    </row>
    <row r="4240" ht="15.75" customHeight="1">
      <c r="P4240" s="25"/>
      <c r="Q4240" s="25"/>
      <c r="R4240" s="25"/>
      <c r="S4240" s="25"/>
      <c r="T4240" s="141"/>
      <c r="U4240" s="28"/>
    </row>
    <row r="4241" ht="15.75" customHeight="1">
      <c r="P4241" s="25"/>
      <c r="Q4241" s="25"/>
      <c r="R4241" s="25"/>
      <c r="S4241" s="25"/>
      <c r="T4241" s="141"/>
      <c r="U4241" s="28"/>
    </row>
    <row r="4242" ht="15.75" customHeight="1">
      <c r="P4242" s="25"/>
      <c r="Q4242" s="25"/>
      <c r="R4242" s="25"/>
      <c r="S4242" s="25"/>
      <c r="T4242" s="141"/>
      <c r="U4242" s="28"/>
    </row>
    <row r="4243" ht="15.75" customHeight="1">
      <c r="P4243" s="25"/>
      <c r="Q4243" s="25"/>
      <c r="R4243" s="25"/>
      <c r="S4243" s="25"/>
      <c r="T4243" s="141"/>
      <c r="U4243" s="28"/>
    </row>
    <row r="4244" ht="15.75" customHeight="1">
      <c r="P4244" s="25"/>
      <c r="Q4244" s="25"/>
      <c r="R4244" s="25"/>
      <c r="S4244" s="25"/>
      <c r="T4244" s="141"/>
      <c r="U4244" s="28"/>
    </row>
    <row r="4245" ht="15.75" customHeight="1">
      <c r="P4245" s="25"/>
      <c r="Q4245" s="25"/>
      <c r="R4245" s="25"/>
      <c r="S4245" s="25"/>
      <c r="T4245" s="141"/>
      <c r="U4245" s="28"/>
    </row>
    <row r="4246" ht="15.75" customHeight="1">
      <c r="P4246" s="25"/>
      <c r="Q4246" s="25"/>
      <c r="R4246" s="25"/>
      <c r="S4246" s="25"/>
      <c r="T4246" s="141"/>
      <c r="U4246" s="28"/>
    </row>
    <row r="4247" ht="15.75" customHeight="1">
      <c r="P4247" s="25"/>
      <c r="Q4247" s="25"/>
      <c r="R4247" s="25"/>
      <c r="S4247" s="25"/>
      <c r="T4247" s="141"/>
      <c r="U4247" s="28"/>
    </row>
    <row r="4248" ht="15.75" customHeight="1">
      <c r="P4248" s="25"/>
      <c r="Q4248" s="25"/>
      <c r="R4248" s="25"/>
      <c r="S4248" s="25"/>
      <c r="T4248" s="141"/>
      <c r="U4248" s="28"/>
    </row>
    <row r="4249" ht="15.75" customHeight="1">
      <c r="P4249" s="25"/>
      <c r="Q4249" s="25"/>
      <c r="R4249" s="25"/>
      <c r="S4249" s="25"/>
      <c r="T4249" s="141"/>
      <c r="U4249" s="28"/>
    </row>
    <row r="4250" ht="15.75" customHeight="1">
      <c r="P4250" s="25"/>
      <c r="Q4250" s="25"/>
      <c r="R4250" s="25"/>
      <c r="S4250" s="25"/>
      <c r="T4250" s="141"/>
      <c r="U4250" s="28"/>
    </row>
    <row r="4251" ht="15.75" customHeight="1">
      <c r="P4251" s="25"/>
      <c r="Q4251" s="25"/>
      <c r="R4251" s="25"/>
      <c r="S4251" s="25"/>
      <c r="T4251" s="141"/>
      <c r="U4251" s="28"/>
    </row>
    <row r="4252" ht="15.75" customHeight="1">
      <c r="P4252" s="25"/>
      <c r="Q4252" s="25"/>
      <c r="R4252" s="25"/>
      <c r="S4252" s="25"/>
      <c r="T4252" s="141"/>
      <c r="U4252" s="28"/>
    </row>
    <row r="4253" ht="15.75" customHeight="1">
      <c r="P4253" s="25"/>
      <c r="Q4253" s="25"/>
      <c r="R4253" s="25"/>
      <c r="S4253" s="25"/>
      <c r="T4253" s="141"/>
      <c r="U4253" s="28"/>
    </row>
    <row r="4254" ht="15.75" customHeight="1">
      <c r="P4254" s="25"/>
      <c r="Q4254" s="25"/>
      <c r="R4254" s="25"/>
      <c r="S4254" s="25"/>
      <c r="T4254" s="141"/>
      <c r="U4254" s="28"/>
    </row>
    <row r="4255" ht="15.75" customHeight="1">
      <c r="P4255" s="25"/>
      <c r="Q4255" s="25"/>
      <c r="R4255" s="25"/>
      <c r="S4255" s="25"/>
      <c r="T4255" s="141"/>
      <c r="U4255" s="28"/>
    </row>
    <row r="4256" ht="15.75" customHeight="1">
      <c r="P4256" s="25"/>
      <c r="Q4256" s="25"/>
      <c r="R4256" s="25"/>
      <c r="S4256" s="25"/>
      <c r="T4256" s="141"/>
      <c r="U4256" s="28"/>
    </row>
    <row r="4257" ht="15.75" customHeight="1">
      <c r="P4257" s="25"/>
      <c r="Q4257" s="25"/>
      <c r="R4257" s="25"/>
      <c r="S4257" s="25"/>
      <c r="T4257" s="141"/>
      <c r="U4257" s="28"/>
    </row>
    <row r="4258" ht="15.75" customHeight="1">
      <c r="P4258" s="25"/>
      <c r="Q4258" s="25"/>
      <c r="R4258" s="25"/>
      <c r="S4258" s="25"/>
      <c r="T4258" s="141"/>
      <c r="U4258" s="28"/>
    </row>
    <row r="4259" ht="15.75" customHeight="1">
      <c r="P4259" s="25"/>
      <c r="Q4259" s="25"/>
      <c r="R4259" s="25"/>
      <c r="S4259" s="25"/>
      <c r="T4259" s="141"/>
      <c r="U4259" s="28"/>
    </row>
    <row r="4260" ht="15.75" customHeight="1">
      <c r="P4260" s="25"/>
      <c r="Q4260" s="25"/>
      <c r="R4260" s="25"/>
      <c r="S4260" s="25"/>
      <c r="T4260" s="141"/>
      <c r="U4260" s="28"/>
    </row>
    <row r="4261" ht="15.75" customHeight="1">
      <c r="P4261" s="25"/>
      <c r="Q4261" s="25"/>
      <c r="R4261" s="25"/>
      <c r="S4261" s="25"/>
      <c r="T4261" s="141"/>
      <c r="U4261" s="28"/>
    </row>
    <row r="4262" ht="15.75" customHeight="1">
      <c r="P4262" s="25"/>
      <c r="Q4262" s="25"/>
      <c r="R4262" s="25"/>
      <c r="S4262" s="25"/>
      <c r="T4262" s="141"/>
      <c r="U4262" s="28"/>
    </row>
    <row r="4263" ht="15.75" customHeight="1">
      <c r="P4263" s="25"/>
      <c r="Q4263" s="25"/>
      <c r="R4263" s="25"/>
      <c r="S4263" s="25"/>
      <c r="T4263" s="141"/>
      <c r="U4263" s="28"/>
    </row>
    <row r="4264" ht="15.75" customHeight="1">
      <c r="P4264" s="25"/>
      <c r="Q4264" s="25"/>
      <c r="R4264" s="25"/>
      <c r="S4264" s="25"/>
      <c r="T4264" s="141"/>
      <c r="U4264" s="28"/>
    </row>
    <row r="4265" ht="15.75" customHeight="1">
      <c r="P4265" s="25"/>
      <c r="Q4265" s="25"/>
      <c r="R4265" s="25"/>
      <c r="S4265" s="25"/>
      <c r="T4265" s="141"/>
      <c r="U4265" s="28"/>
    </row>
    <row r="4266" ht="15.75" customHeight="1">
      <c r="P4266" s="25"/>
      <c r="Q4266" s="25"/>
      <c r="R4266" s="25"/>
      <c r="S4266" s="25"/>
      <c r="T4266" s="141"/>
      <c r="U4266" s="28"/>
    </row>
    <row r="4267" ht="15.75" customHeight="1">
      <c r="P4267" s="25"/>
      <c r="Q4267" s="25"/>
      <c r="R4267" s="25"/>
      <c r="S4267" s="25"/>
      <c r="T4267" s="141"/>
      <c r="U4267" s="28"/>
    </row>
    <row r="4268" ht="15.75" customHeight="1">
      <c r="P4268" s="25"/>
      <c r="Q4268" s="25"/>
      <c r="R4268" s="25"/>
      <c r="S4268" s="25"/>
      <c r="T4268" s="141"/>
      <c r="U4268" s="28"/>
    </row>
    <row r="4269" ht="15.75" customHeight="1">
      <c r="P4269" s="25"/>
      <c r="Q4269" s="25"/>
      <c r="R4269" s="25"/>
      <c r="S4269" s="25"/>
      <c r="T4269" s="141"/>
      <c r="U4269" s="28"/>
    </row>
    <row r="4270" ht="15.75" customHeight="1">
      <c r="P4270" s="25"/>
      <c r="Q4270" s="25"/>
      <c r="R4270" s="25"/>
      <c r="S4270" s="25"/>
      <c r="T4270" s="141"/>
      <c r="U4270" s="28"/>
    </row>
    <row r="4271" ht="15.75" customHeight="1">
      <c r="P4271" s="25"/>
      <c r="Q4271" s="25"/>
      <c r="R4271" s="25"/>
      <c r="S4271" s="25"/>
      <c r="T4271" s="141"/>
      <c r="U4271" s="28"/>
    </row>
    <row r="4272" ht="15.75" customHeight="1">
      <c r="P4272" s="25"/>
      <c r="Q4272" s="25"/>
      <c r="R4272" s="25"/>
      <c r="S4272" s="25"/>
      <c r="T4272" s="141"/>
      <c r="U4272" s="28"/>
    </row>
    <row r="4273" ht="15.75" customHeight="1">
      <c r="P4273" s="25"/>
      <c r="Q4273" s="25"/>
      <c r="R4273" s="25"/>
      <c r="S4273" s="25"/>
      <c r="T4273" s="141"/>
      <c r="U4273" s="28"/>
    </row>
    <row r="4274" ht="15.75" customHeight="1">
      <c r="P4274" s="25"/>
      <c r="Q4274" s="25"/>
      <c r="R4274" s="25"/>
      <c r="S4274" s="25"/>
      <c r="T4274" s="141"/>
      <c r="U4274" s="28"/>
    </row>
    <row r="4275" ht="15.75" customHeight="1">
      <c r="P4275" s="25"/>
      <c r="Q4275" s="25"/>
      <c r="R4275" s="25"/>
      <c r="S4275" s="25"/>
      <c r="T4275" s="141"/>
      <c r="U4275" s="28"/>
    </row>
    <row r="4276" ht="15.75" customHeight="1">
      <c r="P4276" s="25"/>
      <c r="Q4276" s="25"/>
      <c r="R4276" s="25"/>
      <c r="S4276" s="25"/>
      <c r="T4276" s="141"/>
      <c r="U4276" s="28"/>
    </row>
    <row r="4277" ht="15.75" customHeight="1">
      <c r="P4277" s="25"/>
      <c r="Q4277" s="25"/>
      <c r="R4277" s="25"/>
      <c r="S4277" s="25"/>
      <c r="T4277" s="141"/>
      <c r="U4277" s="28"/>
    </row>
    <row r="4278" ht="15.75" customHeight="1">
      <c r="P4278" s="25"/>
      <c r="Q4278" s="25"/>
      <c r="R4278" s="25"/>
      <c r="S4278" s="25"/>
      <c r="T4278" s="141"/>
      <c r="U4278" s="28"/>
    </row>
    <row r="4279" ht="15.75" customHeight="1">
      <c r="P4279" s="25"/>
      <c r="Q4279" s="25"/>
      <c r="R4279" s="25"/>
      <c r="S4279" s="25"/>
      <c r="T4279" s="141"/>
      <c r="U4279" s="28"/>
    </row>
    <row r="4280" ht="15.75" customHeight="1">
      <c r="P4280" s="25"/>
      <c r="Q4280" s="25"/>
      <c r="R4280" s="25"/>
      <c r="S4280" s="25"/>
      <c r="T4280" s="141"/>
      <c r="U4280" s="28"/>
    </row>
    <row r="4281" ht="15.75" customHeight="1">
      <c r="P4281" s="25"/>
      <c r="Q4281" s="25"/>
      <c r="R4281" s="25"/>
      <c r="S4281" s="25"/>
      <c r="T4281" s="141"/>
      <c r="U4281" s="28"/>
    </row>
    <row r="4282" ht="15.75" customHeight="1">
      <c r="P4282" s="25"/>
      <c r="Q4282" s="25"/>
      <c r="R4282" s="25"/>
      <c r="S4282" s="25"/>
      <c r="T4282" s="141"/>
      <c r="U4282" s="28"/>
    </row>
    <row r="4283" ht="15.75" customHeight="1">
      <c r="P4283" s="25"/>
      <c r="Q4283" s="25"/>
      <c r="R4283" s="25"/>
      <c r="S4283" s="25"/>
      <c r="T4283" s="141"/>
      <c r="U4283" s="28"/>
    </row>
    <row r="4284" ht="15.75" customHeight="1">
      <c r="P4284" s="25"/>
      <c r="Q4284" s="25"/>
      <c r="R4284" s="25"/>
      <c r="S4284" s="25"/>
      <c r="T4284" s="141"/>
      <c r="U4284" s="28"/>
    </row>
    <row r="4285" ht="15.75" customHeight="1">
      <c r="P4285" s="25"/>
      <c r="Q4285" s="25"/>
      <c r="R4285" s="25"/>
      <c r="S4285" s="25"/>
      <c r="T4285" s="141"/>
      <c r="U4285" s="28"/>
    </row>
    <row r="4286" ht="15.75" customHeight="1">
      <c r="P4286" s="25"/>
      <c r="Q4286" s="25"/>
      <c r="R4286" s="25"/>
      <c r="S4286" s="25"/>
      <c r="T4286" s="141"/>
      <c r="U4286" s="28"/>
    </row>
    <row r="4287" ht="15.75" customHeight="1">
      <c r="P4287" s="25"/>
      <c r="Q4287" s="25"/>
      <c r="R4287" s="25"/>
      <c r="S4287" s="25"/>
      <c r="T4287" s="141"/>
      <c r="U4287" s="28"/>
    </row>
    <row r="4288" ht="15.75" customHeight="1">
      <c r="P4288" s="25"/>
      <c r="Q4288" s="25"/>
      <c r="R4288" s="25"/>
      <c r="S4288" s="25"/>
      <c r="T4288" s="141"/>
      <c r="U4288" s="28"/>
    </row>
    <row r="4289" ht="15.75" customHeight="1">
      <c r="P4289" s="25"/>
      <c r="Q4289" s="25"/>
      <c r="R4289" s="25"/>
      <c r="S4289" s="25"/>
      <c r="T4289" s="141"/>
      <c r="U4289" s="28"/>
    </row>
    <row r="4290" ht="15.75" customHeight="1">
      <c r="P4290" s="25"/>
      <c r="Q4290" s="25"/>
      <c r="R4290" s="25"/>
      <c r="S4290" s="25"/>
      <c r="T4290" s="141"/>
      <c r="U4290" s="28"/>
    </row>
    <row r="4291" ht="15.75" customHeight="1">
      <c r="P4291" s="25"/>
      <c r="Q4291" s="25"/>
      <c r="R4291" s="25"/>
      <c r="S4291" s="25"/>
      <c r="T4291" s="141"/>
      <c r="U4291" s="28"/>
    </row>
    <row r="4292" ht="15.75" customHeight="1">
      <c r="P4292" s="25"/>
      <c r="Q4292" s="25"/>
      <c r="R4292" s="25"/>
      <c r="S4292" s="25"/>
      <c r="T4292" s="141"/>
      <c r="U4292" s="28"/>
    </row>
    <row r="4293" ht="15.75" customHeight="1">
      <c r="P4293" s="25"/>
      <c r="Q4293" s="25"/>
      <c r="R4293" s="25"/>
      <c r="S4293" s="25"/>
      <c r="T4293" s="141"/>
      <c r="U4293" s="28"/>
    </row>
    <row r="4294" ht="15.75" customHeight="1">
      <c r="P4294" s="25"/>
      <c r="Q4294" s="25"/>
      <c r="R4294" s="25"/>
      <c r="S4294" s="25"/>
      <c r="T4294" s="141"/>
      <c r="U4294" s="28"/>
    </row>
    <row r="4295" ht="15.75" customHeight="1">
      <c r="P4295" s="25"/>
      <c r="Q4295" s="25"/>
      <c r="R4295" s="25"/>
      <c r="S4295" s="25"/>
      <c r="T4295" s="141"/>
      <c r="U4295" s="28"/>
    </row>
    <row r="4296" ht="15.75" customHeight="1">
      <c r="P4296" s="25"/>
      <c r="Q4296" s="25"/>
      <c r="R4296" s="25"/>
      <c r="S4296" s="25"/>
      <c r="T4296" s="141"/>
      <c r="U4296" s="28"/>
    </row>
    <row r="4297" ht="15.75" customHeight="1">
      <c r="P4297" s="25"/>
      <c r="Q4297" s="25"/>
      <c r="R4297" s="25"/>
      <c r="S4297" s="25"/>
      <c r="T4297" s="141"/>
      <c r="U4297" s="28"/>
    </row>
    <row r="4298" ht="15.75" customHeight="1">
      <c r="P4298" s="25"/>
      <c r="Q4298" s="25"/>
      <c r="R4298" s="25"/>
      <c r="S4298" s="25"/>
      <c r="T4298" s="141"/>
      <c r="U4298" s="28"/>
    </row>
    <row r="4299" ht="15.75" customHeight="1">
      <c r="P4299" s="25"/>
      <c r="Q4299" s="25"/>
      <c r="R4299" s="25"/>
      <c r="S4299" s="25"/>
      <c r="T4299" s="141"/>
      <c r="U4299" s="28"/>
    </row>
    <row r="4300" ht="15.75" customHeight="1">
      <c r="P4300" s="25"/>
      <c r="Q4300" s="25"/>
      <c r="R4300" s="25"/>
      <c r="S4300" s="25"/>
      <c r="T4300" s="141"/>
      <c r="U4300" s="28"/>
    </row>
    <row r="4301" ht="15.75" customHeight="1">
      <c r="P4301" s="25"/>
      <c r="Q4301" s="25"/>
      <c r="R4301" s="25"/>
      <c r="S4301" s="25"/>
      <c r="T4301" s="141"/>
      <c r="U4301" s="28"/>
    </row>
    <row r="4302" ht="15.75" customHeight="1">
      <c r="P4302" s="25"/>
      <c r="Q4302" s="25"/>
      <c r="R4302" s="25"/>
      <c r="S4302" s="25"/>
      <c r="T4302" s="141"/>
      <c r="U4302" s="28"/>
    </row>
    <row r="4303" ht="15.75" customHeight="1">
      <c r="P4303" s="25"/>
      <c r="Q4303" s="25"/>
      <c r="R4303" s="25"/>
      <c r="S4303" s="25"/>
      <c r="T4303" s="141"/>
      <c r="U4303" s="28"/>
    </row>
    <row r="4304" ht="15.75" customHeight="1">
      <c r="P4304" s="25"/>
      <c r="Q4304" s="25"/>
      <c r="R4304" s="25"/>
      <c r="S4304" s="25"/>
      <c r="T4304" s="141"/>
      <c r="U4304" s="28"/>
    </row>
    <row r="4305" ht="15.75" customHeight="1">
      <c r="P4305" s="25"/>
      <c r="Q4305" s="25"/>
      <c r="R4305" s="25"/>
      <c r="S4305" s="25"/>
      <c r="T4305" s="141"/>
      <c r="U4305" s="28"/>
    </row>
    <row r="4306" ht="15.75" customHeight="1">
      <c r="P4306" s="25"/>
      <c r="Q4306" s="25"/>
      <c r="R4306" s="25"/>
      <c r="S4306" s="25"/>
      <c r="T4306" s="141"/>
      <c r="U4306" s="28"/>
    </row>
    <row r="4307" ht="15.75" customHeight="1">
      <c r="P4307" s="25"/>
      <c r="Q4307" s="25"/>
      <c r="R4307" s="25"/>
      <c r="S4307" s="25"/>
      <c r="T4307" s="141"/>
      <c r="U4307" s="28"/>
    </row>
    <row r="4308" ht="15.75" customHeight="1">
      <c r="P4308" s="25"/>
      <c r="Q4308" s="25"/>
      <c r="R4308" s="25"/>
      <c r="S4308" s="25"/>
      <c r="T4308" s="141"/>
      <c r="U4308" s="28"/>
    </row>
    <row r="4309" ht="15.75" customHeight="1">
      <c r="P4309" s="25"/>
      <c r="Q4309" s="25"/>
      <c r="R4309" s="25"/>
      <c r="S4309" s="25"/>
      <c r="T4309" s="141"/>
      <c r="U4309" s="28"/>
    </row>
    <row r="4310" ht="15.75" customHeight="1">
      <c r="P4310" s="25"/>
      <c r="Q4310" s="25"/>
      <c r="R4310" s="25"/>
      <c r="S4310" s="25"/>
      <c r="T4310" s="141"/>
      <c r="U4310" s="28"/>
    </row>
    <row r="4311" ht="15.75" customHeight="1">
      <c r="P4311" s="25"/>
      <c r="Q4311" s="25"/>
      <c r="R4311" s="25"/>
      <c r="S4311" s="25"/>
      <c r="T4311" s="141"/>
      <c r="U4311" s="28"/>
    </row>
    <row r="4312" ht="15.75" customHeight="1">
      <c r="P4312" s="25"/>
      <c r="Q4312" s="25"/>
      <c r="R4312" s="25"/>
      <c r="S4312" s="25"/>
      <c r="T4312" s="141"/>
      <c r="U4312" s="28"/>
    </row>
    <row r="4313" ht="15.75" customHeight="1">
      <c r="P4313" s="25"/>
      <c r="Q4313" s="25"/>
      <c r="R4313" s="25"/>
      <c r="S4313" s="25"/>
      <c r="T4313" s="141"/>
      <c r="U4313" s="28"/>
    </row>
    <row r="4314" ht="15.75" customHeight="1">
      <c r="P4314" s="25"/>
      <c r="Q4314" s="25"/>
      <c r="R4314" s="25"/>
      <c r="S4314" s="25"/>
      <c r="T4314" s="141"/>
      <c r="U4314" s="28"/>
    </row>
    <row r="4315" ht="15.75" customHeight="1">
      <c r="P4315" s="25"/>
      <c r="Q4315" s="25"/>
      <c r="R4315" s="25"/>
      <c r="S4315" s="25"/>
      <c r="T4315" s="141"/>
      <c r="U4315" s="28"/>
    </row>
    <row r="4316" ht="15.75" customHeight="1">
      <c r="P4316" s="25"/>
      <c r="Q4316" s="25"/>
      <c r="R4316" s="25"/>
      <c r="S4316" s="25"/>
      <c r="T4316" s="141"/>
      <c r="U4316" s="28"/>
    </row>
    <row r="4317" ht="15.75" customHeight="1">
      <c r="P4317" s="25"/>
      <c r="Q4317" s="25"/>
      <c r="R4317" s="25"/>
      <c r="S4317" s="25"/>
      <c r="T4317" s="141"/>
      <c r="U4317" s="28"/>
    </row>
    <row r="4318" ht="15.75" customHeight="1">
      <c r="P4318" s="25"/>
      <c r="Q4318" s="25"/>
      <c r="R4318" s="25"/>
      <c r="S4318" s="25"/>
      <c r="T4318" s="141"/>
      <c r="U4318" s="28"/>
    </row>
    <row r="4319" ht="15.75" customHeight="1">
      <c r="P4319" s="25"/>
      <c r="Q4319" s="25"/>
      <c r="R4319" s="25"/>
      <c r="S4319" s="25"/>
      <c r="T4319" s="141"/>
      <c r="U4319" s="28"/>
    </row>
    <row r="4320" ht="15.75" customHeight="1">
      <c r="P4320" s="25"/>
      <c r="Q4320" s="25"/>
      <c r="R4320" s="25"/>
      <c r="S4320" s="25"/>
      <c r="T4320" s="141"/>
      <c r="U4320" s="28"/>
    </row>
    <row r="4321" ht="15.75" customHeight="1">
      <c r="P4321" s="25"/>
      <c r="Q4321" s="25"/>
      <c r="R4321" s="25"/>
      <c r="S4321" s="25"/>
      <c r="T4321" s="141"/>
      <c r="U4321" s="28"/>
    </row>
    <row r="4322" ht="15.75" customHeight="1">
      <c r="P4322" s="25"/>
      <c r="Q4322" s="25"/>
      <c r="R4322" s="25"/>
      <c r="S4322" s="25"/>
      <c r="T4322" s="141"/>
      <c r="U4322" s="28"/>
    </row>
    <row r="4323" ht="15.75" customHeight="1">
      <c r="P4323" s="25"/>
      <c r="Q4323" s="25"/>
      <c r="R4323" s="25"/>
      <c r="S4323" s="25"/>
      <c r="T4323" s="141"/>
      <c r="U4323" s="28"/>
    </row>
    <row r="4324" ht="15.75" customHeight="1">
      <c r="P4324" s="25"/>
      <c r="Q4324" s="25"/>
      <c r="R4324" s="25"/>
      <c r="S4324" s="25"/>
      <c r="T4324" s="141"/>
      <c r="U4324" s="28"/>
    </row>
    <row r="4325" ht="15.75" customHeight="1">
      <c r="P4325" s="25"/>
      <c r="Q4325" s="25"/>
      <c r="R4325" s="25"/>
      <c r="S4325" s="25"/>
      <c r="T4325" s="141"/>
      <c r="U4325" s="28"/>
    </row>
    <row r="4326" ht="15.75" customHeight="1">
      <c r="P4326" s="25"/>
      <c r="Q4326" s="25"/>
      <c r="R4326" s="25"/>
      <c r="S4326" s="25"/>
      <c r="T4326" s="141"/>
      <c r="U4326" s="28"/>
    </row>
    <row r="4327" ht="15.75" customHeight="1">
      <c r="P4327" s="25"/>
      <c r="Q4327" s="25"/>
      <c r="R4327" s="25"/>
      <c r="S4327" s="25"/>
      <c r="T4327" s="141"/>
      <c r="U4327" s="28"/>
    </row>
    <row r="4328" ht="15.75" customHeight="1">
      <c r="P4328" s="25"/>
      <c r="Q4328" s="25"/>
      <c r="R4328" s="25"/>
      <c r="S4328" s="25"/>
      <c r="T4328" s="141"/>
      <c r="U4328" s="28"/>
    </row>
    <row r="4329" ht="15.75" customHeight="1">
      <c r="P4329" s="25"/>
      <c r="Q4329" s="25"/>
      <c r="R4329" s="25"/>
      <c r="S4329" s="25"/>
      <c r="T4329" s="141"/>
      <c r="U4329" s="28"/>
    </row>
    <row r="4330" ht="15.75" customHeight="1">
      <c r="P4330" s="25"/>
      <c r="Q4330" s="25"/>
      <c r="R4330" s="25"/>
      <c r="S4330" s="25"/>
      <c r="T4330" s="141"/>
      <c r="U4330" s="28"/>
    </row>
    <row r="4331" ht="15.75" customHeight="1">
      <c r="P4331" s="25"/>
      <c r="Q4331" s="25"/>
      <c r="R4331" s="25"/>
      <c r="S4331" s="25"/>
      <c r="T4331" s="141"/>
      <c r="U4331" s="28"/>
    </row>
    <row r="4332" ht="15.75" customHeight="1">
      <c r="P4332" s="25"/>
      <c r="Q4332" s="25"/>
      <c r="R4332" s="25"/>
      <c r="S4332" s="25"/>
      <c r="T4332" s="141"/>
      <c r="U4332" s="28"/>
    </row>
    <row r="4333" ht="15.75" customHeight="1">
      <c r="P4333" s="25"/>
      <c r="Q4333" s="25"/>
      <c r="R4333" s="25"/>
      <c r="S4333" s="25"/>
      <c r="T4333" s="141"/>
      <c r="U4333" s="28"/>
    </row>
    <row r="4334" ht="15.75" customHeight="1">
      <c r="P4334" s="25"/>
      <c r="Q4334" s="25"/>
      <c r="R4334" s="25"/>
      <c r="S4334" s="25"/>
      <c r="T4334" s="141"/>
      <c r="U4334" s="28"/>
    </row>
    <row r="4335" ht="15.75" customHeight="1">
      <c r="P4335" s="25"/>
      <c r="Q4335" s="25"/>
      <c r="R4335" s="25"/>
      <c r="S4335" s="25"/>
      <c r="T4335" s="141"/>
      <c r="U4335" s="28"/>
    </row>
    <row r="4336" ht="15.75" customHeight="1">
      <c r="P4336" s="25"/>
      <c r="Q4336" s="25"/>
      <c r="R4336" s="25"/>
      <c r="S4336" s="25"/>
      <c r="T4336" s="141"/>
      <c r="U4336" s="28"/>
    </row>
    <row r="4337" ht="15.75" customHeight="1">
      <c r="P4337" s="25"/>
      <c r="Q4337" s="25"/>
      <c r="R4337" s="25"/>
      <c r="S4337" s="25"/>
      <c r="T4337" s="141"/>
      <c r="U4337" s="28"/>
    </row>
    <row r="4338" ht="15.75" customHeight="1">
      <c r="P4338" s="25"/>
      <c r="Q4338" s="25"/>
      <c r="R4338" s="25"/>
      <c r="S4338" s="25"/>
      <c r="T4338" s="141"/>
      <c r="U4338" s="28"/>
    </row>
    <row r="4339" ht="15.75" customHeight="1">
      <c r="P4339" s="25"/>
      <c r="Q4339" s="25"/>
      <c r="R4339" s="25"/>
      <c r="S4339" s="25"/>
      <c r="T4339" s="141"/>
      <c r="U4339" s="28"/>
    </row>
    <row r="4340" ht="15.75" customHeight="1">
      <c r="P4340" s="25"/>
      <c r="Q4340" s="25"/>
      <c r="R4340" s="25"/>
      <c r="S4340" s="25"/>
      <c r="T4340" s="141"/>
      <c r="U4340" s="28"/>
    </row>
    <row r="4341" ht="15.75" customHeight="1">
      <c r="P4341" s="25"/>
      <c r="Q4341" s="25"/>
      <c r="R4341" s="25"/>
      <c r="S4341" s="25"/>
      <c r="T4341" s="141"/>
      <c r="U4341" s="28"/>
    </row>
    <row r="4342" ht="15.75" customHeight="1">
      <c r="P4342" s="25"/>
      <c r="Q4342" s="25"/>
      <c r="R4342" s="25"/>
      <c r="S4342" s="25"/>
      <c r="T4342" s="141"/>
      <c r="U4342" s="28"/>
    </row>
    <row r="4343" ht="15.75" customHeight="1">
      <c r="P4343" s="25"/>
      <c r="Q4343" s="25"/>
      <c r="R4343" s="25"/>
      <c r="S4343" s="25"/>
      <c r="T4343" s="141"/>
      <c r="U4343" s="28"/>
    </row>
    <row r="4344" ht="15.75" customHeight="1">
      <c r="P4344" s="25"/>
      <c r="Q4344" s="25"/>
      <c r="R4344" s="25"/>
      <c r="S4344" s="25"/>
      <c r="T4344" s="141"/>
      <c r="U4344" s="28"/>
    </row>
    <row r="4345" ht="15.75" customHeight="1">
      <c r="P4345" s="25"/>
      <c r="Q4345" s="25"/>
      <c r="R4345" s="25"/>
      <c r="S4345" s="25"/>
      <c r="T4345" s="141"/>
      <c r="U4345" s="28"/>
    </row>
    <row r="4346" ht="15.75" customHeight="1">
      <c r="P4346" s="25"/>
      <c r="Q4346" s="25"/>
      <c r="R4346" s="25"/>
      <c r="S4346" s="25"/>
      <c r="T4346" s="141"/>
      <c r="U4346" s="28"/>
    </row>
    <row r="4347" ht="15.75" customHeight="1">
      <c r="P4347" s="25"/>
      <c r="Q4347" s="25"/>
      <c r="R4347" s="25"/>
      <c r="S4347" s="25"/>
      <c r="T4347" s="141"/>
      <c r="U4347" s="28"/>
    </row>
    <row r="4348" ht="15.75" customHeight="1">
      <c r="P4348" s="25"/>
      <c r="Q4348" s="25"/>
      <c r="R4348" s="25"/>
      <c r="S4348" s="25"/>
      <c r="T4348" s="141"/>
      <c r="U4348" s="28"/>
    </row>
    <row r="4349" ht="15.75" customHeight="1">
      <c r="P4349" s="25"/>
      <c r="Q4349" s="25"/>
      <c r="R4349" s="25"/>
      <c r="S4349" s="25"/>
      <c r="T4349" s="141"/>
      <c r="U4349" s="28"/>
    </row>
    <row r="4350" ht="15.75" customHeight="1">
      <c r="P4350" s="25"/>
      <c r="Q4350" s="25"/>
      <c r="R4350" s="25"/>
      <c r="S4350" s="25"/>
      <c r="T4350" s="141"/>
      <c r="U4350" s="28"/>
    </row>
    <row r="4351" ht="15.75" customHeight="1">
      <c r="P4351" s="25"/>
      <c r="Q4351" s="25"/>
      <c r="R4351" s="25"/>
      <c r="S4351" s="25"/>
      <c r="T4351" s="141"/>
      <c r="U4351" s="28"/>
    </row>
    <row r="4352" ht="15.75" customHeight="1">
      <c r="P4352" s="25"/>
      <c r="Q4352" s="25"/>
      <c r="R4352" s="25"/>
      <c r="S4352" s="25"/>
      <c r="T4352" s="141"/>
      <c r="U4352" s="28"/>
    </row>
    <row r="4353" ht="15.75" customHeight="1">
      <c r="P4353" s="25"/>
      <c r="Q4353" s="25"/>
      <c r="R4353" s="25"/>
      <c r="S4353" s="25"/>
      <c r="T4353" s="141"/>
      <c r="U4353" s="28"/>
    </row>
    <row r="4354" ht="15.75" customHeight="1">
      <c r="P4354" s="25"/>
      <c r="Q4354" s="25"/>
      <c r="R4354" s="25"/>
      <c r="S4354" s="25"/>
      <c r="T4354" s="141"/>
      <c r="U4354" s="28"/>
    </row>
    <row r="4355" ht="15.75" customHeight="1">
      <c r="P4355" s="25"/>
      <c r="Q4355" s="25"/>
      <c r="R4355" s="25"/>
      <c r="S4355" s="25"/>
      <c r="T4355" s="141"/>
      <c r="U4355" s="28"/>
    </row>
    <row r="4356" ht="15.75" customHeight="1">
      <c r="P4356" s="25"/>
      <c r="Q4356" s="25"/>
      <c r="R4356" s="25"/>
      <c r="S4356" s="25"/>
      <c r="T4356" s="141"/>
      <c r="U4356" s="28"/>
    </row>
    <row r="4357" ht="15.75" customHeight="1">
      <c r="P4357" s="25"/>
      <c r="Q4357" s="25"/>
      <c r="R4357" s="25"/>
      <c r="S4357" s="25"/>
      <c r="T4357" s="141"/>
      <c r="U4357" s="28"/>
    </row>
    <row r="4358" ht="15.75" customHeight="1">
      <c r="P4358" s="25"/>
      <c r="Q4358" s="25"/>
      <c r="R4358" s="25"/>
      <c r="S4358" s="25"/>
      <c r="T4358" s="141"/>
      <c r="U4358" s="28"/>
    </row>
    <row r="4359" ht="15.75" customHeight="1">
      <c r="P4359" s="25"/>
      <c r="Q4359" s="25"/>
      <c r="R4359" s="25"/>
      <c r="S4359" s="25"/>
      <c r="T4359" s="141"/>
      <c r="U4359" s="28"/>
    </row>
    <row r="4360" ht="15.75" customHeight="1">
      <c r="P4360" s="25"/>
      <c r="Q4360" s="25"/>
      <c r="R4360" s="25"/>
      <c r="S4360" s="25"/>
      <c r="T4360" s="141"/>
      <c r="U4360" s="28"/>
    </row>
    <row r="4361" ht="15.75" customHeight="1">
      <c r="P4361" s="25"/>
      <c r="Q4361" s="25"/>
      <c r="R4361" s="25"/>
      <c r="S4361" s="25"/>
      <c r="T4361" s="141"/>
      <c r="U4361" s="28"/>
    </row>
    <row r="4362" ht="15.75" customHeight="1">
      <c r="P4362" s="25"/>
      <c r="Q4362" s="25"/>
      <c r="R4362" s="25"/>
      <c r="S4362" s="25"/>
      <c r="T4362" s="141"/>
      <c r="U4362" s="28"/>
    </row>
    <row r="4363" ht="15.75" customHeight="1">
      <c r="P4363" s="25"/>
      <c r="Q4363" s="25"/>
      <c r="R4363" s="25"/>
      <c r="S4363" s="25"/>
      <c r="T4363" s="141"/>
      <c r="U4363" s="28"/>
    </row>
    <row r="4364" ht="15.75" customHeight="1">
      <c r="P4364" s="25"/>
      <c r="Q4364" s="25"/>
      <c r="R4364" s="25"/>
      <c r="S4364" s="25"/>
      <c r="T4364" s="141"/>
      <c r="U4364" s="28"/>
    </row>
    <row r="4365" ht="15.75" customHeight="1">
      <c r="P4365" s="25"/>
      <c r="Q4365" s="25"/>
      <c r="R4365" s="25"/>
      <c r="S4365" s="25"/>
      <c r="T4365" s="141"/>
      <c r="U4365" s="28"/>
    </row>
    <row r="4366" ht="15.75" customHeight="1">
      <c r="P4366" s="25"/>
      <c r="Q4366" s="25"/>
      <c r="R4366" s="25"/>
      <c r="S4366" s="25"/>
      <c r="T4366" s="141"/>
      <c r="U4366" s="28"/>
    </row>
    <row r="4367" ht="15.75" customHeight="1">
      <c r="P4367" s="25"/>
      <c r="Q4367" s="25"/>
      <c r="R4367" s="25"/>
      <c r="S4367" s="25"/>
      <c r="T4367" s="141"/>
      <c r="U4367" s="28"/>
    </row>
    <row r="4368" ht="15.75" customHeight="1">
      <c r="P4368" s="25"/>
      <c r="Q4368" s="25"/>
      <c r="R4368" s="25"/>
      <c r="S4368" s="25"/>
      <c r="T4368" s="141"/>
      <c r="U4368" s="28"/>
    </row>
    <row r="4369" ht="15.75" customHeight="1">
      <c r="P4369" s="25"/>
      <c r="Q4369" s="25"/>
      <c r="R4369" s="25"/>
      <c r="S4369" s="25"/>
      <c r="T4369" s="141"/>
      <c r="U4369" s="28"/>
    </row>
    <row r="4370" ht="15.75" customHeight="1">
      <c r="P4370" s="25"/>
      <c r="Q4370" s="25"/>
      <c r="R4370" s="25"/>
      <c r="S4370" s="25"/>
      <c r="T4370" s="141"/>
      <c r="U4370" s="28"/>
    </row>
    <row r="4371" ht="15.75" customHeight="1">
      <c r="P4371" s="25"/>
      <c r="Q4371" s="25"/>
      <c r="R4371" s="25"/>
      <c r="S4371" s="25"/>
      <c r="T4371" s="141"/>
      <c r="U4371" s="28"/>
    </row>
    <row r="4372" ht="15.75" customHeight="1">
      <c r="P4372" s="25"/>
      <c r="Q4372" s="25"/>
      <c r="R4372" s="25"/>
      <c r="S4372" s="25"/>
      <c r="T4372" s="141"/>
      <c r="U4372" s="28"/>
    </row>
    <row r="4373" ht="15.75" customHeight="1">
      <c r="P4373" s="25"/>
      <c r="Q4373" s="25"/>
      <c r="R4373" s="25"/>
      <c r="S4373" s="25"/>
      <c r="T4373" s="141"/>
      <c r="U4373" s="28"/>
    </row>
    <row r="4374" ht="15.75" customHeight="1">
      <c r="P4374" s="25"/>
      <c r="Q4374" s="25"/>
      <c r="R4374" s="25"/>
      <c r="S4374" s="25"/>
      <c r="T4374" s="141"/>
      <c r="U4374" s="28"/>
    </row>
    <row r="4375" ht="15.75" customHeight="1">
      <c r="P4375" s="25"/>
      <c r="Q4375" s="25"/>
      <c r="R4375" s="25"/>
      <c r="S4375" s="25"/>
      <c r="T4375" s="141"/>
      <c r="U4375" s="28"/>
    </row>
    <row r="4376" ht="15.75" customHeight="1">
      <c r="P4376" s="25"/>
      <c r="Q4376" s="25"/>
      <c r="R4376" s="25"/>
      <c r="S4376" s="25"/>
      <c r="T4376" s="141"/>
      <c r="U4376" s="28"/>
    </row>
    <row r="4377" ht="15.75" customHeight="1">
      <c r="P4377" s="25"/>
      <c r="Q4377" s="25"/>
      <c r="R4377" s="25"/>
      <c r="S4377" s="25"/>
      <c r="T4377" s="141"/>
      <c r="U4377" s="28"/>
    </row>
    <row r="4378" ht="15.75" customHeight="1">
      <c r="P4378" s="25"/>
      <c r="Q4378" s="25"/>
      <c r="R4378" s="25"/>
      <c r="S4378" s="25"/>
      <c r="T4378" s="141"/>
      <c r="U4378" s="28"/>
    </row>
    <row r="4379" ht="15.75" customHeight="1">
      <c r="P4379" s="25"/>
      <c r="Q4379" s="25"/>
      <c r="R4379" s="25"/>
      <c r="S4379" s="25"/>
      <c r="T4379" s="141"/>
      <c r="U4379" s="28"/>
    </row>
    <row r="4380" ht="15.75" customHeight="1">
      <c r="P4380" s="25"/>
      <c r="Q4380" s="25"/>
      <c r="R4380" s="25"/>
      <c r="S4380" s="25"/>
      <c r="T4380" s="141"/>
      <c r="U4380" s="28"/>
    </row>
    <row r="4381" ht="15.75" customHeight="1">
      <c r="P4381" s="25"/>
      <c r="Q4381" s="25"/>
      <c r="R4381" s="25"/>
      <c r="S4381" s="25"/>
      <c r="T4381" s="141"/>
      <c r="U4381" s="28"/>
    </row>
    <row r="4382" ht="15.75" customHeight="1">
      <c r="P4382" s="25"/>
      <c r="Q4382" s="25"/>
      <c r="R4382" s="25"/>
      <c r="S4382" s="25"/>
      <c r="T4382" s="141"/>
      <c r="U4382" s="28"/>
    </row>
    <row r="4383" ht="15.75" customHeight="1">
      <c r="P4383" s="25"/>
      <c r="Q4383" s="25"/>
      <c r="R4383" s="25"/>
      <c r="S4383" s="25"/>
      <c r="T4383" s="141"/>
      <c r="U4383" s="28"/>
    </row>
    <row r="4384" ht="15.75" customHeight="1">
      <c r="P4384" s="25"/>
      <c r="Q4384" s="25"/>
      <c r="R4384" s="25"/>
      <c r="S4384" s="25"/>
      <c r="T4384" s="141"/>
      <c r="U4384" s="28"/>
    </row>
    <row r="4385" ht="15.75" customHeight="1">
      <c r="P4385" s="25"/>
      <c r="Q4385" s="25"/>
      <c r="R4385" s="25"/>
      <c r="S4385" s="25"/>
      <c r="T4385" s="141"/>
      <c r="U4385" s="28"/>
    </row>
    <row r="4386" ht="15.75" customHeight="1">
      <c r="P4386" s="25"/>
      <c r="Q4386" s="25"/>
      <c r="R4386" s="25"/>
      <c r="S4386" s="25"/>
      <c r="T4386" s="141"/>
      <c r="U4386" s="28"/>
    </row>
    <row r="4387" ht="15.75" customHeight="1">
      <c r="P4387" s="25"/>
      <c r="Q4387" s="25"/>
      <c r="R4387" s="25"/>
      <c r="S4387" s="25"/>
      <c r="T4387" s="141"/>
      <c r="U4387" s="28"/>
    </row>
    <row r="4388" ht="15.75" customHeight="1">
      <c r="P4388" s="25"/>
      <c r="Q4388" s="25"/>
      <c r="R4388" s="25"/>
      <c r="S4388" s="25"/>
      <c r="T4388" s="141"/>
      <c r="U4388" s="28"/>
    </row>
    <row r="4389" ht="15.75" customHeight="1">
      <c r="P4389" s="25"/>
      <c r="Q4389" s="25"/>
      <c r="R4389" s="25"/>
      <c r="S4389" s="25"/>
      <c r="T4389" s="141"/>
      <c r="U4389" s="28"/>
    </row>
    <row r="4390" ht="15.75" customHeight="1">
      <c r="P4390" s="25"/>
      <c r="Q4390" s="25"/>
      <c r="R4390" s="25"/>
      <c r="S4390" s="25"/>
      <c r="T4390" s="141"/>
      <c r="U4390" s="28"/>
    </row>
    <row r="4391" ht="15.75" customHeight="1">
      <c r="P4391" s="25"/>
      <c r="Q4391" s="25"/>
      <c r="R4391" s="25"/>
      <c r="S4391" s="25"/>
      <c r="T4391" s="141"/>
      <c r="U4391" s="28"/>
    </row>
    <row r="4392" ht="15.75" customHeight="1">
      <c r="P4392" s="25"/>
      <c r="Q4392" s="25"/>
      <c r="R4392" s="25"/>
      <c r="S4392" s="25"/>
      <c r="T4392" s="141"/>
      <c r="U4392" s="28"/>
    </row>
    <row r="4393" ht="15.75" customHeight="1">
      <c r="P4393" s="25"/>
      <c r="Q4393" s="25"/>
      <c r="R4393" s="25"/>
      <c r="S4393" s="25"/>
      <c r="T4393" s="141"/>
      <c r="U4393" s="28"/>
    </row>
    <row r="4394" ht="15.75" customHeight="1">
      <c r="P4394" s="25"/>
      <c r="Q4394" s="25"/>
      <c r="R4394" s="25"/>
      <c r="S4394" s="25"/>
      <c r="T4394" s="141"/>
      <c r="U4394" s="28"/>
    </row>
    <row r="4395" ht="15.75" customHeight="1">
      <c r="P4395" s="25"/>
      <c r="Q4395" s="25"/>
      <c r="R4395" s="25"/>
      <c r="S4395" s="25"/>
      <c r="T4395" s="141"/>
      <c r="U4395" s="28"/>
    </row>
    <row r="4396" ht="15.75" customHeight="1">
      <c r="P4396" s="25"/>
      <c r="Q4396" s="25"/>
      <c r="R4396" s="25"/>
      <c r="S4396" s="25"/>
      <c r="T4396" s="141"/>
      <c r="U4396" s="28"/>
    </row>
    <row r="4397" ht="15.75" customHeight="1">
      <c r="P4397" s="25"/>
      <c r="Q4397" s="25"/>
      <c r="R4397" s="25"/>
      <c r="S4397" s="25"/>
      <c r="T4397" s="141"/>
      <c r="U4397" s="28"/>
    </row>
    <row r="4398" ht="15.75" customHeight="1">
      <c r="P4398" s="25"/>
      <c r="Q4398" s="25"/>
      <c r="R4398" s="25"/>
      <c r="S4398" s="25"/>
      <c r="T4398" s="141"/>
      <c r="U4398" s="28"/>
    </row>
    <row r="4399" ht="15.75" customHeight="1">
      <c r="P4399" s="25"/>
      <c r="Q4399" s="25"/>
      <c r="R4399" s="25"/>
      <c r="S4399" s="25"/>
      <c r="T4399" s="141"/>
      <c r="U4399" s="28"/>
    </row>
    <row r="4400" ht="15.75" customHeight="1">
      <c r="P4400" s="25"/>
      <c r="Q4400" s="25"/>
      <c r="R4400" s="25"/>
      <c r="S4400" s="25"/>
      <c r="T4400" s="141"/>
      <c r="U4400" s="28"/>
    </row>
    <row r="4401" ht="15.75" customHeight="1">
      <c r="P4401" s="25"/>
      <c r="Q4401" s="25"/>
      <c r="R4401" s="25"/>
      <c r="S4401" s="25"/>
      <c r="T4401" s="141"/>
      <c r="U4401" s="28"/>
    </row>
    <row r="4402" ht="15.75" customHeight="1">
      <c r="P4402" s="25"/>
      <c r="Q4402" s="25"/>
      <c r="R4402" s="25"/>
      <c r="S4402" s="25"/>
      <c r="T4402" s="141"/>
      <c r="U4402" s="28"/>
    </row>
    <row r="4403" ht="15.75" customHeight="1">
      <c r="P4403" s="25"/>
      <c r="Q4403" s="25"/>
      <c r="R4403" s="25"/>
      <c r="S4403" s="25"/>
      <c r="T4403" s="141"/>
      <c r="U4403" s="28"/>
    </row>
    <row r="4404" ht="15.75" customHeight="1">
      <c r="P4404" s="25"/>
      <c r="Q4404" s="25"/>
      <c r="R4404" s="25"/>
      <c r="S4404" s="25"/>
      <c r="T4404" s="141"/>
      <c r="U4404" s="28"/>
    </row>
    <row r="4405" ht="15.75" customHeight="1">
      <c r="P4405" s="25"/>
      <c r="Q4405" s="25"/>
      <c r="R4405" s="25"/>
      <c r="S4405" s="25"/>
      <c r="T4405" s="141"/>
      <c r="U4405" s="28"/>
    </row>
    <row r="4406" ht="15.75" customHeight="1">
      <c r="P4406" s="25"/>
      <c r="Q4406" s="25"/>
      <c r="R4406" s="25"/>
      <c r="S4406" s="25"/>
      <c r="T4406" s="141"/>
      <c r="U4406" s="28"/>
    </row>
    <row r="4407" ht="15.75" customHeight="1">
      <c r="P4407" s="25"/>
      <c r="Q4407" s="25"/>
      <c r="R4407" s="25"/>
      <c r="S4407" s="25"/>
      <c r="T4407" s="141"/>
      <c r="U4407" s="28"/>
    </row>
    <row r="4408" ht="15.75" customHeight="1">
      <c r="P4408" s="25"/>
      <c r="Q4408" s="25"/>
      <c r="R4408" s="25"/>
      <c r="S4408" s="25"/>
      <c r="T4408" s="141"/>
      <c r="U4408" s="28"/>
    </row>
    <row r="4409" ht="15.75" customHeight="1">
      <c r="P4409" s="25"/>
      <c r="Q4409" s="25"/>
      <c r="R4409" s="25"/>
      <c r="S4409" s="25"/>
      <c r="T4409" s="141"/>
      <c r="U4409" s="28"/>
    </row>
    <row r="4410" ht="15.75" customHeight="1">
      <c r="P4410" s="25"/>
      <c r="Q4410" s="25"/>
      <c r="R4410" s="25"/>
      <c r="S4410" s="25"/>
      <c r="T4410" s="141"/>
      <c r="U4410" s="28"/>
    </row>
    <row r="4411" ht="15.75" customHeight="1">
      <c r="P4411" s="25"/>
      <c r="Q4411" s="25"/>
      <c r="R4411" s="25"/>
      <c r="S4411" s="25"/>
      <c r="T4411" s="141"/>
      <c r="U4411" s="28"/>
    </row>
    <row r="4412" ht="15.75" customHeight="1">
      <c r="P4412" s="25"/>
      <c r="Q4412" s="25"/>
      <c r="R4412" s="25"/>
      <c r="S4412" s="25"/>
      <c r="T4412" s="141"/>
      <c r="U4412" s="28"/>
    </row>
    <row r="4413" ht="15.75" customHeight="1">
      <c r="P4413" s="25"/>
      <c r="Q4413" s="25"/>
      <c r="R4413" s="25"/>
      <c r="S4413" s="25"/>
      <c r="T4413" s="141"/>
      <c r="U4413" s="28"/>
    </row>
    <row r="4414" ht="15.75" customHeight="1">
      <c r="P4414" s="25"/>
      <c r="Q4414" s="25"/>
      <c r="R4414" s="25"/>
      <c r="S4414" s="25"/>
      <c r="T4414" s="141"/>
      <c r="U4414" s="28"/>
    </row>
    <row r="4415" ht="15.75" customHeight="1">
      <c r="P4415" s="25"/>
      <c r="Q4415" s="25"/>
      <c r="R4415" s="25"/>
      <c r="S4415" s="25"/>
      <c r="T4415" s="141"/>
      <c r="U4415" s="28"/>
    </row>
    <row r="4416" ht="15.75" customHeight="1">
      <c r="P4416" s="25"/>
      <c r="Q4416" s="25"/>
      <c r="R4416" s="25"/>
      <c r="S4416" s="25"/>
      <c r="T4416" s="141"/>
      <c r="U4416" s="28"/>
    </row>
    <row r="4417" ht="15.75" customHeight="1">
      <c r="P4417" s="25"/>
      <c r="Q4417" s="25"/>
      <c r="R4417" s="25"/>
      <c r="S4417" s="25"/>
      <c r="T4417" s="141"/>
      <c r="U4417" s="28"/>
    </row>
    <row r="4418" ht="15.75" customHeight="1">
      <c r="P4418" s="25"/>
      <c r="Q4418" s="25"/>
      <c r="R4418" s="25"/>
      <c r="S4418" s="25"/>
      <c r="T4418" s="141"/>
      <c r="U4418" s="28"/>
    </row>
    <row r="4419" ht="15.75" customHeight="1">
      <c r="P4419" s="25"/>
      <c r="Q4419" s="25"/>
      <c r="R4419" s="25"/>
      <c r="S4419" s="25"/>
      <c r="T4419" s="141"/>
      <c r="U4419" s="28"/>
    </row>
    <row r="4420" ht="15.75" customHeight="1">
      <c r="P4420" s="25"/>
      <c r="Q4420" s="25"/>
      <c r="R4420" s="25"/>
      <c r="S4420" s="25"/>
      <c r="T4420" s="141"/>
      <c r="U4420" s="28"/>
    </row>
    <row r="4421" ht="15.75" customHeight="1">
      <c r="P4421" s="25"/>
      <c r="Q4421" s="25"/>
      <c r="R4421" s="25"/>
      <c r="S4421" s="25"/>
      <c r="T4421" s="141"/>
      <c r="U4421" s="28"/>
    </row>
    <row r="4422" ht="15.75" customHeight="1">
      <c r="P4422" s="25"/>
      <c r="Q4422" s="25"/>
      <c r="R4422" s="25"/>
      <c r="S4422" s="25"/>
      <c r="T4422" s="141"/>
      <c r="U4422" s="28"/>
    </row>
    <row r="4423" ht="15.75" customHeight="1">
      <c r="P4423" s="25"/>
      <c r="Q4423" s="25"/>
      <c r="R4423" s="25"/>
      <c r="S4423" s="25"/>
      <c r="T4423" s="141"/>
      <c r="U4423" s="28"/>
    </row>
    <row r="4424" ht="15.75" customHeight="1">
      <c r="P4424" s="25"/>
      <c r="Q4424" s="25"/>
      <c r="R4424" s="25"/>
      <c r="S4424" s="25"/>
      <c r="T4424" s="141"/>
      <c r="U4424" s="28"/>
    </row>
    <row r="4425" ht="15.75" customHeight="1">
      <c r="P4425" s="25"/>
      <c r="Q4425" s="25"/>
      <c r="R4425" s="25"/>
      <c r="S4425" s="25"/>
      <c r="T4425" s="141"/>
      <c r="U4425" s="28"/>
    </row>
    <row r="4426" ht="15.75" customHeight="1">
      <c r="P4426" s="25"/>
      <c r="Q4426" s="25"/>
      <c r="R4426" s="25"/>
      <c r="S4426" s="25"/>
      <c r="T4426" s="141"/>
      <c r="U4426" s="28"/>
    </row>
    <row r="4427" ht="15.75" customHeight="1">
      <c r="P4427" s="25"/>
      <c r="Q4427" s="25"/>
      <c r="R4427" s="25"/>
      <c r="S4427" s="25"/>
      <c r="T4427" s="141"/>
      <c r="U4427" s="28"/>
    </row>
    <row r="4428" ht="15.75" customHeight="1">
      <c r="P4428" s="25"/>
      <c r="Q4428" s="25"/>
      <c r="R4428" s="25"/>
      <c r="S4428" s="25"/>
      <c r="T4428" s="141"/>
      <c r="U4428" s="28"/>
    </row>
    <row r="4429" ht="15.75" customHeight="1">
      <c r="P4429" s="25"/>
      <c r="Q4429" s="25"/>
      <c r="R4429" s="25"/>
      <c r="S4429" s="25"/>
      <c r="T4429" s="141"/>
      <c r="U4429" s="28"/>
    </row>
    <row r="4430" ht="15.75" customHeight="1">
      <c r="P4430" s="25"/>
      <c r="Q4430" s="25"/>
      <c r="R4430" s="25"/>
      <c r="S4430" s="25"/>
      <c r="T4430" s="141"/>
      <c r="U4430" s="28"/>
    </row>
    <row r="4431" ht="15.75" customHeight="1">
      <c r="P4431" s="25"/>
      <c r="Q4431" s="25"/>
      <c r="R4431" s="25"/>
      <c r="S4431" s="25"/>
      <c r="T4431" s="141"/>
      <c r="U4431" s="28"/>
    </row>
    <row r="4432" ht="15.75" customHeight="1">
      <c r="P4432" s="25"/>
      <c r="Q4432" s="25"/>
      <c r="R4432" s="25"/>
      <c r="S4432" s="25"/>
      <c r="T4432" s="141"/>
      <c r="U4432" s="28"/>
    </row>
    <row r="4433" ht="15.75" customHeight="1">
      <c r="P4433" s="25"/>
      <c r="Q4433" s="25"/>
      <c r="R4433" s="25"/>
      <c r="S4433" s="25"/>
      <c r="T4433" s="141"/>
      <c r="U4433" s="28"/>
    </row>
    <row r="4434" ht="15.75" customHeight="1">
      <c r="P4434" s="25"/>
      <c r="Q4434" s="25"/>
      <c r="R4434" s="25"/>
      <c r="S4434" s="25"/>
      <c r="T4434" s="141"/>
      <c r="U4434" s="28"/>
    </row>
    <row r="4435" ht="15.75" customHeight="1">
      <c r="P4435" s="25"/>
      <c r="Q4435" s="25"/>
      <c r="R4435" s="25"/>
      <c r="S4435" s="25"/>
      <c r="T4435" s="141"/>
      <c r="U4435" s="28"/>
    </row>
    <row r="4436" ht="15.75" customHeight="1">
      <c r="P4436" s="25"/>
      <c r="Q4436" s="25"/>
      <c r="R4436" s="25"/>
      <c r="S4436" s="25"/>
      <c r="T4436" s="141"/>
      <c r="U4436" s="28"/>
    </row>
    <row r="4437" ht="15.75" customHeight="1">
      <c r="P4437" s="25"/>
      <c r="Q4437" s="25"/>
      <c r="R4437" s="25"/>
      <c r="S4437" s="25"/>
      <c r="T4437" s="141"/>
      <c r="U4437" s="28"/>
    </row>
    <row r="4438" ht="15.75" customHeight="1">
      <c r="P4438" s="25"/>
      <c r="Q4438" s="25"/>
      <c r="R4438" s="25"/>
      <c r="S4438" s="25"/>
      <c r="T4438" s="141"/>
      <c r="U4438" s="28"/>
    </row>
    <row r="4439" ht="15.75" customHeight="1">
      <c r="P4439" s="25"/>
      <c r="Q4439" s="25"/>
      <c r="R4439" s="25"/>
      <c r="S4439" s="25"/>
      <c r="T4439" s="141"/>
      <c r="U4439" s="28"/>
    </row>
    <row r="4440" ht="15.75" customHeight="1">
      <c r="P4440" s="25"/>
      <c r="Q4440" s="25"/>
      <c r="R4440" s="25"/>
      <c r="S4440" s="25"/>
      <c r="T4440" s="141"/>
      <c r="U4440" s="28"/>
    </row>
    <row r="4441" ht="15.75" customHeight="1">
      <c r="P4441" s="25"/>
      <c r="Q4441" s="25"/>
      <c r="R4441" s="25"/>
      <c r="S4441" s="25"/>
      <c r="T4441" s="141"/>
      <c r="U4441" s="28"/>
    </row>
    <row r="4442" ht="15.75" customHeight="1">
      <c r="P4442" s="25"/>
      <c r="Q4442" s="25"/>
      <c r="R4442" s="25"/>
      <c r="S4442" s="25"/>
      <c r="T4442" s="141"/>
      <c r="U4442" s="28"/>
    </row>
    <row r="4443" ht="15.75" customHeight="1">
      <c r="P4443" s="25"/>
      <c r="Q4443" s="25"/>
      <c r="R4443" s="25"/>
      <c r="S4443" s="25"/>
      <c r="T4443" s="141"/>
      <c r="U4443" s="28"/>
    </row>
    <row r="4444" ht="15.75" customHeight="1">
      <c r="P4444" s="25"/>
      <c r="Q4444" s="25"/>
      <c r="R4444" s="25"/>
      <c r="S4444" s="25"/>
      <c r="T4444" s="141"/>
      <c r="U4444" s="28"/>
    </row>
    <row r="4445" ht="15.75" customHeight="1">
      <c r="P4445" s="25"/>
      <c r="Q4445" s="25"/>
      <c r="R4445" s="25"/>
      <c r="S4445" s="25"/>
      <c r="T4445" s="141"/>
      <c r="U4445" s="28"/>
    </row>
    <row r="4446" ht="15.75" customHeight="1">
      <c r="P4446" s="25"/>
      <c r="Q4446" s="25"/>
      <c r="R4446" s="25"/>
      <c r="S4446" s="25"/>
      <c r="T4446" s="141"/>
      <c r="U4446" s="28"/>
    </row>
    <row r="4447" ht="15.75" customHeight="1">
      <c r="P4447" s="25"/>
      <c r="Q4447" s="25"/>
      <c r="R4447" s="25"/>
      <c r="S4447" s="25"/>
      <c r="T4447" s="141"/>
      <c r="U4447" s="28"/>
    </row>
    <row r="4448" ht="15.75" customHeight="1">
      <c r="P4448" s="25"/>
      <c r="Q4448" s="25"/>
      <c r="R4448" s="25"/>
      <c r="S4448" s="25"/>
      <c r="T4448" s="141"/>
      <c r="U4448" s="28"/>
    </row>
    <row r="4449" ht="15.75" customHeight="1">
      <c r="P4449" s="25"/>
      <c r="Q4449" s="25"/>
      <c r="R4449" s="25"/>
      <c r="S4449" s="25"/>
      <c r="T4449" s="141"/>
      <c r="U4449" s="28"/>
    </row>
    <row r="4450" ht="15.75" customHeight="1">
      <c r="P4450" s="25"/>
      <c r="Q4450" s="25"/>
      <c r="R4450" s="25"/>
      <c r="S4450" s="25"/>
      <c r="T4450" s="141"/>
      <c r="U4450" s="28"/>
    </row>
    <row r="4451" ht="15.75" customHeight="1">
      <c r="P4451" s="25"/>
      <c r="Q4451" s="25"/>
      <c r="R4451" s="25"/>
      <c r="S4451" s="25"/>
      <c r="T4451" s="141"/>
      <c r="U4451" s="28"/>
    </row>
    <row r="4452" ht="15.75" customHeight="1">
      <c r="P4452" s="25"/>
      <c r="Q4452" s="25"/>
      <c r="R4452" s="25"/>
      <c r="S4452" s="25"/>
      <c r="T4452" s="141"/>
      <c r="U4452" s="28"/>
    </row>
    <row r="4453" ht="15.75" customHeight="1">
      <c r="P4453" s="25"/>
      <c r="Q4453" s="25"/>
      <c r="R4453" s="25"/>
      <c r="S4453" s="25"/>
      <c r="T4453" s="141"/>
      <c r="U4453" s="28"/>
    </row>
    <row r="4454" ht="15.75" customHeight="1">
      <c r="P4454" s="25"/>
      <c r="Q4454" s="25"/>
      <c r="R4454" s="25"/>
      <c r="S4454" s="25"/>
      <c r="T4454" s="141"/>
      <c r="U4454" s="28"/>
    </row>
    <row r="4455" ht="15.75" customHeight="1">
      <c r="P4455" s="25"/>
      <c r="Q4455" s="25"/>
      <c r="R4455" s="25"/>
      <c r="S4455" s="25"/>
      <c r="T4455" s="141"/>
      <c r="U4455" s="28"/>
    </row>
    <row r="4456" ht="15.75" customHeight="1">
      <c r="P4456" s="25"/>
      <c r="Q4456" s="25"/>
      <c r="R4456" s="25"/>
      <c r="S4456" s="25"/>
      <c r="T4456" s="141"/>
      <c r="U4456" s="28"/>
    </row>
    <row r="4457" ht="15.75" customHeight="1">
      <c r="P4457" s="25"/>
      <c r="Q4457" s="25"/>
      <c r="R4457" s="25"/>
      <c r="S4457" s="25"/>
      <c r="T4457" s="141"/>
      <c r="U4457" s="28"/>
    </row>
    <row r="4458" ht="15.75" customHeight="1">
      <c r="P4458" s="25"/>
      <c r="Q4458" s="25"/>
      <c r="R4458" s="25"/>
      <c r="S4458" s="25"/>
      <c r="T4458" s="141"/>
      <c r="U4458" s="28"/>
    </row>
    <row r="4459" ht="15.75" customHeight="1">
      <c r="P4459" s="25"/>
      <c r="Q4459" s="25"/>
      <c r="R4459" s="25"/>
      <c r="S4459" s="25"/>
      <c r="T4459" s="141"/>
      <c r="U4459" s="28"/>
    </row>
    <row r="4460" ht="15.75" customHeight="1">
      <c r="P4460" s="25"/>
      <c r="Q4460" s="25"/>
      <c r="R4460" s="25"/>
      <c r="S4460" s="25"/>
      <c r="T4460" s="141"/>
      <c r="U4460" s="28"/>
    </row>
    <row r="4461" ht="15.75" customHeight="1">
      <c r="P4461" s="25"/>
      <c r="Q4461" s="25"/>
      <c r="R4461" s="25"/>
      <c r="S4461" s="25"/>
      <c r="T4461" s="141"/>
      <c r="U4461" s="28"/>
    </row>
    <row r="4462" ht="15.75" customHeight="1">
      <c r="P4462" s="25"/>
      <c r="Q4462" s="25"/>
      <c r="R4462" s="25"/>
      <c r="S4462" s="25"/>
      <c r="T4462" s="141"/>
      <c r="U4462" s="28"/>
    </row>
    <row r="4463" ht="15.75" customHeight="1">
      <c r="P4463" s="25"/>
      <c r="Q4463" s="25"/>
      <c r="R4463" s="25"/>
      <c r="S4463" s="25"/>
      <c r="T4463" s="141"/>
      <c r="U4463" s="28"/>
    </row>
    <row r="4464" ht="15.75" customHeight="1">
      <c r="P4464" s="25"/>
      <c r="Q4464" s="25"/>
      <c r="R4464" s="25"/>
      <c r="S4464" s="25"/>
      <c r="T4464" s="141"/>
      <c r="U4464" s="28"/>
    </row>
    <row r="4465" ht="15.75" customHeight="1">
      <c r="P4465" s="25"/>
      <c r="Q4465" s="25"/>
      <c r="R4465" s="25"/>
      <c r="S4465" s="25"/>
      <c r="T4465" s="141"/>
      <c r="U4465" s="28"/>
    </row>
    <row r="4466" ht="15.75" customHeight="1">
      <c r="P4466" s="25"/>
      <c r="Q4466" s="25"/>
      <c r="R4466" s="25"/>
      <c r="S4466" s="25"/>
      <c r="T4466" s="141"/>
      <c r="U4466" s="28"/>
    </row>
    <row r="4467" ht="15.75" customHeight="1">
      <c r="P4467" s="25"/>
      <c r="Q4467" s="25"/>
      <c r="R4467" s="25"/>
      <c r="S4467" s="25"/>
      <c r="T4467" s="141"/>
      <c r="U4467" s="28"/>
    </row>
    <row r="4468" ht="15.75" customHeight="1">
      <c r="P4468" s="25"/>
      <c r="Q4468" s="25"/>
      <c r="R4468" s="25"/>
      <c r="S4468" s="25"/>
      <c r="T4468" s="141"/>
      <c r="U4468" s="28"/>
    </row>
    <row r="4469" ht="15.75" customHeight="1">
      <c r="P4469" s="25"/>
      <c r="Q4469" s="25"/>
      <c r="R4469" s="25"/>
      <c r="S4469" s="25"/>
      <c r="T4469" s="141"/>
      <c r="U4469" s="28"/>
    </row>
    <row r="4470" ht="15.75" customHeight="1">
      <c r="P4470" s="25"/>
      <c r="Q4470" s="25"/>
      <c r="R4470" s="25"/>
      <c r="S4470" s="25"/>
      <c r="T4470" s="141"/>
      <c r="U4470" s="28"/>
    </row>
    <row r="4471" ht="15.75" customHeight="1">
      <c r="P4471" s="25"/>
      <c r="Q4471" s="25"/>
      <c r="R4471" s="25"/>
      <c r="S4471" s="25"/>
      <c r="T4471" s="141"/>
      <c r="U4471" s="28"/>
    </row>
    <row r="4472" ht="15.75" customHeight="1">
      <c r="P4472" s="25"/>
      <c r="Q4472" s="25"/>
      <c r="R4472" s="25"/>
      <c r="S4472" s="25"/>
      <c r="T4472" s="141"/>
      <c r="U4472" s="28"/>
    </row>
    <row r="4473" ht="15.75" customHeight="1">
      <c r="P4473" s="25"/>
      <c r="Q4473" s="25"/>
      <c r="R4473" s="25"/>
      <c r="S4473" s="25"/>
      <c r="T4473" s="141"/>
      <c r="U4473" s="28"/>
    </row>
    <row r="4474" ht="15.75" customHeight="1">
      <c r="P4474" s="25"/>
      <c r="Q4474" s="25"/>
      <c r="R4474" s="25"/>
      <c r="S4474" s="25"/>
      <c r="T4474" s="141"/>
      <c r="U4474" s="28"/>
    </row>
    <row r="4475" ht="15.75" customHeight="1">
      <c r="P4475" s="25"/>
      <c r="Q4475" s="25"/>
      <c r="R4475" s="25"/>
      <c r="S4475" s="25"/>
      <c r="T4475" s="141"/>
      <c r="U4475" s="28"/>
    </row>
    <row r="4476" ht="15.75" customHeight="1">
      <c r="P4476" s="25"/>
      <c r="Q4476" s="25"/>
      <c r="R4476" s="25"/>
      <c r="S4476" s="25"/>
      <c r="T4476" s="141"/>
      <c r="U4476" s="28"/>
    </row>
    <row r="4477" ht="15.75" customHeight="1">
      <c r="P4477" s="25"/>
      <c r="Q4477" s="25"/>
      <c r="R4477" s="25"/>
      <c r="S4477" s="25"/>
      <c r="T4477" s="141"/>
      <c r="U4477" s="28"/>
    </row>
    <row r="4478" ht="15.75" customHeight="1">
      <c r="P4478" s="25"/>
      <c r="Q4478" s="25"/>
      <c r="R4478" s="25"/>
      <c r="S4478" s="25"/>
      <c r="T4478" s="141"/>
      <c r="U4478" s="28"/>
    </row>
    <row r="4479" ht="15.75" customHeight="1">
      <c r="P4479" s="25"/>
      <c r="Q4479" s="25"/>
      <c r="R4479" s="25"/>
      <c r="S4479" s="25"/>
      <c r="T4479" s="141"/>
      <c r="U4479" s="28"/>
    </row>
    <row r="4480" ht="15.75" customHeight="1">
      <c r="P4480" s="25"/>
      <c r="Q4480" s="25"/>
      <c r="R4480" s="25"/>
      <c r="S4480" s="25"/>
      <c r="T4480" s="141"/>
      <c r="U4480" s="28"/>
    </row>
    <row r="4481" ht="15.75" customHeight="1">
      <c r="P4481" s="25"/>
      <c r="Q4481" s="25"/>
      <c r="R4481" s="25"/>
      <c r="S4481" s="25"/>
      <c r="T4481" s="141"/>
      <c r="U4481" s="28"/>
    </row>
    <row r="4482" ht="15.75" customHeight="1">
      <c r="P4482" s="25"/>
      <c r="Q4482" s="25"/>
      <c r="R4482" s="25"/>
      <c r="S4482" s="25"/>
      <c r="T4482" s="141"/>
      <c r="U4482" s="28"/>
    </row>
    <row r="4483" ht="15.75" customHeight="1">
      <c r="P4483" s="25"/>
      <c r="Q4483" s="25"/>
      <c r="R4483" s="25"/>
      <c r="S4483" s="25"/>
      <c r="T4483" s="141"/>
      <c r="U4483" s="28"/>
    </row>
    <row r="4484" ht="15.75" customHeight="1">
      <c r="P4484" s="25"/>
      <c r="Q4484" s="25"/>
      <c r="R4484" s="25"/>
      <c r="S4484" s="25"/>
      <c r="T4484" s="141"/>
      <c r="U4484" s="28"/>
    </row>
    <row r="4485" ht="15.75" customHeight="1">
      <c r="P4485" s="25"/>
      <c r="Q4485" s="25"/>
      <c r="R4485" s="25"/>
      <c r="S4485" s="25"/>
      <c r="T4485" s="141"/>
      <c r="U4485" s="28"/>
    </row>
    <row r="4486" ht="15.75" customHeight="1">
      <c r="P4486" s="25"/>
      <c r="Q4486" s="25"/>
      <c r="R4486" s="25"/>
      <c r="S4486" s="25"/>
      <c r="T4486" s="141"/>
      <c r="U4486" s="28"/>
    </row>
    <row r="4487" ht="15.75" customHeight="1">
      <c r="P4487" s="25"/>
      <c r="Q4487" s="25"/>
      <c r="R4487" s="25"/>
      <c r="S4487" s="25"/>
      <c r="T4487" s="141"/>
      <c r="U4487" s="28"/>
    </row>
    <row r="4488" ht="15.75" customHeight="1">
      <c r="P4488" s="25"/>
      <c r="Q4488" s="25"/>
      <c r="R4488" s="25"/>
      <c r="S4488" s="25"/>
      <c r="T4488" s="141"/>
      <c r="U4488" s="28"/>
    </row>
    <row r="4489" ht="15.75" customHeight="1">
      <c r="P4489" s="25"/>
      <c r="Q4489" s="25"/>
      <c r="R4489" s="25"/>
      <c r="S4489" s="25"/>
      <c r="T4489" s="141"/>
      <c r="U4489" s="28"/>
    </row>
    <row r="4490" ht="15.75" customHeight="1">
      <c r="P4490" s="25"/>
      <c r="Q4490" s="25"/>
      <c r="R4490" s="25"/>
      <c r="S4490" s="25"/>
      <c r="T4490" s="141"/>
      <c r="U4490" s="28"/>
    </row>
    <row r="4491" ht="15.75" customHeight="1">
      <c r="P4491" s="25"/>
      <c r="Q4491" s="25"/>
      <c r="R4491" s="25"/>
      <c r="S4491" s="25"/>
      <c r="T4491" s="141"/>
      <c r="U4491" s="28"/>
    </row>
    <row r="4492" ht="15.75" customHeight="1">
      <c r="P4492" s="25"/>
      <c r="Q4492" s="25"/>
      <c r="R4492" s="25"/>
      <c r="S4492" s="25"/>
      <c r="T4492" s="141"/>
      <c r="U4492" s="28"/>
    </row>
    <row r="4493" ht="15.75" customHeight="1">
      <c r="P4493" s="25"/>
      <c r="Q4493" s="25"/>
      <c r="R4493" s="25"/>
      <c r="S4493" s="25"/>
      <c r="T4493" s="141"/>
      <c r="U4493" s="28"/>
    </row>
    <row r="4494" ht="15.75" customHeight="1">
      <c r="P4494" s="25"/>
      <c r="Q4494" s="25"/>
      <c r="R4494" s="25"/>
      <c r="S4494" s="25"/>
      <c r="T4494" s="141"/>
      <c r="U4494" s="28"/>
    </row>
    <row r="4495" ht="15.75" customHeight="1">
      <c r="P4495" s="25"/>
      <c r="Q4495" s="25"/>
      <c r="R4495" s="25"/>
      <c r="S4495" s="25"/>
      <c r="T4495" s="141"/>
      <c r="U4495" s="28"/>
    </row>
    <row r="4496" ht="15.75" customHeight="1">
      <c r="P4496" s="25"/>
      <c r="Q4496" s="25"/>
      <c r="R4496" s="25"/>
      <c r="S4496" s="25"/>
      <c r="T4496" s="141"/>
      <c r="U4496" s="28"/>
    </row>
    <row r="4497" ht="15.75" customHeight="1">
      <c r="P4497" s="25"/>
      <c r="Q4497" s="25"/>
      <c r="R4497" s="25"/>
      <c r="S4497" s="25"/>
      <c r="T4497" s="141"/>
      <c r="U4497" s="28"/>
    </row>
    <row r="4498" ht="15.75" customHeight="1">
      <c r="P4498" s="25"/>
      <c r="Q4498" s="25"/>
      <c r="R4498" s="25"/>
      <c r="S4498" s="25"/>
      <c r="T4498" s="141"/>
      <c r="U4498" s="28"/>
    </row>
    <row r="4499" ht="15.75" customHeight="1">
      <c r="P4499" s="25"/>
      <c r="Q4499" s="25"/>
      <c r="R4499" s="25"/>
      <c r="S4499" s="25"/>
      <c r="T4499" s="141"/>
      <c r="U4499" s="28"/>
    </row>
    <row r="4500" ht="15.75" customHeight="1">
      <c r="P4500" s="25"/>
      <c r="Q4500" s="25"/>
      <c r="R4500" s="25"/>
      <c r="S4500" s="25"/>
      <c r="T4500" s="141"/>
      <c r="U4500" s="28"/>
    </row>
    <row r="4501" ht="15.75" customHeight="1">
      <c r="P4501" s="25"/>
      <c r="Q4501" s="25"/>
      <c r="R4501" s="25"/>
      <c r="S4501" s="25"/>
      <c r="T4501" s="141"/>
      <c r="U4501" s="28"/>
    </row>
    <row r="4502" ht="15.75" customHeight="1">
      <c r="P4502" s="25"/>
      <c r="Q4502" s="25"/>
      <c r="R4502" s="25"/>
      <c r="S4502" s="25"/>
      <c r="T4502" s="141"/>
      <c r="U4502" s="28"/>
    </row>
    <row r="4503" ht="15.75" customHeight="1">
      <c r="P4503" s="25"/>
      <c r="Q4503" s="25"/>
      <c r="R4503" s="25"/>
      <c r="S4503" s="25"/>
      <c r="T4503" s="141"/>
      <c r="U4503" s="28"/>
    </row>
    <row r="4504" ht="15.75" customHeight="1">
      <c r="P4504" s="25"/>
      <c r="Q4504" s="25"/>
      <c r="R4504" s="25"/>
      <c r="S4504" s="25"/>
      <c r="T4504" s="141"/>
      <c r="U4504" s="28"/>
    </row>
    <row r="4505" ht="15.75" customHeight="1">
      <c r="P4505" s="25"/>
      <c r="Q4505" s="25"/>
      <c r="R4505" s="25"/>
      <c r="S4505" s="25"/>
      <c r="T4505" s="141"/>
      <c r="U4505" s="28"/>
    </row>
    <row r="4506" ht="15.75" customHeight="1">
      <c r="P4506" s="25"/>
      <c r="Q4506" s="25"/>
      <c r="R4506" s="25"/>
      <c r="S4506" s="25"/>
      <c r="T4506" s="141"/>
      <c r="U4506" s="28"/>
    </row>
    <row r="4507" ht="15.75" customHeight="1">
      <c r="P4507" s="25"/>
      <c r="Q4507" s="25"/>
      <c r="R4507" s="25"/>
      <c r="S4507" s="25"/>
      <c r="T4507" s="141"/>
      <c r="U4507" s="28"/>
    </row>
    <row r="4508" ht="15.75" customHeight="1">
      <c r="P4508" s="25"/>
      <c r="Q4508" s="25"/>
      <c r="R4508" s="25"/>
      <c r="S4508" s="25"/>
      <c r="T4508" s="141"/>
      <c r="U4508" s="28"/>
    </row>
    <row r="4509" ht="15.75" customHeight="1">
      <c r="P4509" s="25"/>
      <c r="Q4509" s="25"/>
      <c r="R4509" s="25"/>
      <c r="S4509" s="25"/>
      <c r="T4509" s="141"/>
      <c r="U4509" s="28"/>
    </row>
    <row r="4510" ht="15.75" customHeight="1">
      <c r="P4510" s="25"/>
      <c r="Q4510" s="25"/>
      <c r="R4510" s="25"/>
      <c r="S4510" s="25"/>
      <c r="T4510" s="141"/>
      <c r="U4510" s="28"/>
    </row>
    <row r="4511" ht="15.75" customHeight="1">
      <c r="P4511" s="25"/>
      <c r="Q4511" s="25"/>
      <c r="R4511" s="25"/>
      <c r="S4511" s="25"/>
      <c r="T4511" s="141"/>
      <c r="U4511" s="28"/>
    </row>
    <row r="4512" ht="15.75" customHeight="1">
      <c r="P4512" s="25"/>
      <c r="Q4512" s="25"/>
      <c r="R4512" s="25"/>
      <c r="S4512" s="25"/>
      <c r="T4512" s="141"/>
      <c r="U4512" s="28"/>
    </row>
    <row r="4513" ht="15.75" customHeight="1">
      <c r="P4513" s="25"/>
      <c r="Q4513" s="25"/>
      <c r="R4513" s="25"/>
      <c r="S4513" s="25"/>
      <c r="T4513" s="141"/>
      <c r="U4513" s="28"/>
    </row>
    <row r="4514" ht="15.75" customHeight="1">
      <c r="P4514" s="25"/>
      <c r="Q4514" s="25"/>
      <c r="R4514" s="25"/>
      <c r="S4514" s="25"/>
      <c r="T4514" s="141"/>
      <c r="U4514" s="28"/>
    </row>
    <row r="4515" ht="15.75" customHeight="1">
      <c r="P4515" s="25"/>
      <c r="Q4515" s="25"/>
      <c r="R4515" s="25"/>
      <c r="S4515" s="25"/>
      <c r="T4515" s="141"/>
      <c r="U4515" s="28"/>
    </row>
    <row r="4516" ht="15.75" customHeight="1">
      <c r="P4516" s="25"/>
      <c r="Q4516" s="25"/>
      <c r="R4516" s="25"/>
      <c r="S4516" s="25"/>
      <c r="T4516" s="141"/>
      <c r="U4516" s="28"/>
    </row>
    <row r="4517" ht="15.75" customHeight="1">
      <c r="P4517" s="25"/>
      <c r="Q4517" s="25"/>
      <c r="R4517" s="25"/>
      <c r="S4517" s="25"/>
      <c r="T4517" s="141"/>
      <c r="U4517" s="28"/>
    </row>
    <row r="4518" ht="15.75" customHeight="1">
      <c r="P4518" s="25"/>
      <c r="Q4518" s="25"/>
      <c r="R4518" s="25"/>
      <c r="S4518" s="25"/>
      <c r="T4518" s="141"/>
      <c r="U4518" s="28"/>
    </row>
    <row r="4519" ht="15.75" customHeight="1">
      <c r="P4519" s="25"/>
      <c r="Q4519" s="25"/>
      <c r="R4519" s="25"/>
      <c r="S4519" s="25"/>
      <c r="T4519" s="141"/>
      <c r="U4519" s="28"/>
    </row>
    <row r="4520" ht="15.75" customHeight="1">
      <c r="P4520" s="25"/>
      <c r="Q4520" s="25"/>
      <c r="R4520" s="25"/>
      <c r="S4520" s="25"/>
      <c r="T4520" s="141"/>
      <c r="U4520" s="28"/>
    </row>
    <row r="4521" ht="15.75" customHeight="1">
      <c r="P4521" s="25"/>
      <c r="Q4521" s="25"/>
      <c r="R4521" s="25"/>
      <c r="S4521" s="25"/>
      <c r="T4521" s="141"/>
      <c r="U4521" s="28"/>
    </row>
    <row r="4522" ht="15.75" customHeight="1">
      <c r="P4522" s="25"/>
      <c r="Q4522" s="25"/>
      <c r="R4522" s="25"/>
      <c r="S4522" s="25"/>
      <c r="T4522" s="141"/>
      <c r="U4522" s="28"/>
    </row>
    <row r="4523" ht="15.75" customHeight="1">
      <c r="P4523" s="25"/>
      <c r="Q4523" s="25"/>
      <c r="R4523" s="25"/>
      <c r="S4523" s="25"/>
      <c r="T4523" s="141"/>
      <c r="U4523" s="28"/>
    </row>
    <row r="4524" ht="15.75" customHeight="1">
      <c r="P4524" s="25"/>
      <c r="Q4524" s="25"/>
      <c r="R4524" s="25"/>
      <c r="S4524" s="25"/>
      <c r="T4524" s="141"/>
      <c r="U4524" s="28"/>
    </row>
    <row r="4525" ht="15.75" customHeight="1">
      <c r="P4525" s="25"/>
      <c r="Q4525" s="25"/>
      <c r="R4525" s="25"/>
      <c r="S4525" s="25"/>
      <c r="T4525" s="141"/>
      <c r="U4525" s="28"/>
    </row>
    <row r="4526" ht="15.75" customHeight="1">
      <c r="P4526" s="25"/>
      <c r="Q4526" s="25"/>
      <c r="R4526" s="25"/>
      <c r="S4526" s="25"/>
      <c r="T4526" s="141"/>
      <c r="U4526" s="28"/>
    </row>
    <row r="4527" ht="15.75" customHeight="1">
      <c r="P4527" s="25"/>
      <c r="Q4527" s="25"/>
      <c r="R4527" s="25"/>
      <c r="S4527" s="25"/>
      <c r="T4527" s="141"/>
      <c r="U4527" s="28"/>
    </row>
    <row r="4528" ht="15.75" customHeight="1">
      <c r="P4528" s="25"/>
      <c r="Q4528" s="25"/>
      <c r="R4528" s="25"/>
      <c r="S4528" s="25"/>
      <c r="T4528" s="141"/>
      <c r="U4528" s="28"/>
    </row>
    <row r="4529" ht="15.75" customHeight="1">
      <c r="P4529" s="25"/>
      <c r="Q4529" s="25"/>
      <c r="R4529" s="25"/>
      <c r="S4529" s="25"/>
      <c r="T4529" s="141"/>
      <c r="U4529" s="28"/>
    </row>
    <row r="4530" ht="15.75" customHeight="1">
      <c r="P4530" s="25"/>
      <c r="Q4530" s="25"/>
      <c r="R4530" s="25"/>
      <c r="S4530" s="25"/>
      <c r="T4530" s="141"/>
      <c r="U4530" s="28"/>
    </row>
    <row r="4531" ht="15.75" customHeight="1">
      <c r="P4531" s="25"/>
      <c r="Q4531" s="25"/>
      <c r="R4531" s="25"/>
      <c r="S4531" s="25"/>
      <c r="T4531" s="141"/>
      <c r="U4531" s="28"/>
    </row>
    <row r="4532" ht="15.75" customHeight="1">
      <c r="P4532" s="25"/>
      <c r="Q4532" s="25"/>
      <c r="R4532" s="25"/>
      <c r="S4532" s="25"/>
      <c r="T4532" s="141"/>
      <c r="U4532" s="28"/>
    </row>
    <row r="4533" ht="15.75" customHeight="1">
      <c r="P4533" s="25"/>
      <c r="Q4533" s="25"/>
      <c r="R4533" s="25"/>
      <c r="S4533" s="25"/>
      <c r="T4533" s="141"/>
      <c r="U4533" s="28"/>
    </row>
    <row r="4534" ht="15.75" customHeight="1">
      <c r="P4534" s="25"/>
      <c r="Q4534" s="25"/>
      <c r="R4534" s="25"/>
      <c r="S4534" s="25"/>
      <c r="T4534" s="141"/>
      <c r="U4534" s="28"/>
    </row>
    <row r="4535" ht="15.75" customHeight="1">
      <c r="P4535" s="25"/>
      <c r="Q4535" s="25"/>
      <c r="R4535" s="25"/>
      <c r="S4535" s="25"/>
      <c r="T4535" s="141"/>
      <c r="U4535" s="28"/>
    </row>
    <row r="4536" ht="15.75" customHeight="1">
      <c r="P4536" s="25"/>
      <c r="Q4536" s="25"/>
      <c r="R4536" s="25"/>
      <c r="S4536" s="25"/>
      <c r="T4536" s="141"/>
      <c r="U4536" s="28"/>
    </row>
    <row r="4537" ht="15.75" customHeight="1">
      <c r="P4537" s="25"/>
      <c r="Q4537" s="25"/>
      <c r="R4537" s="25"/>
      <c r="S4537" s="25"/>
      <c r="T4537" s="141"/>
      <c r="U4537" s="28"/>
    </row>
    <row r="4538" ht="15.75" customHeight="1">
      <c r="P4538" s="25"/>
      <c r="Q4538" s="25"/>
      <c r="R4538" s="25"/>
      <c r="S4538" s="25"/>
      <c r="T4538" s="141"/>
      <c r="U4538" s="28"/>
    </row>
    <row r="4539" ht="15.75" customHeight="1">
      <c r="P4539" s="25"/>
      <c r="Q4539" s="25"/>
      <c r="R4539" s="25"/>
      <c r="S4539" s="25"/>
      <c r="T4539" s="141"/>
      <c r="U4539" s="28"/>
    </row>
    <row r="4540" ht="15.75" customHeight="1">
      <c r="P4540" s="25"/>
      <c r="Q4540" s="25"/>
      <c r="R4540" s="25"/>
      <c r="S4540" s="25"/>
      <c r="T4540" s="141"/>
      <c r="U4540" s="28"/>
    </row>
    <row r="4541" ht="15.75" customHeight="1">
      <c r="P4541" s="25"/>
      <c r="Q4541" s="25"/>
      <c r="R4541" s="25"/>
      <c r="S4541" s="25"/>
      <c r="T4541" s="141"/>
      <c r="U4541" s="28"/>
    </row>
    <row r="4542" ht="15.75" customHeight="1">
      <c r="P4542" s="25"/>
      <c r="Q4542" s="25"/>
      <c r="R4542" s="25"/>
      <c r="S4542" s="25"/>
      <c r="T4542" s="141"/>
      <c r="U4542" s="28"/>
    </row>
    <row r="4543" ht="15.75" customHeight="1">
      <c r="P4543" s="25"/>
      <c r="Q4543" s="25"/>
      <c r="R4543" s="25"/>
      <c r="S4543" s="25"/>
      <c r="T4543" s="141"/>
      <c r="U4543" s="28"/>
    </row>
    <row r="4544" ht="15.75" customHeight="1">
      <c r="P4544" s="25"/>
      <c r="Q4544" s="25"/>
      <c r="R4544" s="25"/>
      <c r="S4544" s="25"/>
      <c r="T4544" s="141"/>
      <c r="U4544" s="28"/>
    </row>
    <row r="4545" ht="15.75" customHeight="1">
      <c r="P4545" s="25"/>
      <c r="Q4545" s="25"/>
      <c r="R4545" s="25"/>
      <c r="S4545" s="25"/>
      <c r="T4545" s="141"/>
      <c r="U4545" s="28"/>
    </row>
    <row r="4546" ht="15.75" customHeight="1">
      <c r="P4546" s="25"/>
      <c r="Q4546" s="25"/>
      <c r="R4546" s="25"/>
      <c r="S4546" s="25"/>
      <c r="T4546" s="141"/>
      <c r="U4546" s="28"/>
    </row>
    <row r="4547" ht="15.75" customHeight="1">
      <c r="P4547" s="25"/>
      <c r="Q4547" s="25"/>
      <c r="R4547" s="25"/>
      <c r="S4547" s="25"/>
      <c r="T4547" s="141"/>
      <c r="U4547" s="28"/>
    </row>
    <row r="4548" ht="15.75" customHeight="1">
      <c r="P4548" s="25"/>
      <c r="Q4548" s="25"/>
      <c r="R4548" s="25"/>
      <c r="S4548" s="25"/>
      <c r="T4548" s="141"/>
      <c r="U4548" s="28"/>
    </row>
    <row r="4549" ht="15.75" customHeight="1">
      <c r="P4549" s="25"/>
      <c r="Q4549" s="25"/>
      <c r="R4549" s="25"/>
      <c r="S4549" s="25"/>
      <c r="T4549" s="141"/>
      <c r="U4549" s="28"/>
    </row>
    <row r="4550" ht="15.75" customHeight="1">
      <c r="P4550" s="25"/>
      <c r="Q4550" s="25"/>
      <c r="R4550" s="25"/>
      <c r="S4550" s="25"/>
      <c r="T4550" s="141"/>
      <c r="U4550" s="28"/>
    </row>
    <row r="4551" ht="15.75" customHeight="1">
      <c r="P4551" s="25"/>
      <c r="Q4551" s="25"/>
      <c r="R4551" s="25"/>
      <c r="S4551" s="25"/>
      <c r="T4551" s="141"/>
      <c r="U4551" s="28"/>
    </row>
    <row r="4552" ht="15.75" customHeight="1">
      <c r="P4552" s="25"/>
      <c r="Q4552" s="25"/>
      <c r="R4552" s="25"/>
      <c r="S4552" s="25"/>
      <c r="T4552" s="141"/>
      <c r="U4552" s="28"/>
    </row>
    <row r="4553" ht="15.75" customHeight="1">
      <c r="P4553" s="25"/>
      <c r="Q4553" s="25"/>
      <c r="R4553" s="25"/>
      <c r="S4553" s="25"/>
      <c r="T4553" s="141"/>
      <c r="U4553" s="28"/>
    </row>
    <row r="4554" ht="15.75" customHeight="1">
      <c r="P4554" s="25"/>
      <c r="Q4554" s="25"/>
      <c r="R4554" s="25"/>
      <c r="S4554" s="25"/>
      <c r="T4554" s="141"/>
      <c r="U4554" s="28"/>
    </row>
    <row r="4555" ht="15.75" customHeight="1">
      <c r="P4555" s="25"/>
      <c r="Q4555" s="25"/>
      <c r="R4555" s="25"/>
      <c r="S4555" s="25"/>
      <c r="T4555" s="141"/>
      <c r="U4555" s="28"/>
    </row>
    <row r="4556" ht="15.75" customHeight="1">
      <c r="P4556" s="25"/>
      <c r="Q4556" s="25"/>
      <c r="R4556" s="25"/>
      <c r="S4556" s="25"/>
      <c r="T4556" s="141"/>
      <c r="U4556" s="28"/>
    </row>
    <row r="4557" ht="15.75" customHeight="1">
      <c r="P4557" s="25"/>
      <c r="Q4557" s="25"/>
      <c r="R4557" s="25"/>
      <c r="S4557" s="25"/>
      <c r="T4557" s="141"/>
      <c r="U4557" s="28"/>
    </row>
    <row r="4558" ht="15.75" customHeight="1">
      <c r="P4558" s="25"/>
      <c r="Q4558" s="25"/>
      <c r="R4558" s="25"/>
      <c r="S4558" s="25"/>
      <c r="T4558" s="141"/>
      <c r="U4558" s="28"/>
    </row>
    <row r="4559" ht="15.75" customHeight="1">
      <c r="P4559" s="25"/>
      <c r="Q4559" s="25"/>
      <c r="R4559" s="25"/>
      <c r="S4559" s="25"/>
      <c r="T4559" s="141"/>
      <c r="U4559" s="28"/>
    </row>
    <row r="4560" ht="15.75" customHeight="1">
      <c r="P4560" s="25"/>
      <c r="Q4560" s="25"/>
      <c r="R4560" s="25"/>
      <c r="S4560" s="25"/>
      <c r="T4560" s="141"/>
      <c r="U4560" s="28"/>
    </row>
    <row r="4561" ht="15.75" customHeight="1">
      <c r="P4561" s="25"/>
      <c r="Q4561" s="25"/>
      <c r="R4561" s="25"/>
      <c r="S4561" s="25"/>
      <c r="T4561" s="141"/>
      <c r="U4561" s="28"/>
    </row>
    <row r="4562" ht="15.75" customHeight="1">
      <c r="P4562" s="25"/>
      <c r="Q4562" s="25"/>
      <c r="R4562" s="25"/>
      <c r="S4562" s="25"/>
      <c r="T4562" s="141"/>
      <c r="U4562" s="28"/>
    </row>
    <row r="4563" ht="15.75" customHeight="1">
      <c r="P4563" s="25"/>
      <c r="Q4563" s="25"/>
      <c r="R4563" s="25"/>
      <c r="S4563" s="25"/>
      <c r="T4563" s="141"/>
      <c r="U4563" s="28"/>
    </row>
    <row r="4564" ht="15.75" customHeight="1">
      <c r="P4564" s="25"/>
      <c r="Q4564" s="25"/>
      <c r="R4564" s="25"/>
      <c r="S4564" s="25"/>
      <c r="T4564" s="141"/>
      <c r="U4564" s="28"/>
    </row>
    <row r="4565" ht="15.75" customHeight="1">
      <c r="P4565" s="25"/>
      <c r="Q4565" s="25"/>
      <c r="R4565" s="25"/>
      <c r="S4565" s="25"/>
      <c r="T4565" s="141"/>
      <c r="U4565" s="28"/>
    </row>
    <row r="4566" ht="15.75" customHeight="1">
      <c r="P4566" s="25"/>
      <c r="Q4566" s="25"/>
      <c r="R4566" s="25"/>
      <c r="S4566" s="25"/>
      <c r="T4566" s="141"/>
      <c r="U4566" s="28"/>
    </row>
    <row r="4567" ht="15.75" customHeight="1">
      <c r="P4567" s="25"/>
      <c r="Q4567" s="25"/>
      <c r="R4567" s="25"/>
      <c r="S4567" s="25"/>
      <c r="T4567" s="141"/>
      <c r="U4567" s="28"/>
    </row>
    <row r="4568" ht="15.75" customHeight="1">
      <c r="P4568" s="25"/>
      <c r="Q4568" s="25"/>
      <c r="R4568" s="25"/>
      <c r="S4568" s="25"/>
      <c r="T4568" s="141"/>
      <c r="U4568" s="28"/>
    </row>
    <row r="4569" ht="15.75" customHeight="1">
      <c r="P4569" s="25"/>
      <c r="Q4569" s="25"/>
      <c r="R4569" s="25"/>
      <c r="S4569" s="25"/>
      <c r="T4569" s="141"/>
      <c r="U4569" s="28"/>
    </row>
    <row r="4570" ht="15.75" customHeight="1">
      <c r="P4570" s="25"/>
      <c r="Q4570" s="25"/>
      <c r="R4570" s="25"/>
      <c r="S4570" s="25"/>
      <c r="T4570" s="141"/>
      <c r="U4570" s="28"/>
    </row>
    <row r="4571" ht="15.75" customHeight="1">
      <c r="P4571" s="25"/>
      <c r="Q4571" s="25"/>
      <c r="R4571" s="25"/>
      <c r="S4571" s="25"/>
      <c r="T4571" s="141"/>
      <c r="U4571" s="28"/>
    </row>
    <row r="4572" ht="15.75" customHeight="1">
      <c r="P4572" s="25"/>
      <c r="Q4572" s="25"/>
      <c r="R4572" s="25"/>
      <c r="S4572" s="25"/>
      <c r="T4572" s="141"/>
      <c r="U4572" s="28"/>
    </row>
    <row r="4573" ht="15.75" customHeight="1">
      <c r="P4573" s="25"/>
      <c r="Q4573" s="25"/>
      <c r="R4573" s="25"/>
      <c r="S4573" s="25"/>
      <c r="T4573" s="141"/>
      <c r="U4573" s="28"/>
    </row>
    <row r="4574" ht="15.75" customHeight="1">
      <c r="P4574" s="25"/>
      <c r="Q4574" s="25"/>
      <c r="R4574" s="25"/>
      <c r="S4574" s="25"/>
      <c r="T4574" s="141"/>
      <c r="U4574" s="28"/>
    </row>
    <row r="4575" ht="15.75" customHeight="1">
      <c r="P4575" s="25"/>
      <c r="Q4575" s="25"/>
      <c r="R4575" s="25"/>
      <c r="S4575" s="25"/>
      <c r="T4575" s="141"/>
      <c r="U4575" s="28"/>
    </row>
    <row r="4576" ht="15.75" customHeight="1">
      <c r="P4576" s="25"/>
      <c r="Q4576" s="25"/>
      <c r="R4576" s="25"/>
      <c r="S4576" s="25"/>
      <c r="T4576" s="141"/>
      <c r="U4576" s="28"/>
    </row>
    <row r="4577" ht="15.75" customHeight="1">
      <c r="P4577" s="25"/>
      <c r="Q4577" s="25"/>
      <c r="R4577" s="25"/>
      <c r="S4577" s="25"/>
      <c r="T4577" s="141"/>
      <c r="U4577" s="28"/>
    </row>
    <row r="4578" ht="15.75" customHeight="1">
      <c r="P4578" s="25"/>
      <c r="Q4578" s="25"/>
      <c r="R4578" s="25"/>
      <c r="S4578" s="25"/>
      <c r="T4578" s="141"/>
      <c r="U4578" s="28"/>
    </row>
    <row r="4579" ht="15.75" customHeight="1">
      <c r="P4579" s="25"/>
      <c r="Q4579" s="25"/>
      <c r="R4579" s="25"/>
      <c r="S4579" s="25"/>
      <c r="T4579" s="141"/>
      <c r="U4579" s="28"/>
    </row>
    <row r="4580" ht="15.75" customHeight="1">
      <c r="P4580" s="25"/>
      <c r="Q4580" s="25"/>
      <c r="R4580" s="25"/>
      <c r="S4580" s="25"/>
      <c r="T4580" s="141"/>
      <c r="U4580" s="28"/>
    </row>
    <row r="4581" ht="15.75" customHeight="1">
      <c r="P4581" s="25"/>
      <c r="Q4581" s="25"/>
      <c r="R4581" s="25"/>
      <c r="S4581" s="25"/>
      <c r="T4581" s="141"/>
      <c r="U4581" s="28"/>
    </row>
    <row r="4582" ht="15.75" customHeight="1">
      <c r="P4582" s="25"/>
      <c r="Q4582" s="25"/>
      <c r="R4582" s="25"/>
      <c r="S4582" s="25"/>
      <c r="T4582" s="141"/>
      <c r="U4582" s="28"/>
    </row>
    <row r="4583" ht="15.75" customHeight="1">
      <c r="P4583" s="25"/>
      <c r="Q4583" s="25"/>
      <c r="R4583" s="25"/>
      <c r="S4583" s="25"/>
      <c r="T4583" s="141"/>
      <c r="U4583" s="28"/>
    </row>
    <row r="4584" ht="15.75" customHeight="1">
      <c r="P4584" s="25"/>
      <c r="Q4584" s="25"/>
      <c r="R4584" s="25"/>
      <c r="S4584" s="25"/>
      <c r="T4584" s="141"/>
      <c r="U4584" s="28"/>
    </row>
    <row r="4585" ht="15.75" customHeight="1">
      <c r="P4585" s="25"/>
      <c r="Q4585" s="25"/>
      <c r="R4585" s="25"/>
      <c r="S4585" s="25"/>
      <c r="T4585" s="141"/>
      <c r="U4585" s="28"/>
    </row>
    <row r="4586" ht="15.75" customHeight="1">
      <c r="P4586" s="25"/>
      <c r="Q4586" s="25"/>
      <c r="R4586" s="25"/>
      <c r="S4586" s="25"/>
      <c r="T4586" s="141"/>
      <c r="U4586" s="28"/>
    </row>
    <row r="4587" ht="15.75" customHeight="1">
      <c r="P4587" s="25"/>
      <c r="Q4587" s="25"/>
      <c r="R4587" s="25"/>
      <c r="S4587" s="25"/>
      <c r="T4587" s="141"/>
      <c r="U4587" s="28"/>
    </row>
    <row r="4588" ht="15.75" customHeight="1">
      <c r="P4588" s="25"/>
      <c r="Q4588" s="25"/>
      <c r="R4588" s="25"/>
      <c r="S4588" s="25"/>
      <c r="T4588" s="141"/>
      <c r="U4588" s="28"/>
    </row>
    <row r="4589" ht="15.75" customHeight="1">
      <c r="P4589" s="25"/>
      <c r="Q4589" s="25"/>
      <c r="R4589" s="25"/>
      <c r="S4589" s="25"/>
      <c r="T4589" s="141"/>
      <c r="U4589" s="28"/>
    </row>
    <row r="4590" ht="15.75" customHeight="1">
      <c r="P4590" s="25"/>
      <c r="Q4590" s="25"/>
      <c r="R4590" s="25"/>
      <c r="S4590" s="25"/>
      <c r="T4590" s="141"/>
      <c r="U4590" s="28"/>
    </row>
    <row r="4591" ht="15.75" customHeight="1">
      <c r="P4591" s="25"/>
      <c r="Q4591" s="25"/>
      <c r="R4591" s="25"/>
      <c r="S4591" s="25"/>
      <c r="T4591" s="141"/>
      <c r="U4591" s="28"/>
    </row>
    <row r="4592" ht="15.75" customHeight="1">
      <c r="P4592" s="25"/>
      <c r="Q4592" s="25"/>
      <c r="R4592" s="25"/>
      <c r="S4592" s="25"/>
      <c r="T4592" s="141"/>
      <c r="U4592" s="28"/>
    </row>
    <row r="4593" ht="15.75" customHeight="1">
      <c r="P4593" s="25"/>
      <c r="Q4593" s="25"/>
      <c r="R4593" s="25"/>
      <c r="S4593" s="25"/>
      <c r="T4593" s="141"/>
      <c r="U4593" s="28"/>
    </row>
    <row r="4594" ht="15.75" customHeight="1">
      <c r="P4594" s="25"/>
      <c r="Q4594" s="25"/>
      <c r="R4594" s="25"/>
      <c r="S4594" s="25"/>
      <c r="T4594" s="141"/>
      <c r="U4594" s="28"/>
    </row>
    <row r="4595" ht="15.75" customHeight="1">
      <c r="P4595" s="25"/>
      <c r="Q4595" s="25"/>
      <c r="R4595" s="25"/>
      <c r="S4595" s="25"/>
      <c r="T4595" s="141"/>
      <c r="U4595" s="28"/>
    </row>
    <row r="4596" ht="15.75" customHeight="1">
      <c r="P4596" s="25"/>
      <c r="Q4596" s="25"/>
      <c r="R4596" s="25"/>
      <c r="S4596" s="25"/>
      <c r="T4596" s="141"/>
      <c r="U4596" s="28"/>
    </row>
    <row r="4597" ht="15.75" customHeight="1">
      <c r="P4597" s="25"/>
      <c r="Q4597" s="25"/>
      <c r="R4597" s="25"/>
      <c r="S4597" s="25"/>
      <c r="T4597" s="141"/>
      <c r="U4597" s="28"/>
    </row>
    <row r="4598" ht="15.75" customHeight="1">
      <c r="P4598" s="25"/>
      <c r="Q4598" s="25"/>
      <c r="R4598" s="25"/>
      <c r="S4598" s="25"/>
      <c r="T4598" s="141"/>
      <c r="U4598" s="28"/>
    </row>
    <row r="4599" ht="15.75" customHeight="1">
      <c r="P4599" s="25"/>
      <c r="Q4599" s="25"/>
      <c r="R4599" s="25"/>
      <c r="S4599" s="25"/>
      <c r="T4599" s="141"/>
      <c r="U4599" s="28"/>
    </row>
    <row r="4600" ht="15.75" customHeight="1">
      <c r="P4600" s="25"/>
      <c r="Q4600" s="25"/>
      <c r="R4600" s="25"/>
      <c r="S4600" s="25"/>
      <c r="T4600" s="141"/>
      <c r="U4600" s="28"/>
    </row>
    <row r="4601" ht="15.75" customHeight="1">
      <c r="P4601" s="25"/>
      <c r="Q4601" s="25"/>
      <c r="R4601" s="25"/>
      <c r="S4601" s="25"/>
      <c r="T4601" s="141"/>
      <c r="U4601" s="28"/>
    </row>
    <row r="4602" ht="15.75" customHeight="1">
      <c r="P4602" s="25"/>
      <c r="Q4602" s="25"/>
      <c r="R4602" s="25"/>
      <c r="S4602" s="25"/>
      <c r="T4602" s="141"/>
      <c r="U4602" s="28"/>
    </row>
    <row r="4603" ht="15.75" customHeight="1">
      <c r="P4603" s="25"/>
      <c r="Q4603" s="25"/>
      <c r="R4603" s="25"/>
      <c r="S4603" s="25"/>
      <c r="T4603" s="141"/>
      <c r="U4603" s="28"/>
    </row>
    <row r="4604" ht="15.75" customHeight="1">
      <c r="P4604" s="25"/>
      <c r="Q4604" s="25"/>
      <c r="R4604" s="25"/>
      <c r="S4604" s="25"/>
      <c r="T4604" s="141"/>
      <c r="U4604" s="28"/>
    </row>
    <row r="4605" ht="15.75" customHeight="1">
      <c r="P4605" s="25"/>
      <c r="Q4605" s="25"/>
      <c r="R4605" s="25"/>
      <c r="S4605" s="25"/>
      <c r="T4605" s="141"/>
      <c r="U4605" s="28"/>
    </row>
    <row r="4606" ht="15.75" customHeight="1">
      <c r="P4606" s="25"/>
      <c r="Q4606" s="25"/>
      <c r="R4606" s="25"/>
      <c r="S4606" s="25"/>
      <c r="T4606" s="141"/>
      <c r="U4606" s="28"/>
    </row>
    <row r="4607" ht="15.75" customHeight="1">
      <c r="P4607" s="25"/>
      <c r="Q4607" s="25"/>
      <c r="R4607" s="25"/>
      <c r="S4607" s="25"/>
      <c r="T4607" s="141"/>
      <c r="U4607" s="28"/>
    </row>
    <row r="4608" ht="15.75" customHeight="1">
      <c r="P4608" s="25"/>
      <c r="Q4608" s="25"/>
      <c r="R4608" s="25"/>
      <c r="S4608" s="25"/>
      <c r="T4608" s="141"/>
      <c r="U4608" s="28"/>
    </row>
    <row r="4609" ht="15.75" customHeight="1">
      <c r="P4609" s="25"/>
      <c r="Q4609" s="25"/>
      <c r="R4609" s="25"/>
      <c r="S4609" s="25"/>
      <c r="T4609" s="141"/>
      <c r="U4609" s="28"/>
    </row>
    <row r="4610" ht="15.75" customHeight="1">
      <c r="P4610" s="25"/>
      <c r="Q4610" s="25"/>
      <c r="R4610" s="25"/>
      <c r="S4610" s="25"/>
      <c r="T4610" s="141"/>
      <c r="U4610" s="28"/>
    </row>
    <row r="4611" ht="15.75" customHeight="1">
      <c r="P4611" s="25"/>
      <c r="Q4611" s="25"/>
      <c r="R4611" s="25"/>
      <c r="S4611" s="25"/>
      <c r="T4611" s="141"/>
      <c r="U4611" s="28"/>
    </row>
    <row r="4612" ht="15.75" customHeight="1">
      <c r="P4612" s="25"/>
      <c r="Q4612" s="25"/>
      <c r="R4612" s="25"/>
      <c r="S4612" s="25"/>
      <c r="T4612" s="141"/>
      <c r="U4612" s="28"/>
    </row>
    <row r="4613" ht="15.75" customHeight="1">
      <c r="P4613" s="25"/>
      <c r="Q4613" s="25"/>
      <c r="R4613" s="25"/>
      <c r="S4613" s="25"/>
      <c r="T4613" s="141"/>
      <c r="U4613" s="28"/>
    </row>
    <row r="4614" ht="15.75" customHeight="1">
      <c r="P4614" s="25"/>
      <c r="Q4614" s="25"/>
      <c r="R4614" s="25"/>
      <c r="S4614" s="25"/>
      <c r="T4614" s="141"/>
      <c r="U4614" s="28"/>
    </row>
    <row r="4615" ht="15.75" customHeight="1">
      <c r="P4615" s="25"/>
      <c r="Q4615" s="25"/>
      <c r="R4615" s="25"/>
      <c r="S4615" s="25"/>
      <c r="T4615" s="141"/>
      <c r="U4615" s="28"/>
    </row>
    <row r="4616" ht="15.75" customHeight="1">
      <c r="P4616" s="25"/>
      <c r="Q4616" s="25"/>
      <c r="R4616" s="25"/>
      <c r="S4616" s="25"/>
      <c r="T4616" s="141"/>
      <c r="U4616" s="28"/>
    </row>
    <row r="4617" ht="15.75" customHeight="1">
      <c r="P4617" s="25"/>
      <c r="Q4617" s="25"/>
      <c r="R4617" s="25"/>
      <c r="S4617" s="25"/>
      <c r="T4617" s="141"/>
      <c r="U4617" s="28"/>
    </row>
    <row r="4618" ht="15.75" customHeight="1">
      <c r="P4618" s="25"/>
      <c r="Q4618" s="25"/>
      <c r="R4618" s="25"/>
      <c r="S4618" s="25"/>
      <c r="T4618" s="141"/>
      <c r="U4618" s="28"/>
    </row>
    <row r="4619" ht="15.75" customHeight="1">
      <c r="P4619" s="25"/>
      <c r="Q4619" s="25"/>
      <c r="R4619" s="25"/>
      <c r="S4619" s="25"/>
      <c r="T4619" s="141"/>
      <c r="U4619" s="28"/>
    </row>
    <row r="4620" ht="15.75" customHeight="1">
      <c r="P4620" s="25"/>
      <c r="Q4620" s="25"/>
      <c r="R4620" s="25"/>
      <c r="S4620" s="25"/>
      <c r="T4620" s="141"/>
      <c r="U4620" s="28"/>
    </row>
    <row r="4621" ht="15.75" customHeight="1">
      <c r="P4621" s="25"/>
      <c r="Q4621" s="25"/>
      <c r="R4621" s="25"/>
      <c r="S4621" s="25"/>
      <c r="T4621" s="141"/>
      <c r="U4621" s="28"/>
    </row>
    <row r="4622" ht="15.75" customHeight="1">
      <c r="P4622" s="25"/>
      <c r="Q4622" s="25"/>
      <c r="R4622" s="25"/>
      <c r="S4622" s="25"/>
      <c r="T4622" s="141"/>
      <c r="U4622" s="28"/>
    </row>
    <row r="4623" ht="15.75" customHeight="1">
      <c r="P4623" s="25"/>
      <c r="Q4623" s="25"/>
      <c r="R4623" s="25"/>
      <c r="S4623" s="25"/>
      <c r="T4623" s="141"/>
      <c r="U4623" s="28"/>
    </row>
    <row r="4624" ht="15.75" customHeight="1">
      <c r="P4624" s="25"/>
      <c r="Q4624" s="25"/>
      <c r="R4624" s="25"/>
      <c r="S4624" s="25"/>
      <c r="T4624" s="141"/>
      <c r="U4624" s="28"/>
    </row>
    <row r="4625" ht="15.75" customHeight="1">
      <c r="P4625" s="25"/>
      <c r="Q4625" s="25"/>
      <c r="R4625" s="25"/>
      <c r="S4625" s="25"/>
      <c r="T4625" s="141"/>
      <c r="U4625" s="28"/>
    </row>
    <row r="4626" ht="15.75" customHeight="1">
      <c r="P4626" s="25"/>
      <c r="Q4626" s="25"/>
      <c r="R4626" s="25"/>
      <c r="S4626" s="25"/>
      <c r="T4626" s="141"/>
      <c r="U4626" s="28"/>
    </row>
    <row r="4627" ht="15.75" customHeight="1">
      <c r="P4627" s="25"/>
      <c r="Q4627" s="25"/>
      <c r="R4627" s="25"/>
      <c r="S4627" s="25"/>
      <c r="T4627" s="141"/>
      <c r="U4627" s="28"/>
    </row>
    <row r="4628" ht="15.75" customHeight="1">
      <c r="P4628" s="25"/>
      <c r="Q4628" s="25"/>
      <c r="R4628" s="25"/>
      <c r="S4628" s="25"/>
      <c r="T4628" s="141"/>
      <c r="U4628" s="28"/>
    </row>
    <row r="4629" ht="15.75" customHeight="1">
      <c r="P4629" s="25"/>
      <c r="Q4629" s="25"/>
      <c r="R4629" s="25"/>
      <c r="S4629" s="25"/>
      <c r="T4629" s="141"/>
      <c r="U4629" s="28"/>
    </row>
    <row r="4630" ht="15.75" customHeight="1">
      <c r="P4630" s="25"/>
      <c r="Q4630" s="25"/>
      <c r="R4630" s="25"/>
      <c r="S4630" s="25"/>
      <c r="T4630" s="141"/>
      <c r="U4630" s="28"/>
    </row>
    <row r="4631" ht="15.75" customHeight="1">
      <c r="P4631" s="25"/>
      <c r="Q4631" s="25"/>
      <c r="R4631" s="25"/>
      <c r="S4631" s="25"/>
      <c r="T4631" s="141"/>
      <c r="U4631" s="28"/>
    </row>
    <row r="4632" ht="15.75" customHeight="1">
      <c r="P4632" s="25"/>
      <c r="Q4632" s="25"/>
      <c r="R4632" s="25"/>
      <c r="S4632" s="25"/>
      <c r="T4632" s="141"/>
      <c r="U4632" s="28"/>
    </row>
    <row r="4633" ht="15.75" customHeight="1">
      <c r="P4633" s="25"/>
      <c r="Q4633" s="25"/>
      <c r="R4633" s="25"/>
      <c r="S4633" s="25"/>
      <c r="T4633" s="141"/>
      <c r="U4633" s="28"/>
    </row>
    <row r="4634" ht="15.75" customHeight="1">
      <c r="P4634" s="25"/>
      <c r="Q4634" s="25"/>
      <c r="R4634" s="25"/>
      <c r="S4634" s="25"/>
      <c r="T4634" s="141"/>
      <c r="U4634" s="28"/>
    </row>
    <row r="4635" ht="15.75" customHeight="1">
      <c r="P4635" s="25"/>
      <c r="Q4635" s="25"/>
      <c r="R4635" s="25"/>
      <c r="S4635" s="25"/>
      <c r="T4635" s="141"/>
      <c r="U4635" s="28"/>
    </row>
    <row r="4636" ht="15.75" customHeight="1">
      <c r="P4636" s="25"/>
      <c r="Q4636" s="25"/>
      <c r="R4636" s="25"/>
      <c r="S4636" s="25"/>
      <c r="T4636" s="141"/>
      <c r="U4636" s="28"/>
    </row>
    <row r="4637" ht="15.75" customHeight="1">
      <c r="P4637" s="25"/>
      <c r="Q4637" s="25"/>
      <c r="R4637" s="25"/>
      <c r="S4637" s="25"/>
      <c r="T4637" s="141"/>
      <c r="U4637" s="28"/>
    </row>
    <row r="4638" ht="15.75" customHeight="1">
      <c r="P4638" s="25"/>
      <c r="Q4638" s="25"/>
      <c r="R4638" s="25"/>
      <c r="S4638" s="25"/>
      <c r="T4638" s="141"/>
      <c r="U4638" s="28"/>
    </row>
    <row r="4639" ht="15.75" customHeight="1">
      <c r="P4639" s="25"/>
      <c r="Q4639" s="25"/>
      <c r="R4639" s="25"/>
      <c r="S4639" s="25"/>
      <c r="T4639" s="141"/>
      <c r="U4639" s="28"/>
    </row>
    <row r="4640" ht="15.75" customHeight="1">
      <c r="P4640" s="25"/>
      <c r="Q4640" s="25"/>
      <c r="R4640" s="25"/>
      <c r="S4640" s="25"/>
      <c r="T4640" s="141"/>
      <c r="U4640" s="28"/>
    </row>
    <row r="4641" ht="15.75" customHeight="1">
      <c r="P4641" s="25"/>
      <c r="Q4641" s="25"/>
      <c r="R4641" s="25"/>
      <c r="S4641" s="25"/>
      <c r="T4641" s="141"/>
      <c r="U4641" s="28"/>
    </row>
    <row r="4642" ht="15.75" customHeight="1">
      <c r="P4642" s="25"/>
      <c r="Q4642" s="25"/>
      <c r="R4642" s="25"/>
      <c r="S4642" s="25"/>
      <c r="T4642" s="141"/>
      <c r="U4642" s="28"/>
    </row>
    <row r="4643" ht="15.75" customHeight="1">
      <c r="P4643" s="25"/>
      <c r="Q4643" s="25"/>
      <c r="R4643" s="25"/>
      <c r="S4643" s="25"/>
      <c r="T4643" s="141"/>
      <c r="U4643" s="28"/>
    </row>
    <row r="4644" ht="15.75" customHeight="1">
      <c r="P4644" s="25"/>
      <c r="Q4644" s="25"/>
      <c r="R4644" s="25"/>
      <c r="S4644" s="25"/>
      <c r="T4644" s="141"/>
      <c r="U4644" s="28"/>
    </row>
    <row r="4645" ht="15.75" customHeight="1">
      <c r="P4645" s="25"/>
      <c r="Q4645" s="25"/>
      <c r="R4645" s="25"/>
      <c r="S4645" s="25"/>
      <c r="T4645" s="141"/>
      <c r="U4645" s="28"/>
    </row>
    <row r="4646" ht="15.75" customHeight="1">
      <c r="P4646" s="25"/>
      <c r="Q4646" s="25"/>
      <c r="R4646" s="25"/>
      <c r="S4646" s="25"/>
      <c r="T4646" s="141"/>
      <c r="U4646" s="28"/>
    </row>
    <row r="4647" ht="15.75" customHeight="1">
      <c r="P4647" s="25"/>
      <c r="Q4647" s="25"/>
      <c r="R4647" s="25"/>
      <c r="S4647" s="25"/>
      <c r="T4647" s="141"/>
      <c r="U4647" s="28"/>
    </row>
    <row r="4648" ht="15.75" customHeight="1">
      <c r="P4648" s="25"/>
      <c r="Q4648" s="25"/>
      <c r="R4648" s="25"/>
      <c r="S4648" s="25"/>
      <c r="T4648" s="141"/>
      <c r="U4648" s="28"/>
    </row>
    <row r="4649" ht="15.75" customHeight="1">
      <c r="P4649" s="25"/>
      <c r="Q4649" s="25"/>
      <c r="R4649" s="25"/>
      <c r="S4649" s="25"/>
      <c r="T4649" s="141"/>
      <c r="U4649" s="28"/>
    </row>
    <row r="4650" ht="15.75" customHeight="1">
      <c r="P4650" s="25"/>
      <c r="Q4650" s="25"/>
      <c r="R4650" s="25"/>
      <c r="S4650" s="25"/>
      <c r="T4650" s="141"/>
      <c r="U4650" s="28"/>
    </row>
    <row r="4651" ht="15.75" customHeight="1">
      <c r="P4651" s="25"/>
      <c r="Q4651" s="25"/>
      <c r="R4651" s="25"/>
      <c r="S4651" s="25"/>
      <c r="T4651" s="141"/>
      <c r="U4651" s="28"/>
    </row>
    <row r="4652" ht="15.75" customHeight="1">
      <c r="P4652" s="25"/>
      <c r="Q4652" s="25"/>
      <c r="R4652" s="25"/>
      <c r="S4652" s="25"/>
      <c r="T4652" s="141"/>
      <c r="U4652" s="28"/>
    </row>
    <row r="4653" ht="15.75" customHeight="1">
      <c r="P4653" s="25"/>
      <c r="Q4653" s="25"/>
      <c r="R4653" s="25"/>
      <c r="S4653" s="25"/>
      <c r="T4653" s="141"/>
      <c r="U4653" s="28"/>
    </row>
    <row r="4654" ht="15.75" customHeight="1">
      <c r="P4654" s="25"/>
      <c r="Q4654" s="25"/>
      <c r="R4654" s="25"/>
      <c r="S4654" s="25"/>
      <c r="T4654" s="141"/>
      <c r="U4654" s="28"/>
    </row>
    <row r="4655" ht="15.75" customHeight="1">
      <c r="P4655" s="25"/>
      <c r="Q4655" s="25"/>
      <c r="R4655" s="25"/>
      <c r="S4655" s="25"/>
      <c r="T4655" s="141"/>
      <c r="U4655" s="28"/>
    </row>
    <row r="4656" ht="15.75" customHeight="1">
      <c r="P4656" s="25"/>
      <c r="Q4656" s="25"/>
      <c r="R4656" s="25"/>
      <c r="S4656" s="25"/>
      <c r="T4656" s="141"/>
      <c r="U4656" s="28"/>
    </row>
    <row r="4657" ht="15.75" customHeight="1">
      <c r="P4657" s="25"/>
      <c r="Q4657" s="25"/>
      <c r="R4657" s="25"/>
      <c r="S4657" s="25"/>
      <c r="T4657" s="141"/>
      <c r="U4657" s="28"/>
    </row>
    <row r="4658" ht="15.75" customHeight="1">
      <c r="P4658" s="25"/>
      <c r="Q4658" s="25"/>
      <c r="R4658" s="25"/>
      <c r="S4658" s="25"/>
      <c r="T4658" s="141"/>
      <c r="U4658" s="28"/>
    </row>
    <row r="4659" ht="15.75" customHeight="1">
      <c r="P4659" s="25"/>
      <c r="Q4659" s="25"/>
      <c r="R4659" s="25"/>
      <c r="S4659" s="25"/>
      <c r="T4659" s="141"/>
      <c r="U4659" s="28"/>
    </row>
    <row r="4660" ht="15.75" customHeight="1">
      <c r="P4660" s="25"/>
      <c r="Q4660" s="25"/>
      <c r="R4660" s="25"/>
      <c r="S4660" s="25"/>
      <c r="T4660" s="141"/>
      <c r="U4660" s="28"/>
    </row>
    <row r="4661" ht="15.75" customHeight="1">
      <c r="P4661" s="25"/>
      <c r="Q4661" s="25"/>
      <c r="R4661" s="25"/>
      <c r="S4661" s="25"/>
      <c r="T4661" s="141"/>
      <c r="U4661" s="28"/>
    </row>
    <row r="4662" ht="15.75" customHeight="1">
      <c r="P4662" s="25"/>
      <c r="Q4662" s="25"/>
      <c r="R4662" s="25"/>
      <c r="S4662" s="25"/>
      <c r="T4662" s="141"/>
      <c r="U4662" s="28"/>
    </row>
    <row r="4663" ht="15.75" customHeight="1">
      <c r="P4663" s="25"/>
      <c r="Q4663" s="25"/>
      <c r="R4663" s="25"/>
      <c r="S4663" s="25"/>
      <c r="T4663" s="141"/>
      <c r="U4663" s="28"/>
    </row>
    <row r="4664" ht="15.75" customHeight="1">
      <c r="P4664" s="25"/>
      <c r="Q4664" s="25"/>
      <c r="R4664" s="25"/>
      <c r="S4664" s="25"/>
      <c r="T4664" s="141"/>
      <c r="U4664" s="28"/>
    </row>
    <row r="4665" ht="15.75" customHeight="1">
      <c r="P4665" s="25"/>
      <c r="Q4665" s="25"/>
      <c r="R4665" s="25"/>
      <c r="S4665" s="25"/>
      <c r="T4665" s="141"/>
      <c r="U4665" s="28"/>
    </row>
    <row r="4666" ht="15.75" customHeight="1">
      <c r="P4666" s="25"/>
      <c r="Q4666" s="25"/>
      <c r="R4666" s="25"/>
      <c r="S4666" s="25"/>
      <c r="T4666" s="141"/>
      <c r="U4666" s="28"/>
    </row>
    <row r="4667" ht="15.75" customHeight="1">
      <c r="P4667" s="25"/>
      <c r="Q4667" s="25"/>
      <c r="R4667" s="25"/>
      <c r="S4667" s="25"/>
      <c r="T4667" s="141"/>
      <c r="U4667" s="28"/>
    </row>
    <row r="4668" ht="15.75" customHeight="1">
      <c r="P4668" s="25"/>
      <c r="Q4668" s="25"/>
      <c r="R4668" s="25"/>
      <c r="S4668" s="25"/>
      <c r="T4668" s="141"/>
      <c r="U4668" s="28"/>
    </row>
    <row r="4669" ht="15.75" customHeight="1">
      <c r="P4669" s="25"/>
      <c r="Q4669" s="25"/>
      <c r="R4669" s="25"/>
      <c r="S4669" s="25"/>
      <c r="T4669" s="141"/>
      <c r="U4669" s="28"/>
    </row>
    <row r="4670" ht="15.75" customHeight="1">
      <c r="P4670" s="25"/>
      <c r="Q4670" s="25"/>
      <c r="R4670" s="25"/>
      <c r="S4670" s="25"/>
      <c r="T4670" s="141"/>
      <c r="U4670" s="28"/>
    </row>
    <row r="4671" ht="15.75" customHeight="1">
      <c r="P4671" s="25"/>
      <c r="Q4671" s="25"/>
      <c r="R4671" s="25"/>
      <c r="S4671" s="25"/>
      <c r="T4671" s="141"/>
      <c r="U4671" s="28"/>
    </row>
    <row r="4672" ht="15.75" customHeight="1">
      <c r="P4672" s="25"/>
      <c r="Q4672" s="25"/>
      <c r="R4672" s="25"/>
      <c r="S4672" s="25"/>
      <c r="T4672" s="141"/>
      <c r="U4672" s="28"/>
    </row>
    <row r="4673" ht="15.75" customHeight="1">
      <c r="P4673" s="25"/>
      <c r="Q4673" s="25"/>
      <c r="R4673" s="25"/>
      <c r="S4673" s="25"/>
      <c r="T4673" s="141"/>
      <c r="U4673" s="28"/>
    </row>
    <row r="4674" ht="15.75" customHeight="1">
      <c r="P4674" s="25"/>
      <c r="Q4674" s="25"/>
      <c r="R4674" s="25"/>
      <c r="S4674" s="25"/>
      <c r="T4674" s="141"/>
      <c r="U4674" s="28"/>
    </row>
    <row r="4675" ht="15.75" customHeight="1">
      <c r="P4675" s="25"/>
      <c r="Q4675" s="25"/>
      <c r="R4675" s="25"/>
      <c r="S4675" s="25"/>
      <c r="T4675" s="141"/>
      <c r="U4675" s="28"/>
    </row>
    <row r="4676" ht="15.75" customHeight="1">
      <c r="P4676" s="25"/>
      <c r="Q4676" s="25"/>
      <c r="R4676" s="25"/>
      <c r="S4676" s="25"/>
      <c r="T4676" s="141"/>
      <c r="U4676" s="28"/>
    </row>
    <row r="4677" ht="15.75" customHeight="1">
      <c r="P4677" s="25"/>
      <c r="Q4677" s="25"/>
      <c r="R4677" s="25"/>
      <c r="S4677" s="25"/>
      <c r="T4677" s="141"/>
      <c r="U4677" s="28"/>
    </row>
    <row r="4678" ht="15.75" customHeight="1">
      <c r="P4678" s="25"/>
      <c r="Q4678" s="25"/>
      <c r="R4678" s="25"/>
      <c r="S4678" s="25"/>
      <c r="T4678" s="141"/>
      <c r="U4678" s="28"/>
    </row>
    <row r="4679" ht="15.75" customHeight="1">
      <c r="P4679" s="25"/>
      <c r="Q4679" s="25"/>
      <c r="R4679" s="25"/>
      <c r="S4679" s="25"/>
      <c r="T4679" s="141"/>
      <c r="U4679" s="28"/>
    </row>
    <row r="4680" ht="15.75" customHeight="1">
      <c r="P4680" s="25"/>
      <c r="Q4680" s="25"/>
      <c r="R4680" s="25"/>
      <c r="S4680" s="25"/>
      <c r="T4680" s="141"/>
      <c r="U4680" s="28"/>
    </row>
    <row r="4681" ht="15.75" customHeight="1">
      <c r="P4681" s="25"/>
      <c r="Q4681" s="25"/>
      <c r="R4681" s="25"/>
      <c r="S4681" s="25"/>
      <c r="T4681" s="141"/>
      <c r="U4681" s="28"/>
    </row>
    <row r="4682" ht="15.75" customHeight="1">
      <c r="P4682" s="25"/>
      <c r="Q4682" s="25"/>
      <c r="R4682" s="25"/>
      <c r="S4682" s="25"/>
      <c r="T4682" s="141"/>
      <c r="U4682" s="28"/>
    </row>
    <row r="4683" ht="15.75" customHeight="1">
      <c r="P4683" s="25"/>
      <c r="Q4683" s="25"/>
      <c r="R4683" s="25"/>
      <c r="S4683" s="25"/>
      <c r="T4683" s="141"/>
      <c r="U4683" s="28"/>
    </row>
    <row r="4684" ht="15.75" customHeight="1">
      <c r="P4684" s="25"/>
      <c r="Q4684" s="25"/>
      <c r="R4684" s="25"/>
      <c r="S4684" s="25"/>
      <c r="T4684" s="141"/>
      <c r="U4684" s="28"/>
    </row>
    <row r="4685" ht="15.75" customHeight="1">
      <c r="P4685" s="25"/>
      <c r="Q4685" s="25"/>
      <c r="R4685" s="25"/>
      <c r="S4685" s="25"/>
      <c r="T4685" s="141"/>
      <c r="U4685" s="28"/>
    </row>
    <row r="4686" ht="15.75" customHeight="1">
      <c r="P4686" s="25"/>
      <c r="Q4686" s="25"/>
      <c r="R4686" s="25"/>
      <c r="S4686" s="25"/>
      <c r="T4686" s="141"/>
      <c r="U4686" s="28"/>
    </row>
    <row r="4687" ht="15.75" customHeight="1">
      <c r="P4687" s="25"/>
      <c r="Q4687" s="25"/>
      <c r="R4687" s="25"/>
      <c r="S4687" s="25"/>
      <c r="T4687" s="141"/>
      <c r="U4687" s="28"/>
    </row>
    <row r="4688" ht="15.75" customHeight="1">
      <c r="P4688" s="25"/>
      <c r="Q4688" s="25"/>
      <c r="R4688" s="25"/>
      <c r="S4688" s="25"/>
      <c r="T4688" s="141"/>
      <c r="U4688" s="28"/>
    </row>
    <row r="4689" ht="15.75" customHeight="1">
      <c r="P4689" s="25"/>
      <c r="Q4689" s="25"/>
      <c r="R4689" s="25"/>
      <c r="S4689" s="25"/>
      <c r="T4689" s="141"/>
      <c r="U4689" s="28"/>
    </row>
    <row r="4690" ht="15.75" customHeight="1">
      <c r="P4690" s="25"/>
      <c r="Q4690" s="25"/>
      <c r="R4690" s="25"/>
      <c r="S4690" s="25"/>
      <c r="T4690" s="141"/>
      <c r="U4690" s="28"/>
    </row>
    <row r="4691" ht="15.75" customHeight="1">
      <c r="P4691" s="25"/>
      <c r="Q4691" s="25"/>
      <c r="R4691" s="25"/>
      <c r="S4691" s="25"/>
      <c r="T4691" s="141"/>
      <c r="U4691" s="28"/>
    </row>
    <row r="4692" ht="15.75" customHeight="1">
      <c r="P4692" s="25"/>
      <c r="Q4692" s="25"/>
      <c r="R4692" s="25"/>
      <c r="S4692" s="25"/>
      <c r="T4692" s="141"/>
      <c r="U4692" s="28"/>
    </row>
    <row r="4693" ht="15.75" customHeight="1">
      <c r="P4693" s="25"/>
      <c r="Q4693" s="25"/>
      <c r="R4693" s="25"/>
      <c r="S4693" s="25"/>
      <c r="T4693" s="141"/>
      <c r="U4693" s="28"/>
    </row>
    <row r="4694" ht="15.75" customHeight="1">
      <c r="P4694" s="25"/>
      <c r="Q4694" s="25"/>
      <c r="R4694" s="25"/>
      <c r="S4694" s="25"/>
      <c r="T4694" s="141"/>
      <c r="U4694" s="28"/>
    </row>
    <row r="4695" ht="15.75" customHeight="1">
      <c r="P4695" s="25"/>
      <c r="Q4695" s="25"/>
      <c r="R4695" s="25"/>
      <c r="S4695" s="25"/>
      <c r="T4695" s="141"/>
      <c r="U4695" s="28"/>
    </row>
    <row r="4696" ht="15.75" customHeight="1">
      <c r="P4696" s="25"/>
      <c r="Q4696" s="25"/>
      <c r="R4696" s="25"/>
      <c r="S4696" s="25"/>
      <c r="T4696" s="141"/>
      <c r="U4696" s="28"/>
    </row>
    <row r="4697" ht="15.75" customHeight="1">
      <c r="P4697" s="25"/>
      <c r="Q4697" s="25"/>
      <c r="R4697" s="25"/>
      <c r="S4697" s="25"/>
      <c r="T4697" s="141"/>
      <c r="U4697" s="28"/>
    </row>
    <row r="4698" ht="15.75" customHeight="1">
      <c r="P4698" s="25"/>
      <c r="Q4698" s="25"/>
      <c r="R4698" s="25"/>
      <c r="S4698" s="25"/>
      <c r="T4698" s="141"/>
      <c r="U4698" s="28"/>
    </row>
    <row r="4699" ht="15.75" customHeight="1">
      <c r="P4699" s="25"/>
      <c r="Q4699" s="25"/>
      <c r="R4699" s="25"/>
      <c r="S4699" s="25"/>
      <c r="T4699" s="141"/>
      <c r="U4699" s="28"/>
    </row>
    <row r="4700" ht="15.75" customHeight="1">
      <c r="P4700" s="25"/>
      <c r="Q4700" s="25"/>
      <c r="R4700" s="25"/>
      <c r="S4700" s="25"/>
      <c r="T4700" s="141"/>
      <c r="U4700" s="28"/>
    </row>
    <row r="4701" ht="15.75" customHeight="1">
      <c r="P4701" s="25"/>
      <c r="Q4701" s="25"/>
      <c r="R4701" s="25"/>
      <c r="S4701" s="25"/>
      <c r="T4701" s="141"/>
      <c r="U4701" s="28"/>
    </row>
    <row r="4702" ht="15.75" customHeight="1">
      <c r="P4702" s="25"/>
      <c r="Q4702" s="25"/>
      <c r="R4702" s="25"/>
      <c r="S4702" s="25"/>
      <c r="T4702" s="141"/>
      <c r="U4702" s="28"/>
    </row>
    <row r="4703" ht="15.75" customHeight="1">
      <c r="P4703" s="25"/>
      <c r="Q4703" s="25"/>
      <c r="R4703" s="25"/>
      <c r="S4703" s="25"/>
      <c r="T4703" s="141"/>
      <c r="U4703" s="28"/>
    </row>
    <row r="4704" ht="15.75" customHeight="1">
      <c r="P4704" s="25"/>
      <c r="Q4704" s="25"/>
      <c r="R4704" s="25"/>
      <c r="S4704" s="25"/>
      <c r="T4704" s="141"/>
      <c r="U4704" s="28"/>
    </row>
    <row r="4705" ht="15.75" customHeight="1">
      <c r="P4705" s="25"/>
      <c r="Q4705" s="25"/>
      <c r="R4705" s="25"/>
      <c r="S4705" s="25"/>
      <c r="T4705" s="141"/>
      <c r="U4705" s="28"/>
    </row>
    <row r="4706" ht="15.75" customHeight="1">
      <c r="P4706" s="25"/>
      <c r="Q4706" s="25"/>
      <c r="R4706" s="25"/>
      <c r="S4706" s="25"/>
      <c r="T4706" s="141"/>
      <c r="U4706" s="28"/>
    </row>
    <row r="4707" ht="15.75" customHeight="1">
      <c r="P4707" s="25"/>
      <c r="Q4707" s="25"/>
      <c r="R4707" s="25"/>
      <c r="S4707" s="25"/>
      <c r="T4707" s="141"/>
      <c r="U4707" s="28"/>
    </row>
    <row r="4708" ht="15.75" customHeight="1">
      <c r="P4708" s="25"/>
      <c r="Q4708" s="25"/>
      <c r="R4708" s="25"/>
      <c r="S4708" s="25"/>
      <c r="T4708" s="141"/>
      <c r="U4708" s="28"/>
    </row>
    <row r="4709" ht="15.75" customHeight="1">
      <c r="P4709" s="25"/>
      <c r="Q4709" s="25"/>
      <c r="R4709" s="25"/>
      <c r="S4709" s="25"/>
      <c r="T4709" s="141"/>
      <c r="U4709" s="28"/>
    </row>
    <row r="4710" ht="15.75" customHeight="1">
      <c r="P4710" s="25"/>
      <c r="Q4710" s="25"/>
      <c r="R4710" s="25"/>
      <c r="S4710" s="25"/>
      <c r="T4710" s="141"/>
      <c r="U4710" s="28"/>
    </row>
    <row r="4711" ht="15.75" customHeight="1">
      <c r="P4711" s="25"/>
      <c r="Q4711" s="25"/>
      <c r="R4711" s="25"/>
      <c r="S4711" s="25"/>
      <c r="T4711" s="141"/>
      <c r="U4711" s="28"/>
    </row>
    <row r="4712" ht="15.75" customHeight="1">
      <c r="P4712" s="25"/>
      <c r="Q4712" s="25"/>
      <c r="R4712" s="25"/>
      <c r="S4712" s="25"/>
      <c r="T4712" s="141"/>
      <c r="U4712" s="28"/>
    </row>
    <row r="4713" ht="15.75" customHeight="1">
      <c r="P4713" s="25"/>
      <c r="Q4713" s="25"/>
      <c r="R4713" s="25"/>
      <c r="S4713" s="25"/>
      <c r="T4713" s="141"/>
      <c r="U4713" s="28"/>
    </row>
    <row r="4714" ht="15.75" customHeight="1">
      <c r="P4714" s="25"/>
      <c r="Q4714" s="25"/>
      <c r="R4714" s="25"/>
      <c r="S4714" s="25"/>
      <c r="T4714" s="141"/>
      <c r="U4714" s="28"/>
    </row>
    <row r="4715" ht="15.75" customHeight="1">
      <c r="P4715" s="25"/>
      <c r="Q4715" s="25"/>
      <c r="R4715" s="25"/>
      <c r="S4715" s="25"/>
      <c r="T4715" s="141"/>
      <c r="U4715" s="28"/>
    </row>
    <row r="4716" ht="15.75" customHeight="1">
      <c r="P4716" s="25"/>
      <c r="Q4716" s="25"/>
      <c r="R4716" s="25"/>
      <c r="S4716" s="25"/>
      <c r="T4716" s="141"/>
      <c r="U4716" s="28"/>
    </row>
    <row r="4717" ht="15.75" customHeight="1">
      <c r="P4717" s="25"/>
      <c r="Q4717" s="25"/>
      <c r="R4717" s="25"/>
      <c r="S4717" s="25"/>
      <c r="T4717" s="141"/>
      <c r="U4717" s="28"/>
    </row>
    <row r="4718" ht="15.75" customHeight="1">
      <c r="P4718" s="25"/>
      <c r="Q4718" s="25"/>
      <c r="R4718" s="25"/>
      <c r="S4718" s="25"/>
      <c r="T4718" s="141"/>
      <c r="U4718" s="28"/>
    </row>
    <row r="4719" ht="15.75" customHeight="1">
      <c r="P4719" s="25"/>
      <c r="Q4719" s="25"/>
      <c r="R4719" s="25"/>
      <c r="S4719" s="25"/>
      <c r="T4719" s="141"/>
      <c r="U4719" s="28"/>
    </row>
    <row r="4720" ht="15.75" customHeight="1">
      <c r="P4720" s="25"/>
      <c r="Q4720" s="25"/>
      <c r="R4720" s="25"/>
      <c r="S4720" s="25"/>
      <c r="T4720" s="141"/>
      <c r="U4720" s="28"/>
    </row>
    <row r="4721" ht="15.75" customHeight="1">
      <c r="P4721" s="25"/>
      <c r="Q4721" s="25"/>
      <c r="R4721" s="25"/>
      <c r="S4721" s="25"/>
      <c r="T4721" s="141"/>
      <c r="U4721" s="28"/>
    </row>
    <row r="4722" ht="15.75" customHeight="1">
      <c r="P4722" s="25"/>
      <c r="Q4722" s="25"/>
      <c r="R4722" s="25"/>
      <c r="S4722" s="25"/>
      <c r="T4722" s="141"/>
      <c r="U4722" s="28"/>
    </row>
    <row r="4723" ht="15.75" customHeight="1">
      <c r="P4723" s="25"/>
      <c r="Q4723" s="25"/>
      <c r="R4723" s="25"/>
      <c r="S4723" s="25"/>
      <c r="T4723" s="141"/>
      <c r="U4723" s="28"/>
    </row>
    <row r="4724" ht="15.75" customHeight="1">
      <c r="P4724" s="25"/>
      <c r="Q4724" s="25"/>
      <c r="R4724" s="25"/>
      <c r="S4724" s="25"/>
      <c r="T4724" s="141"/>
      <c r="U4724" s="28"/>
    </row>
    <row r="4725" ht="15.75" customHeight="1">
      <c r="P4725" s="25"/>
      <c r="Q4725" s="25"/>
      <c r="R4725" s="25"/>
      <c r="S4725" s="25"/>
      <c r="T4725" s="141"/>
      <c r="U4725" s="28"/>
    </row>
    <row r="4726" ht="15.75" customHeight="1">
      <c r="P4726" s="25"/>
      <c r="Q4726" s="25"/>
      <c r="R4726" s="25"/>
      <c r="S4726" s="25"/>
      <c r="T4726" s="141"/>
      <c r="U4726" s="28"/>
    </row>
    <row r="4727" ht="15.75" customHeight="1">
      <c r="P4727" s="25"/>
      <c r="Q4727" s="25"/>
      <c r="R4727" s="25"/>
      <c r="S4727" s="25"/>
      <c r="T4727" s="141"/>
      <c r="U4727" s="28"/>
    </row>
    <row r="4728" ht="15.75" customHeight="1">
      <c r="P4728" s="25"/>
      <c r="Q4728" s="25"/>
      <c r="R4728" s="25"/>
      <c r="S4728" s="25"/>
      <c r="T4728" s="141"/>
      <c r="U4728" s="28"/>
    </row>
    <row r="4729" ht="15.75" customHeight="1">
      <c r="P4729" s="25"/>
      <c r="Q4729" s="25"/>
      <c r="R4729" s="25"/>
      <c r="S4729" s="25"/>
      <c r="T4729" s="141"/>
      <c r="U4729" s="28"/>
    </row>
    <row r="4730" ht="15.75" customHeight="1">
      <c r="P4730" s="25"/>
      <c r="Q4730" s="25"/>
      <c r="R4730" s="25"/>
      <c r="S4730" s="25"/>
      <c r="T4730" s="141"/>
      <c r="U4730" s="28"/>
    </row>
    <row r="4731" ht="15.75" customHeight="1">
      <c r="P4731" s="25"/>
      <c r="Q4731" s="25"/>
      <c r="R4731" s="25"/>
      <c r="S4731" s="25"/>
      <c r="T4731" s="141"/>
      <c r="U4731" s="28"/>
    </row>
    <row r="4732" ht="15.75" customHeight="1">
      <c r="P4732" s="25"/>
      <c r="Q4732" s="25"/>
      <c r="R4732" s="25"/>
      <c r="S4732" s="25"/>
      <c r="T4732" s="141"/>
      <c r="U4732" s="28"/>
    </row>
    <row r="4733" ht="15.75" customHeight="1">
      <c r="P4733" s="25"/>
      <c r="Q4733" s="25"/>
      <c r="R4733" s="25"/>
      <c r="S4733" s="25"/>
      <c r="T4733" s="141"/>
      <c r="U4733" s="28"/>
    </row>
    <row r="4734" ht="15.75" customHeight="1">
      <c r="P4734" s="25"/>
      <c r="Q4734" s="25"/>
      <c r="R4734" s="25"/>
      <c r="S4734" s="25"/>
      <c r="T4734" s="141"/>
      <c r="U4734" s="28"/>
    </row>
    <row r="4735" ht="15.75" customHeight="1">
      <c r="P4735" s="25"/>
      <c r="Q4735" s="25"/>
      <c r="R4735" s="25"/>
      <c r="S4735" s="25"/>
      <c r="T4735" s="141"/>
      <c r="U4735" s="28"/>
    </row>
    <row r="4736" ht="15.75" customHeight="1">
      <c r="P4736" s="25"/>
      <c r="Q4736" s="25"/>
      <c r="R4736" s="25"/>
      <c r="S4736" s="25"/>
      <c r="T4736" s="141"/>
      <c r="U4736" s="28"/>
    </row>
    <row r="4737" ht="15.75" customHeight="1">
      <c r="P4737" s="25"/>
      <c r="Q4737" s="25"/>
      <c r="R4737" s="25"/>
      <c r="S4737" s="25"/>
      <c r="T4737" s="141"/>
      <c r="U4737" s="28"/>
    </row>
    <row r="4738" ht="15.75" customHeight="1">
      <c r="P4738" s="25"/>
      <c r="Q4738" s="25"/>
      <c r="R4738" s="25"/>
      <c r="S4738" s="25"/>
      <c r="T4738" s="141"/>
      <c r="U4738" s="28"/>
    </row>
    <row r="4739" ht="15.75" customHeight="1">
      <c r="P4739" s="25"/>
      <c r="Q4739" s="25"/>
      <c r="R4739" s="25"/>
      <c r="S4739" s="25"/>
      <c r="T4739" s="141"/>
      <c r="U4739" s="28"/>
    </row>
    <row r="4740" ht="15.75" customHeight="1">
      <c r="P4740" s="25"/>
      <c r="Q4740" s="25"/>
      <c r="R4740" s="25"/>
      <c r="S4740" s="25"/>
      <c r="T4740" s="141"/>
      <c r="U4740" s="28"/>
    </row>
    <row r="4741" ht="15.75" customHeight="1">
      <c r="P4741" s="25"/>
      <c r="Q4741" s="25"/>
      <c r="R4741" s="25"/>
      <c r="S4741" s="25"/>
      <c r="T4741" s="141"/>
      <c r="U4741" s="28"/>
    </row>
    <row r="4742" ht="15.75" customHeight="1">
      <c r="P4742" s="25"/>
      <c r="Q4742" s="25"/>
      <c r="R4742" s="25"/>
      <c r="S4742" s="25"/>
      <c r="T4742" s="141"/>
      <c r="U4742" s="28"/>
    </row>
    <row r="4743" ht="15.75" customHeight="1">
      <c r="P4743" s="25"/>
      <c r="Q4743" s="25"/>
      <c r="R4743" s="25"/>
      <c r="S4743" s="25"/>
      <c r="T4743" s="141"/>
      <c r="U4743" s="28"/>
    </row>
    <row r="4744" ht="15.75" customHeight="1">
      <c r="P4744" s="25"/>
      <c r="Q4744" s="25"/>
      <c r="R4744" s="25"/>
      <c r="S4744" s="25"/>
      <c r="T4744" s="141"/>
      <c r="U4744" s="28"/>
    </row>
    <row r="4745" ht="15.75" customHeight="1">
      <c r="P4745" s="25"/>
      <c r="Q4745" s="25"/>
      <c r="R4745" s="25"/>
      <c r="S4745" s="25"/>
      <c r="T4745" s="141"/>
      <c r="U4745" s="28"/>
    </row>
    <row r="4746" ht="15.75" customHeight="1">
      <c r="P4746" s="25"/>
      <c r="Q4746" s="25"/>
      <c r="R4746" s="25"/>
      <c r="S4746" s="25"/>
      <c r="T4746" s="141"/>
      <c r="U4746" s="28"/>
    </row>
    <row r="4747" ht="15.75" customHeight="1">
      <c r="P4747" s="25"/>
      <c r="Q4747" s="25"/>
      <c r="R4747" s="25"/>
      <c r="S4747" s="25"/>
      <c r="T4747" s="141"/>
      <c r="U4747" s="28"/>
    </row>
    <row r="4748" ht="15.75" customHeight="1">
      <c r="P4748" s="25"/>
      <c r="Q4748" s="25"/>
      <c r="R4748" s="25"/>
      <c r="S4748" s="25"/>
      <c r="T4748" s="141"/>
      <c r="U4748" s="28"/>
    </row>
    <row r="4749" ht="15.75" customHeight="1">
      <c r="P4749" s="25"/>
      <c r="Q4749" s="25"/>
      <c r="R4749" s="25"/>
      <c r="S4749" s="25"/>
      <c r="T4749" s="141"/>
      <c r="U4749" s="28"/>
    </row>
    <row r="4750" ht="15.75" customHeight="1">
      <c r="P4750" s="25"/>
      <c r="Q4750" s="25"/>
      <c r="R4750" s="25"/>
      <c r="S4750" s="25"/>
      <c r="T4750" s="141"/>
      <c r="U4750" s="28"/>
    </row>
    <row r="4751" ht="15.75" customHeight="1">
      <c r="P4751" s="25"/>
      <c r="Q4751" s="25"/>
      <c r="R4751" s="25"/>
      <c r="S4751" s="25"/>
      <c r="T4751" s="141"/>
      <c r="U4751" s="28"/>
    </row>
    <row r="4752" ht="15.75" customHeight="1">
      <c r="P4752" s="25"/>
      <c r="Q4752" s="25"/>
      <c r="R4752" s="25"/>
      <c r="S4752" s="25"/>
      <c r="T4752" s="141"/>
      <c r="U4752" s="28"/>
    </row>
    <row r="4753" ht="15.75" customHeight="1">
      <c r="P4753" s="25"/>
      <c r="Q4753" s="25"/>
      <c r="R4753" s="25"/>
      <c r="S4753" s="25"/>
      <c r="T4753" s="141"/>
      <c r="U4753" s="28"/>
    </row>
    <row r="4754" ht="15.75" customHeight="1">
      <c r="P4754" s="25"/>
      <c r="Q4754" s="25"/>
      <c r="R4754" s="25"/>
      <c r="S4754" s="25"/>
      <c r="T4754" s="141"/>
      <c r="U4754" s="28"/>
    </row>
    <row r="4755" ht="15.75" customHeight="1">
      <c r="P4755" s="25"/>
      <c r="Q4755" s="25"/>
      <c r="R4755" s="25"/>
      <c r="S4755" s="25"/>
      <c r="T4755" s="141"/>
      <c r="U4755" s="28"/>
    </row>
    <row r="4756" ht="15.75" customHeight="1">
      <c r="P4756" s="25"/>
      <c r="Q4756" s="25"/>
      <c r="R4756" s="25"/>
      <c r="S4756" s="25"/>
      <c r="T4756" s="141"/>
      <c r="U4756" s="28"/>
    </row>
    <row r="4757" ht="15.75" customHeight="1">
      <c r="P4757" s="25"/>
      <c r="Q4757" s="25"/>
      <c r="R4757" s="25"/>
      <c r="S4757" s="25"/>
      <c r="T4757" s="141"/>
      <c r="U4757" s="28"/>
    </row>
    <row r="4758" ht="15.75" customHeight="1">
      <c r="P4758" s="25"/>
      <c r="Q4758" s="25"/>
      <c r="R4758" s="25"/>
      <c r="S4758" s="25"/>
      <c r="T4758" s="141"/>
      <c r="U4758" s="28"/>
    </row>
    <row r="4759" ht="15.75" customHeight="1">
      <c r="P4759" s="25"/>
      <c r="Q4759" s="25"/>
      <c r="R4759" s="25"/>
      <c r="S4759" s="25"/>
      <c r="T4759" s="141"/>
      <c r="U4759" s="28"/>
    </row>
    <row r="4760" ht="15.75" customHeight="1">
      <c r="P4760" s="25"/>
      <c r="Q4760" s="25"/>
      <c r="R4760" s="25"/>
      <c r="S4760" s="25"/>
      <c r="T4760" s="141"/>
      <c r="U4760" s="28"/>
    </row>
    <row r="4761" ht="15.75" customHeight="1">
      <c r="P4761" s="25"/>
      <c r="Q4761" s="25"/>
      <c r="R4761" s="25"/>
      <c r="S4761" s="25"/>
      <c r="T4761" s="141"/>
      <c r="U4761" s="28"/>
    </row>
    <row r="4762" ht="15.75" customHeight="1">
      <c r="P4762" s="25"/>
      <c r="Q4762" s="25"/>
      <c r="R4762" s="25"/>
      <c r="S4762" s="25"/>
      <c r="T4762" s="141"/>
      <c r="U4762" s="28"/>
    </row>
    <row r="4763" ht="15.75" customHeight="1">
      <c r="P4763" s="25"/>
      <c r="Q4763" s="25"/>
      <c r="R4763" s="25"/>
      <c r="S4763" s="25"/>
      <c r="T4763" s="141"/>
      <c r="U4763" s="28"/>
    </row>
    <row r="4764" ht="15.75" customHeight="1">
      <c r="P4764" s="25"/>
      <c r="Q4764" s="25"/>
      <c r="R4764" s="25"/>
      <c r="S4764" s="25"/>
      <c r="T4764" s="141"/>
      <c r="U4764" s="28"/>
    </row>
    <row r="4765" ht="15.75" customHeight="1">
      <c r="P4765" s="25"/>
      <c r="Q4765" s="25"/>
      <c r="R4765" s="25"/>
      <c r="S4765" s="25"/>
      <c r="T4765" s="141"/>
      <c r="U4765" s="28"/>
    </row>
    <row r="4766" ht="15.75" customHeight="1">
      <c r="P4766" s="25"/>
      <c r="Q4766" s="25"/>
      <c r="R4766" s="25"/>
      <c r="S4766" s="25"/>
      <c r="T4766" s="141"/>
      <c r="U4766" s="28"/>
    </row>
    <row r="4767" ht="15.75" customHeight="1">
      <c r="P4767" s="25"/>
      <c r="Q4767" s="25"/>
      <c r="R4767" s="25"/>
      <c r="S4767" s="25"/>
      <c r="T4767" s="141"/>
      <c r="U4767" s="28"/>
    </row>
    <row r="4768" ht="15.75" customHeight="1">
      <c r="P4768" s="25"/>
      <c r="Q4768" s="25"/>
      <c r="R4768" s="25"/>
      <c r="S4768" s="25"/>
      <c r="T4768" s="141"/>
      <c r="U4768" s="28"/>
    </row>
    <row r="4769" ht="15.75" customHeight="1">
      <c r="P4769" s="25"/>
      <c r="Q4769" s="25"/>
      <c r="R4769" s="25"/>
      <c r="S4769" s="25"/>
      <c r="T4769" s="141"/>
      <c r="U4769" s="28"/>
    </row>
    <row r="4770" ht="15.75" customHeight="1">
      <c r="P4770" s="25"/>
      <c r="Q4770" s="25"/>
      <c r="R4770" s="25"/>
      <c r="S4770" s="25"/>
      <c r="T4770" s="141"/>
      <c r="U4770" s="28"/>
    </row>
    <row r="4771" ht="15.75" customHeight="1">
      <c r="P4771" s="25"/>
      <c r="Q4771" s="25"/>
      <c r="R4771" s="25"/>
      <c r="S4771" s="25"/>
      <c r="T4771" s="141"/>
      <c r="U4771" s="28"/>
    </row>
    <row r="4772" ht="15.75" customHeight="1">
      <c r="P4772" s="25"/>
      <c r="Q4772" s="25"/>
      <c r="R4772" s="25"/>
      <c r="S4772" s="25"/>
      <c r="T4772" s="141"/>
      <c r="U4772" s="28"/>
    </row>
    <row r="4773" ht="15.75" customHeight="1">
      <c r="P4773" s="25"/>
      <c r="Q4773" s="25"/>
      <c r="R4773" s="25"/>
      <c r="S4773" s="25"/>
      <c r="T4773" s="141"/>
      <c r="U4773" s="28"/>
    </row>
    <row r="4774" ht="15.75" customHeight="1">
      <c r="P4774" s="25"/>
      <c r="Q4774" s="25"/>
      <c r="R4774" s="25"/>
      <c r="S4774" s="25"/>
      <c r="T4774" s="141"/>
      <c r="U4774" s="28"/>
    </row>
    <row r="4775" ht="15.75" customHeight="1">
      <c r="P4775" s="25"/>
      <c r="Q4775" s="25"/>
      <c r="R4775" s="25"/>
      <c r="S4775" s="25"/>
      <c r="T4775" s="141"/>
      <c r="U4775" s="28"/>
    </row>
    <row r="4776" ht="15.75" customHeight="1">
      <c r="P4776" s="25"/>
      <c r="Q4776" s="25"/>
      <c r="R4776" s="25"/>
      <c r="S4776" s="25"/>
      <c r="T4776" s="141"/>
      <c r="U4776" s="28"/>
    </row>
    <row r="4777" ht="15.75" customHeight="1">
      <c r="P4777" s="25"/>
      <c r="Q4777" s="25"/>
      <c r="R4777" s="25"/>
      <c r="S4777" s="25"/>
      <c r="T4777" s="141"/>
      <c r="U4777" s="28"/>
    </row>
    <row r="4778" ht="15.75" customHeight="1">
      <c r="P4778" s="25"/>
      <c r="Q4778" s="25"/>
      <c r="R4778" s="25"/>
      <c r="S4778" s="25"/>
      <c r="T4778" s="141"/>
      <c r="U4778" s="28"/>
    </row>
    <row r="4779" ht="15.75" customHeight="1">
      <c r="P4779" s="25"/>
      <c r="Q4779" s="25"/>
      <c r="R4779" s="25"/>
      <c r="S4779" s="25"/>
      <c r="T4779" s="141"/>
      <c r="U4779" s="28"/>
    </row>
    <row r="4780" ht="15.75" customHeight="1">
      <c r="P4780" s="25"/>
      <c r="Q4780" s="25"/>
      <c r="R4780" s="25"/>
      <c r="S4780" s="25"/>
      <c r="T4780" s="141"/>
      <c r="U4780" s="28"/>
    </row>
    <row r="4781" ht="15.75" customHeight="1">
      <c r="P4781" s="25"/>
      <c r="Q4781" s="25"/>
      <c r="R4781" s="25"/>
      <c r="S4781" s="25"/>
      <c r="T4781" s="141"/>
      <c r="U4781" s="28"/>
    </row>
    <row r="4782" ht="15.75" customHeight="1">
      <c r="P4782" s="25"/>
      <c r="Q4782" s="25"/>
      <c r="R4782" s="25"/>
      <c r="S4782" s="25"/>
      <c r="T4782" s="141"/>
      <c r="U4782" s="28"/>
    </row>
    <row r="4783" ht="15.75" customHeight="1">
      <c r="P4783" s="25"/>
      <c r="Q4783" s="25"/>
      <c r="R4783" s="25"/>
      <c r="S4783" s="25"/>
      <c r="T4783" s="141"/>
      <c r="U4783" s="28"/>
    </row>
    <row r="4784" ht="15.75" customHeight="1">
      <c r="P4784" s="25"/>
      <c r="Q4784" s="25"/>
      <c r="R4784" s="25"/>
      <c r="S4784" s="25"/>
      <c r="T4784" s="141"/>
      <c r="U4784" s="28"/>
    </row>
    <row r="4785" ht="15.75" customHeight="1">
      <c r="P4785" s="25"/>
      <c r="Q4785" s="25"/>
      <c r="R4785" s="25"/>
      <c r="S4785" s="25"/>
      <c r="T4785" s="141"/>
      <c r="U4785" s="28"/>
    </row>
    <row r="4786" ht="15.75" customHeight="1">
      <c r="P4786" s="25"/>
      <c r="Q4786" s="25"/>
      <c r="R4786" s="25"/>
      <c r="S4786" s="25"/>
      <c r="T4786" s="141"/>
      <c r="U4786" s="28"/>
    </row>
    <row r="4787" ht="15.75" customHeight="1">
      <c r="P4787" s="25"/>
      <c r="Q4787" s="25"/>
      <c r="R4787" s="25"/>
      <c r="S4787" s="25"/>
      <c r="T4787" s="141"/>
      <c r="U4787" s="28"/>
    </row>
    <row r="4788" ht="15.75" customHeight="1">
      <c r="P4788" s="25"/>
      <c r="Q4788" s="25"/>
      <c r="R4788" s="25"/>
      <c r="S4788" s="25"/>
      <c r="T4788" s="141"/>
      <c r="U4788" s="28"/>
    </row>
    <row r="4789" ht="15.75" customHeight="1">
      <c r="P4789" s="25"/>
      <c r="Q4789" s="25"/>
      <c r="R4789" s="25"/>
      <c r="S4789" s="25"/>
      <c r="T4789" s="141"/>
      <c r="U4789" s="28"/>
    </row>
    <row r="4790" ht="15.75" customHeight="1">
      <c r="P4790" s="25"/>
      <c r="Q4790" s="25"/>
      <c r="R4790" s="25"/>
      <c r="S4790" s="25"/>
      <c r="T4790" s="141"/>
      <c r="U4790" s="28"/>
    </row>
    <row r="4791" ht="15.75" customHeight="1">
      <c r="P4791" s="25"/>
      <c r="Q4791" s="25"/>
      <c r="R4791" s="25"/>
      <c r="S4791" s="25"/>
      <c r="T4791" s="141"/>
      <c r="U4791" s="28"/>
    </row>
    <row r="4792" ht="15.75" customHeight="1">
      <c r="P4792" s="25"/>
      <c r="Q4792" s="25"/>
      <c r="R4792" s="25"/>
      <c r="S4792" s="25"/>
      <c r="T4792" s="141"/>
      <c r="U4792" s="28"/>
    </row>
    <row r="4793" ht="15.75" customHeight="1">
      <c r="P4793" s="25"/>
      <c r="Q4793" s="25"/>
      <c r="R4793" s="25"/>
      <c r="S4793" s="25"/>
      <c r="T4793" s="141"/>
      <c r="U4793" s="28"/>
    </row>
    <row r="4794" ht="15.75" customHeight="1">
      <c r="P4794" s="25"/>
      <c r="Q4794" s="25"/>
      <c r="R4794" s="25"/>
      <c r="S4794" s="25"/>
      <c r="T4794" s="141"/>
      <c r="U4794" s="28"/>
    </row>
    <row r="4795" ht="15.75" customHeight="1">
      <c r="P4795" s="25"/>
      <c r="Q4795" s="25"/>
      <c r="R4795" s="25"/>
      <c r="S4795" s="25"/>
      <c r="T4795" s="141"/>
      <c r="U4795" s="28"/>
    </row>
    <row r="4796" ht="15.75" customHeight="1">
      <c r="P4796" s="25"/>
      <c r="Q4796" s="25"/>
      <c r="R4796" s="25"/>
      <c r="S4796" s="25"/>
      <c r="T4796" s="141"/>
      <c r="U4796" s="28"/>
    </row>
    <row r="4797" ht="15.75" customHeight="1">
      <c r="P4797" s="25"/>
      <c r="Q4797" s="25"/>
      <c r="R4797" s="25"/>
      <c r="S4797" s="25"/>
      <c r="T4797" s="141"/>
      <c r="U4797" s="28"/>
    </row>
    <row r="4798" ht="15.75" customHeight="1">
      <c r="P4798" s="25"/>
      <c r="Q4798" s="25"/>
      <c r="R4798" s="25"/>
      <c r="S4798" s="25"/>
      <c r="T4798" s="141"/>
      <c r="U4798" s="28"/>
    </row>
    <row r="4799" ht="15.75" customHeight="1">
      <c r="P4799" s="25"/>
      <c r="Q4799" s="25"/>
      <c r="R4799" s="25"/>
      <c r="S4799" s="25"/>
      <c r="T4799" s="141"/>
      <c r="U4799" s="28"/>
    </row>
    <row r="4800" ht="15.75" customHeight="1">
      <c r="P4800" s="25"/>
      <c r="Q4800" s="25"/>
      <c r="R4800" s="25"/>
      <c r="S4800" s="25"/>
      <c r="T4800" s="141"/>
      <c r="U4800" s="28"/>
    </row>
    <row r="4801" ht="15.75" customHeight="1">
      <c r="P4801" s="25"/>
      <c r="Q4801" s="25"/>
      <c r="R4801" s="25"/>
      <c r="S4801" s="25"/>
      <c r="T4801" s="141"/>
      <c r="U4801" s="28"/>
    </row>
    <row r="4802" ht="15.75" customHeight="1">
      <c r="P4802" s="25"/>
      <c r="Q4802" s="25"/>
      <c r="R4802" s="25"/>
      <c r="S4802" s="25"/>
      <c r="T4802" s="141"/>
      <c r="U4802" s="28"/>
    </row>
    <row r="4803" ht="15.75" customHeight="1">
      <c r="P4803" s="25"/>
      <c r="Q4803" s="25"/>
      <c r="R4803" s="25"/>
      <c r="S4803" s="25"/>
      <c r="T4803" s="141"/>
      <c r="U4803" s="28"/>
    </row>
    <row r="4804" ht="15.75" customHeight="1">
      <c r="P4804" s="25"/>
      <c r="Q4804" s="25"/>
      <c r="R4804" s="25"/>
      <c r="S4804" s="25"/>
      <c r="T4804" s="141"/>
      <c r="U4804" s="28"/>
    </row>
    <row r="4805" ht="15.75" customHeight="1">
      <c r="P4805" s="25"/>
      <c r="Q4805" s="25"/>
      <c r="R4805" s="25"/>
      <c r="S4805" s="25"/>
      <c r="T4805" s="141"/>
      <c r="U4805" s="28"/>
    </row>
    <row r="4806" ht="15.75" customHeight="1">
      <c r="P4806" s="25"/>
      <c r="Q4806" s="25"/>
      <c r="R4806" s="25"/>
      <c r="S4806" s="25"/>
      <c r="T4806" s="141"/>
      <c r="U4806" s="28"/>
    </row>
    <row r="4807" ht="15.75" customHeight="1">
      <c r="P4807" s="25"/>
      <c r="Q4807" s="25"/>
      <c r="R4807" s="25"/>
      <c r="S4807" s="25"/>
      <c r="T4807" s="141"/>
      <c r="U4807" s="28"/>
    </row>
    <row r="4808" ht="15.75" customHeight="1">
      <c r="P4808" s="25"/>
      <c r="Q4808" s="25"/>
      <c r="R4808" s="25"/>
      <c r="S4808" s="25"/>
      <c r="T4808" s="141"/>
      <c r="U4808" s="28"/>
    </row>
    <row r="4809" ht="15.75" customHeight="1">
      <c r="P4809" s="25"/>
      <c r="Q4809" s="25"/>
      <c r="R4809" s="25"/>
      <c r="S4809" s="25"/>
      <c r="T4809" s="141"/>
      <c r="U4809" s="28"/>
    </row>
    <row r="4810" ht="15.75" customHeight="1">
      <c r="P4810" s="25"/>
      <c r="Q4810" s="25"/>
      <c r="R4810" s="25"/>
      <c r="S4810" s="25"/>
      <c r="T4810" s="141"/>
      <c r="U4810" s="28"/>
    </row>
    <row r="4811" ht="15.75" customHeight="1">
      <c r="P4811" s="25"/>
      <c r="Q4811" s="25"/>
      <c r="R4811" s="25"/>
      <c r="S4811" s="25"/>
      <c r="T4811" s="141"/>
      <c r="U4811" s="28"/>
    </row>
    <row r="4812" ht="15.75" customHeight="1">
      <c r="P4812" s="25"/>
      <c r="Q4812" s="25"/>
      <c r="R4812" s="25"/>
      <c r="S4812" s="25"/>
      <c r="T4812" s="141"/>
      <c r="U4812" s="28"/>
    </row>
    <row r="4813" ht="15.75" customHeight="1">
      <c r="P4813" s="25"/>
      <c r="Q4813" s="25"/>
      <c r="R4813" s="25"/>
      <c r="S4813" s="25"/>
      <c r="T4813" s="141"/>
      <c r="U4813" s="28"/>
    </row>
    <row r="4814" ht="15.75" customHeight="1">
      <c r="P4814" s="25"/>
      <c r="Q4814" s="25"/>
      <c r="R4814" s="25"/>
      <c r="S4814" s="25"/>
      <c r="T4814" s="141"/>
      <c r="U4814" s="28"/>
    </row>
    <row r="4815" ht="15.75" customHeight="1">
      <c r="P4815" s="25"/>
      <c r="Q4815" s="25"/>
      <c r="R4815" s="25"/>
      <c r="S4815" s="25"/>
      <c r="T4815" s="141"/>
      <c r="U4815" s="28"/>
    </row>
    <row r="4816" ht="15.75" customHeight="1">
      <c r="P4816" s="25"/>
      <c r="Q4816" s="25"/>
      <c r="R4816" s="25"/>
      <c r="S4816" s="25"/>
      <c r="T4816" s="141"/>
      <c r="U4816" s="28"/>
    </row>
    <row r="4817" ht="15.75" customHeight="1">
      <c r="P4817" s="25"/>
      <c r="Q4817" s="25"/>
      <c r="R4817" s="25"/>
      <c r="S4817" s="25"/>
      <c r="T4817" s="141"/>
      <c r="U4817" s="28"/>
    </row>
    <row r="4818" ht="15.75" customHeight="1">
      <c r="P4818" s="25"/>
      <c r="Q4818" s="25"/>
      <c r="R4818" s="25"/>
      <c r="S4818" s="25"/>
      <c r="T4818" s="141"/>
      <c r="U4818" s="28"/>
    </row>
    <row r="4819" ht="15.75" customHeight="1">
      <c r="P4819" s="25"/>
      <c r="Q4819" s="25"/>
      <c r="R4819" s="25"/>
      <c r="S4819" s="25"/>
      <c r="T4819" s="141"/>
      <c r="U4819" s="28"/>
    </row>
    <row r="4820" ht="15.75" customHeight="1">
      <c r="P4820" s="25"/>
      <c r="Q4820" s="25"/>
      <c r="R4820" s="25"/>
      <c r="S4820" s="25"/>
      <c r="T4820" s="141"/>
      <c r="U4820" s="28"/>
    </row>
    <row r="4821" ht="15.75" customHeight="1">
      <c r="P4821" s="25"/>
      <c r="Q4821" s="25"/>
      <c r="R4821" s="25"/>
      <c r="S4821" s="25"/>
      <c r="T4821" s="141"/>
      <c r="U4821" s="28"/>
    </row>
    <row r="4822" ht="15.75" customHeight="1">
      <c r="P4822" s="25"/>
      <c r="Q4822" s="25"/>
      <c r="R4822" s="25"/>
      <c r="S4822" s="25"/>
      <c r="T4822" s="141"/>
      <c r="U4822" s="28"/>
    </row>
    <row r="4823" ht="15.75" customHeight="1">
      <c r="P4823" s="25"/>
      <c r="Q4823" s="25"/>
      <c r="R4823" s="25"/>
      <c r="S4823" s="25"/>
      <c r="T4823" s="141"/>
      <c r="U4823" s="28"/>
    </row>
    <row r="4824" ht="15.75" customHeight="1">
      <c r="P4824" s="25"/>
      <c r="Q4824" s="25"/>
      <c r="R4824" s="25"/>
      <c r="S4824" s="25"/>
      <c r="T4824" s="141"/>
      <c r="U4824" s="28"/>
    </row>
    <row r="4825" ht="15.75" customHeight="1">
      <c r="P4825" s="25"/>
      <c r="Q4825" s="25"/>
      <c r="R4825" s="25"/>
      <c r="S4825" s="25"/>
      <c r="T4825" s="141"/>
      <c r="U4825" s="28"/>
    </row>
    <row r="4826" ht="15.75" customHeight="1">
      <c r="P4826" s="25"/>
      <c r="Q4826" s="25"/>
      <c r="R4826" s="25"/>
      <c r="S4826" s="25"/>
      <c r="T4826" s="141"/>
      <c r="U4826" s="28"/>
    </row>
    <row r="4827" ht="15.75" customHeight="1">
      <c r="P4827" s="25"/>
      <c r="Q4827" s="25"/>
      <c r="R4827" s="25"/>
      <c r="S4827" s="25"/>
      <c r="T4827" s="141"/>
      <c r="U4827" s="28"/>
    </row>
    <row r="4828" ht="15.75" customHeight="1">
      <c r="P4828" s="25"/>
      <c r="Q4828" s="25"/>
      <c r="R4828" s="25"/>
      <c r="S4828" s="25"/>
      <c r="T4828" s="141"/>
      <c r="U4828" s="28"/>
    </row>
    <row r="4829" ht="15.75" customHeight="1">
      <c r="P4829" s="25"/>
      <c r="Q4829" s="25"/>
      <c r="R4829" s="25"/>
      <c r="S4829" s="25"/>
      <c r="T4829" s="141"/>
      <c r="U4829" s="28"/>
    </row>
    <row r="4830" ht="15.75" customHeight="1">
      <c r="P4830" s="25"/>
      <c r="Q4830" s="25"/>
      <c r="R4830" s="25"/>
      <c r="S4830" s="25"/>
      <c r="T4830" s="141"/>
      <c r="U4830" s="28"/>
    </row>
    <row r="4831" ht="15.75" customHeight="1">
      <c r="P4831" s="25"/>
      <c r="Q4831" s="25"/>
      <c r="R4831" s="25"/>
      <c r="S4831" s="25"/>
      <c r="T4831" s="141"/>
      <c r="U4831" s="28"/>
    </row>
    <row r="4832" ht="15.75" customHeight="1">
      <c r="P4832" s="25"/>
      <c r="Q4832" s="25"/>
      <c r="R4832" s="25"/>
      <c r="S4832" s="25"/>
      <c r="T4832" s="141"/>
      <c r="U4832" s="28"/>
    </row>
    <row r="4833" ht="15.75" customHeight="1">
      <c r="P4833" s="25"/>
      <c r="Q4833" s="25"/>
      <c r="R4833" s="25"/>
      <c r="S4833" s="25"/>
      <c r="T4833" s="141"/>
      <c r="U4833" s="28"/>
    </row>
    <row r="4834" ht="15.75" customHeight="1">
      <c r="P4834" s="25"/>
      <c r="Q4834" s="25"/>
      <c r="R4834" s="25"/>
      <c r="S4834" s="25"/>
      <c r="T4834" s="141"/>
      <c r="U4834" s="28"/>
    </row>
    <row r="4835" ht="15.75" customHeight="1">
      <c r="P4835" s="25"/>
      <c r="Q4835" s="25"/>
      <c r="R4835" s="25"/>
      <c r="S4835" s="25"/>
      <c r="T4835" s="141"/>
      <c r="U4835" s="28"/>
    </row>
    <row r="4836" ht="15.75" customHeight="1">
      <c r="P4836" s="25"/>
      <c r="Q4836" s="25"/>
      <c r="R4836" s="25"/>
      <c r="S4836" s="25"/>
      <c r="T4836" s="141"/>
      <c r="U4836" s="28"/>
    </row>
    <row r="4837" ht="15.75" customHeight="1">
      <c r="P4837" s="25"/>
      <c r="Q4837" s="25"/>
      <c r="R4837" s="25"/>
      <c r="S4837" s="25"/>
      <c r="T4837" s="141"/>
      <c r="U4837" s="28"/>
    </row>
    <row r="4838" ht="15.75" customHeight="1">
      <c r="P4838" s="25"/>
      <c r="Q4838" s="25"/>
      <c r="R4838" s="25"/>
      <c r="S4838" s="25"/>
      <c r="T4838" s="141"/>
      <c r="U4838" s="28"/>
    </row>
    <row r="4839" ht="15.75" customHeight="1">
      <c r="P4839" s="25"/>
      <c r="Q4839" s="25"/>
      <c r="R4839" s="25"/>
      <c r="S4839" s="25"/>
      <c r="T4839" s="141"/>
      <c r="U4839" s="28"/>
    </row>
    <row r="4840" ht="15.75" customHeight="1">
      <c r="P4840" s="25"/>
      <c r="Q4840" s="25"/>
      <c r="R4840" s="25"/>
      <c r="S4840" s="25"/>
      <c r="T4840" s="141"/>
      <c r="U4840" s="28"/>
    </row>
    <row r="4841" ht="15.75" customHeight="1">
      <c r="P4841" s="25"/>
      <c r="Q4841" s="25"/>
      <c r="R4841" s="25"/>
      <c r="S4841" s="25"/>
      <c r="T4841" s="141"/>
      <c r="U4841" s="28"/>
    </row>
    <row r="4842" ht="15.75" customHeight="1">
      <c r="P4842" s="25"/>
      <c r="Q4842" s="25"/>
      <c r="R4842" s="25"/>
      <c r="S4842" s="25"/>
      <c r="T4842" s="141"/>
      <c r="U4842" s="28"/>
    </row>
    <row r="4843" ht="15.75" customHeight="1">
      <c r="P4843" s="25"/>
      <c r="Q4843" s="25"/>
      <c r="R4843" s="25"/>
      <c r="S4843" s="25"/>
      <c r="T4843" s="141"/>
      <c r="U4843" s="28"/>
    </row>
    <row r="4844" ht="15.75" customHeight="1">
      <c r="P4844" s="25"/>
      <c r="Q4844" s="25"/>
      <c r="R4844" s="25"/>
      <c r="S4844" s="25"/>
      <c r="T4844" s="141"/>
      <c r="U4844" s="28"/>
    </row>
    <row r="4845" ht="15.75" customHeight="1">
      <c r="P4845" s="25"/>
      <c r="Q4845" s="25"/>
      <c r="R4845" s="25"/>
      <c r="S4845" s="25"/>
      <c r="T4845" s="141"/>
      <c r="U4845" s="28"/>
    </row>
    <row r="4846" ht="15.75" customHeight="1">
      <c r="P4846" s="25"/>
      <c r="Q4846" s="25"/>
      <c r="R4846" s="25"/>
      <c r="S4846" s="25"/>
      <c r="T4846" s="141"/>
      <c r="U4846" s="28"/>
    </row>
    <row r="4847" ht="15.75" customHeight="1">
      <c r="P4847" s="25"/>
      <c r="Q4847" s="25"/>
      <c r="R4847" s="25"/>
      <c r="S4847" s="25"/>
      <c r="T4847" s="141"/>
      <c r="U4847" s="28"/>
    </row>
    <row r="4848" ht="15.75" customHeight="1">
      <c r="P4848" s="25"/>
      <c r="Q4848" s="25"/>
      <c r="R4848" s="25"/>
      <c r="S4848" s="25"/>
      <c r="T4848" s="141"/>
      <c r="U4848" s="28"/>
    </row>
    <row r="4849" ht="15.75" customHeight="1">
      <c r="P4849" s="25"/>
      <c r="Q4849" s="25"/>
      <c r="R4849" s="25"/>
      <c r="S4849" s="25"/>
      <c r="T4849" s="141"/>
      <c r="U4849" s="28"/>
    </row>
    <row r="4850" ht="15.75" customHeight="1">
      <c r="P4850" s="25"/>
      <c r="Q4850" s="25"/>
      <c r="R4850" s="25"/>
      <c r="S4850" s="25"/>
      <c r="T4850" s="141"/>
      <c r="U4850" s="28"/>
    </row>
    <row r="4851" ht="15.75" customHeight="1">
      <c r="P4851" s="25"/>
      <c r="Q4851" s="25"/>
      <c r="R4851" s="25"/>
      <c r="S4851" s="25"/>
      <c r="T4851" s="141"/>
      <c r="U4851" s="28"/>
    </row>
    <row r="4852" ht="15.75" customHeight="1">
      <c r="P4852" s="25"/>
      <c r="Q4852" s="25"/>
      <c r="R4852" s="25"/>
      <c r="S4852" s="25"/>
      <c r="T4852" s="141"/>
      <c r="U4852" s="28"/>
    </row>
    <row r="4853" ht="15.75" customHeight="1">
      <c r="P4853" s="25"/>
      <c r="Q4853" s="25"/>
      <c r="R4853" s="25"/>
      <c r="S4853" s="25"/>
      <c r="T4853" s="141"/>
      <c r="U4853" s="28"/>
    </row>
    <row r="4854" ht="15.75" customHeight="1">
      <c r="P4854" s="25"/>
      <c r="Q4854" s="25"/>
      <c r="R4854" s="25"/>
      <c r="S4854" s="25"/>
      <c r="T4854" s="141"/>
      <c r="U4854" s="28"/>
    </row>
    <row r="4855" ht="15.75" customHeight="1">
      <c r="P4855" s="25"/>
      <c r="Q4855" s="25"/>
      <c r="R4855" s="25"/>
      <c r="S4855" s="25"/>
      <c r="T4855" s="141"/>
      <c r="U4855" s="28"/>
    </row>
    <row r="4856" ht="15.75" customHeight="1">
      <c r="P4856" s="25"/>
      <c r="Q4856" s="25"/>
      <c r="R4856" s="25"/>
      <c r="S4856" s="25"/>
      <c r="T4856" s="141"/>
      <c r="U4856" s="28"/>
    </row>
    <row r="4857" ht="15.75" customHeight="1">
      <c r="P4857" s="25"/>
      <c r="Q4857" s="25"/>
      <c r="R4857" s="25"/>
      <c r="S4857" s="25"/>
      <c r="T4857" s="141"/>
      <c r="U4857" s="28"/>
    </row>
    <row r="4858" ht="15.75" customHeight="1">
      <c r="P4858" s="25"/>
      <c r="Q4858" s="25"/>
      <c r="R4858" s="25"/>
      <c r="S4858" s="25"/>
      <c r="T4858" s="141"/>
      <c r="U4858" s="28"/>
    </row>
    <row r="4859" ht="15.75" customHeight="1">
      <c r="P4859" s="25"/>
      <c r="Q4859" s="25"/>
      <c r="R4859" s="25"/>
      <c r="S4859" s="25"/>
      <c r="T4859" s="141"/>
      <c r="U4859" s="28"/>
    </row>
    <row r="4860" ht="15.75" customHeight="1">
      <c r="P4860" s="25"/>
      <c r="Q4860" s="25"/>
      <c r="R4860" s="25"/>
      <c r="S4860" s="25"/>
      <c r="T4860" s="141"/>
      <c r="U4860" s="28"/>
    </row>
    <row r="4861" ht="15.75" customHeight="1">
      <c r="P4861" s="25"/>
      <c r="Q4861" s="25"/>
      <c r="R4861" s="25"/>
      <c r="S4861" s="25"/>
      <c r="T4861" s="141"/>
      <c r="U4861" s="28"/>
    </row>
    <row r="4862" ht="15.75" customHeight="1">
      <c r="P4862" s="25"/>
      <c r="Q4862" s="25"/>
      <c r="R4862" s="25"/>
      <c r="S4862" s="25"/>
      <c r="T4862" s="141"/>
      <c r="U4862" s="28"/>
    </row>
    <row r="4863" ht="15.75" customHeight="1">
      <c r="P4863" s="25"/>
      <c r="Q4863" s="25"/>
      <c r="R4863" s="25"/>
      <c r="S4863" s="25"/>
      <c r="T4863" s="141"/>
      <c r="U4863" s="28"/>
    </row>
    <row r="4864" ht="15.75" customHeight="1">
      <c r="P4864" s="25"/>
      <c r="Q4864" s="25"/>
      <c r="R4864" s="25"/>
      <c r="S4864" s="25"/>
      <c r="T4864" s="141"/>
      <c r="U4864" s="28"/>
    </row>
    <row r="4865" ht="15.75" customHeight="1">
      <c r="P4865" s="25"/>
      <c r="Q4865" s="25"/>
      <c r="R4865" s="25"/>
      <c r="S4865" s="25"/>
      <c r="T4865" s="141"/>
      <c r="U4865" s="28"/>
    </row>
    <row r="4866" ht="15.75" customHeight="1">
      <c r="P4866" s="25"/>
      <c r="Q4866" s="25"/>
      <c r="R4866" s="25"/>
      <c r="S4866" s="25"/>
      <c r="T4866" s="141"/>
      <c r="U4866" s="28"/>
    </row>
    <row r="4867" ht="15.75" customHeight="1">
      <c r="P4867" s="25"/>
      <c r="Q4867" s="25"/>
      <c r="R4867" s="25"/>
      <c r="S4867" s="25"/>
      <c r="T4867" s="141"/>
      <c r="U4867" s="28"/>
    </row>
    <row r="4868" ht="15.75" customHeight="1">
      <c r="P4868" s="25"/>
      <c r="Q4868" s="25"/>
      <c r="R4868" s="25"/>
      <c r="S4868" s="25"/>
      <c r="T4868" s="141"/>
      <c r="U4868" s="28"/>
    </row>
    <row r="4869" ht="15.75" customHeight="1">
      <c r="P4869" s="25"/>
      <c r="Q4869" s="25"/>
      <c r="R4869" s="25"/>
      <c r="S4869" s="25"/>
      <c r="T4869" s="141"/>
      <c r="U4869" s="28"/>
    </row>
    <row r="4870" ht="15.75" customHeight="1">
      <c r="P4870" s="25"/>
      <c r="Q4870" s="25"/>
      <c r="R4870" s="25"/>
      <c r="S4870" s="25"/>
      <c r="T4870" s="141"/>
      <c r="U4870" s="28"/>
    </row>
    <row r="4871" ht="15.75" customHeight="1">
      <c r="P4871" s="25"/>
      <c r="Q4871" s="25"/>
      <c r="R4871" s="25"/>
      <c r="S4871" s="25"/>
      <c r="T4871" s="141"/>
      <c r="U4871" s="28"/>
    </row>
    <row r="4872" ht="15.75" customHeight="1">
      <c r="P4872" s="25"/>
      <c r="Q4872" s="25"/>
      <c r="R4872" s="25"/>
      <c r="S4872" s="25"/>
      <c r="T4872" s="141"/>
      <c r="U4872" s="28"/>
    </row>
    <row r="4873" ht="15.75" customHeight="1">
      <c r="P4873" s="25"/>
      <c r="Q4873" s="25"/>
      <c r="R4873" s="25"/>
      <c r="S4873" s="25"/>
      <c r="T4873" s="141"/>
      <c r="U4873" s="28"/>
    </row>
    <row r="4874" ht="15.75" customHeight="1">
      <c r="P4874" s="25"/>
      <c r="Q4874" s="25"/>
      <c r="R4874" s="25"/>
      <c r="S4874" s="25"/>
      <c r="T4874" s="141"/>
      <c r="U4874" s="28"/>
    </row>
    <row r="4875" ht="15.75" customHeight="1">
      <c r="P4875" s="25"/>
      <c r="Q4875" s="25"/>
      <c r="R4875" s="25"/>
      <c r="S4875" s="25"/>
      <c r="T4875" s="141"/>
      <c r="U4875" s="28"/>
    </row>
    <row r="4876" ht="15.75" customHeight="1">
      <c r="P4876" s="25"/>
      <c r="Q4876" s="25"/>
      <c r="R4876" s="25"/>
      <c r="S4876" s="25"/>
      <c r="T4876" s="141"/>
      <c r="U4876" s="28"/>
    </row>
    <row r="4877" ht="15.75" customHeight="1">
      <c r="P4877" s="25"/>
      <c r="Q4877" s="25"/>
      <c r="R4877" s="25"/>
      <c r="S4877" s="25"/>
      <c r="T4877" s="141"/>
      <c r="U4877" s="28"/>
    </row>
    <row r="4878" ht="15.75" customHeight="1">
      <c r="P4878" s="25"/>
      <c r="Q4878" s="25"/>
      <c r="R4878" s="25"/>
      <c r="S4878" s="25"/>
      <c r="T4878" s="141"/>
      <c r="U4878" s="28"/>
    </row>
    <row r="4879" ht="15.75" customHeight="1">
      <c r="P4879" s="25"/>
      <c r="Q4879" s="25"/>
      <c r="R4879" s="25"/>
      <c r="S4879" s="25"/>
      <c r="T4879" s="141"/>
      <c r="U4879" s="28"/>
    </row>
    <row r="4880" ht="15.75" customHeight="1">
      <c r="P4880" s="25"/>
      <c r="Q4880" s="25"/>
      <c r="R4880" s="25"/>
      <c r="S4880" s="25"/>
      <c r="T4880" s="141"/>
      <c r="U4880" s="28"/>
    </row>
    <row r="4881" ht="15.75" customHeight="1">
      <c r="P4881" s="25"/>
      <c r="Q4881" s="25"/>
      <c r="R4881" s="25"/>
      <c r="S4881" s="25"/>
      <c r="T4881" s="141"/>
      <c r="U4881" s="28"/>
    </row>
    <row r="4882" ht="15.75" customHeight="1">
      <c r="P4882" s="25"/>
      <c r="Q4882" s="25"/>
      <c r="R4882" s="25"/>
      <c r="S4882" s="25"/>
      <c r="T4882" s="141"/>
      <c r="U4882" s="28"/>
    </row>
    <row r="4883" ht="15.75" customHeight="1">
      <c r="P4883" s="25"/>
      <c r="Q4883" s="25"/>
      <c r="R4883" s="25"/>
      <c r="S4883" s="25"/>
      <c r="T4883" s="141"/>
      <c r="U4883" s="28"/>
    </row>
    <row r="4884" ht="15.75" customHeight="1">
      <c r="P4884" s="25"/>
      <c r="Q4884" s="25"/>
      <c r="R4884" s="25"/>
      <c r="S4884" s="25"/>
      <c r="T4884" s="141"/>
      <c r="U4884" s="28"/>
    </row>
    <row r="4885" ht="15.75" customHeight="1">
      <c r="P4885" s="25"/>
      <c r="Q4885" s="25"/>
      <c r="R4885" s="25"/>
      <c r="S4885" s="25"/>
      <c r="T4885" s="141"/>
      <c r="U4885" s="28"/>
    </row>
    <row r="4886" ht="15.75" customHeight="1">
      <c r="P4886" s="25"/>
      <c r="Q4886" s="25"/>
      <c r="R4886" s="25"/>
      <c r="S4886" s="25"/>
      <c r="T4886" s="141"/>
      <c r="U4886" s="28"/>
    </row>
    <row r="4887" ht="15.75" customHeight="1">
      <c r="P4887" s="25"/>
      <c r="Q4887" s="25"/>
      <c r="R4887" s="25"/>
      <c r="S4887" s="25"/>
      <c r="T4887" s="141"/>
      <c r="U4887" s="28"/>
    </row>
    <row r="4888" ht="15.75" customHeight="1">
      <c r="P4888" s="25"/>
      <c r="Q4888" s="25"/>
      <c r="R4888" s="25"/>
      <c r="S4888" s="25"/>
      <c r="T4888" s="141"/>
      <c r="U4888" s="28"/>
    </row>
    <row r="4889" ht="15.75" customHeight="1">
      <c r="P4889" s="25"/>
      <c r="Q4889" s="25"/>
      <c r="R4889" s="25"/>
      <c r="S4889" s="25"/>
      <c r="T4889" s="141"/>
      <c r="U4889" s="28"/>
    </row>
    <row r="4890" ht="15.75" customHeight="1">
      <c r="P4890" s="25"/>
      <c r="Q4890" s="25"/>
      <c r="R4890" s="25"/>
      <c r="S4890" s="25"/>
      <c r="T4890" s="141"/>
      <c r="U4890" s="28"/>
    </row>
    <row r="4891" ht="15.75" customHeight="1">
      <c r="P4891" s="25"/>
      <c r="Q4891" s="25"/>
      <c r="R4891" s="25"/>
      <c r="S4891" s="25"/>
      <c r="T4891" s="141"/>
      <c r="U4891" s="28"/>
    </row>
    <row r="4892" ht="15.75" customHeight="1">
      <c r="P4892" s="25"/>
      <c r="Q4892" s="25"/>
      <c r="R4892" s="25"/>
      <c r="S4892" s="25"/>
      <c r="T4892" s="141"/>
      <c r="U4892" s="28"/>
    </row>
    <row r="4893" ht="15.75" customHeight="1">
      <c r="P4893" s="25"/>
      <c r="Q4893" s="25"/>
      <c r="R4893" s="25"/>
      <c r="S4893" s="25"/>
      <c r="T4893" s="141"/>
      <c r="U4893" s="28"/>
    </row>
    <row r="4894" ht="15.75" customHeight="1">
      <c r="P4894" s="25"/>
      <c r="Q4894" s="25"/>
      <c r="R4894" s="25"/>
      <c r="S4894" s="25"/>
      <c r="T4894" s="141"/>
      <c r="U4894" s="28"/>
    </row>
    <row r="4895" ht="15.75" customHeight="1">
      <c r="P4895" s="25"/>
      <c r="Q4895" s="25"/>
      <c r="R4895" s="25"/>
      <c r="S4895" s="25"/>
      <c r="T4895" s="141"/>
      <c r="U4895" s="28"/>
    </row>
    <row r="4896" ht="15.75" customHeight="1">
      <c r="P4896" s="25"/>
      <c r="Q4896" s="25"/>
      <c r="R4896" s="25"/>
      <c r="S4896" s="25"/>
      <c r="T4896" s="141"/>
      <c r="U4896" s="28"/>
    </row>
    <row r="4897" ht="15.75" customHeight="1">
      <c r="P4897" s="25"/>
      <c r="Q4897" s="25"/>
      <c r="R4897" s="25"/>
      <c r="S4897" s="25"/>
      <c r="T4897" s="141"/>
      <c r="U4897" s="28"/>
    </row>
    <row r="4898" ht="15.75" customHeight="1">
      <c r="P4898" s="25"/>
      <c r="Q4898" s="25"/>
      <c r="R4898" s="25"/>
      <c r="S4898" s="25"/>
      <c r="T4898" s="141"/>
      <c r="U4898" s="28"/>
    </row>
    <row r="4899" ht="15.75" customHeight="1">
      <c r="P4899" s="25"/>
      <c r="Q4899" s="25"/>
      <c r="R4899" s="25"/>
      <c r="S4899" s="25"/>
      <c r="T4899" s="141"/>
      <c r="U4899" s="28"/>
    </row>
    <row r="4900" ht="15.75" customHeight="1">
      <c r="P4900" s="25"/>
      <c r="Q4900" s="25"/>
      <c r="R4900" s="25"/>
      <c r="S4900" s="25"/>
      <c r="T4900" s="141"/>
      <c r="U4900" s="28"/>
    </row>
    <row r="4901" ht="15.75" customHeight="1">
      <c r="P4901" s="25"/>
      <c r="Q4901" s="25"/>
      <c r="R4901" s="25"/>
      <c r="S4901" s="25"/>
      <c r="T4901" s="141"/>
      <c r="U4901" s="28"/>
    </row>
    <row r="4902" ht="15.75" customHeight="1">
      <c r="P4902" s="25"/>
      <c r="Q4902" s="25"/>
      <c r="R4902" s="25"/>
      <c r="S4902" s="25"/>
      <c r="T4902" s="141"/>
      <c r="U4902" s="28"/>
    </row>
    <row r="4903" ht="15.75" customHeight="1">
      <c r="P4903" s="25"/>
      <c r="Q4903" s="25"/>
      <c r="R4903" s="25"/>
      <c r="S4903" s="25"/>
      <c r="T4903" s="141"/>
      <c r="U4903" s="28"/>
    </row>
    <row r="4904" ht="15.75" customHeight="1">
      <c r="P4904" s="25"/>
      <c r="Q4904" s="25"/>
      <c r="R4904" s="25"/>
      <c r="S4904" s="25"/>
      <c r="T4904" s="141"/>
      <c r="U4904" s="28"/>
    </row>
    <row r="4905" ht="15.75" customHeight="1">
      <c r="P4905" s="25"/>
      <c r="Q4905" s="25"/>
      <c r="R4905" s="25"/>
      <c r="S4905" s="25"/>
      <c r="T4905" s="141"/>
      <c r="U4905" s="28"/>
    </row>
    <row r="4906" ht="15.75" customHeight="1">
      <c r="P4906" s="25"/>
      <c r="Q4906" s="25"/>
      <c r="R4906" s="25"/>
      <c r="S4906" s="25"/>
      <c r="T4906" s="141"/>
      <c r="U4906" s="28"/>
    </row>
    <row r="4907" ht="15.75" customHeight="1">
      <c r="P4907" s="25"/>
      <c r="Q4907" s="25"/>
      <c r="R4907" s="25"/>
      <c r="S4907" s="25"/>
      <c r="T4907" s="141"/>
      <c r="U4907" s="28"/>
    </row>
    <row r="4908" ht="15.75" customHeight="1">
      <c r="P4908" s="25"/>
      <c r="Q4908" s="25"/>
      <c r="R4908" s="25"/>
      <c r="S4908" s="25"/>
      <c r="T4908" s="141"/>
      <c r="U4908" s="28"/>
    </row>
    <row r="4909" ht="15.75" customHeight="1">
      <c r="P4909" s="25"/>
      <c r="Q4909" s="25"/>
      <c r="R4909" s="25"/>
      <c r="S4909" s="25"/>
      <c r="T4909" s="141"/>
      <c r="U4909" s="28"/>
    </row>
    <row r="4910" ht="15.75" customHeight="1">
      <c r="P4910" s="25"/>
      <c r="Q4910" s="25"/>
      <c r="R4910" s="25"/>
      <c r="S4910" s="25"/>
      <c r="T4910" s="141"/>
      <c r="U4910" s="28"/>
    </row>
    <row r="4911" ht="15.75" customHeight="1">
      <c r="P4911" s="25"/>
      <c r="Q4911" s="25"/>
      <c r="R4911" s="25"/>
      <c r="S4911" s="25"/>
      <c r="T4911" s="141"/>
      <c r="U4911" s="28"/>
    </row>
    <row r="4912" ht="15.75" customHeight="1">
      <c r="P4912" s="25"/>
      <c r="Q4912" s="25"/>
      <c r="R4912" s="25"/>
      <c r="S4912" s="25"/>
      <c r="T4912" s="141"/>
      <c r="U4912" s="28"/>
    </row>
    <row r="4913" ht="15.75" customHeight="1">
      <c r="P4913" s="25"/>
      <c r="Q4913" s="25"/>
      <c r="R4913" s="25"/>
      <c r="S4913" s="25"/>
      <c r="T4913" s="141"/>
      <c r="U4913" s="28"/>
    </row>
    <row r="4914" ht="15.75" customHeight="1">
      <c r="P4914" s="25"/>
      <c r="Q4914" s="25"/>
      <c r="R4914" s="25"/>
      <c r="S4914" s="25"/>
      <c r="T4914" s="141"/>
      <c r="U4914" s="28"/>
    </row>
    <row r="4915" ht="15.75" customHeight="1">
      <c r="P4915" s="25"/>
      <c r="Q4915" s="25"/>
      <c r="R4915" s="25"/>
      <c r="S4915" s="25"/>
      <c r="T4915" s="141"/>
      <c r="U4915" s="28"/>
    </row>
    <row r="4916" ht="15.75" customHeight="1">
      <c r="P4916" s="25"/>
      <c r="Q4916" s="25"/>
      <c r="R4916" s="25"/>
      <c r="S4916" s="25"/>
      <c r="T4916" s="141"/>
      <c r="U4916" s="28"/>
    </row>
    <row r="4917" ht="15.75" customHeight="1">
      <c r="P4917" s="25"/>
      <c r="Q4917" s="25"/>
      <c r="R4917" s="25"/>
      <c r="S4917" s="25"/>
      <c r="T4917" s="141"/>
      <c r="U4917" s="28"/>
    </row>
    <row r="4918" ht="15.75" customHeight="1">
      <c r="P4918" s="25"/>
      <c r="Q4918" s="25"/>
      <c r="R4918" s="25"/>
      <c r="S4918" s="25"/>
      <c r="T4918" s="141"/>
      <c r="U4918" s="28"/>
    </row>
    <row r="4919" ht="15.75" customHeight="1">
      <c r="P4919" s="25"/>
      <c r="Q4919" s="25"/>
      <c r="R4919" s="25"/>
      <c r="S4919" s="25"/>
      <c r="T4919" s="141"/>
      <c r="U4919" s="28"/>
    </row>
    <row r="4920" ht="15.75" customHeight="1">
      <c r="P4920" s="25"/>
      <c r="Q4920" s="25"/>
      <c r="R4920" s="25"/>
      <c r="S4920" s="25"/>
      <c r="T4920" s="141"/>
      <c r="U4920" s="28"/>
    </row>
    <row r="4921" ht="15.75" customHeight="1">
      <c r="P4921" s="25"/>
      <c r="Q4921" s="25"/>
      <c r="R4921" s="25"/>
      <c r="S4921" s="25"/>
      <c r="T4921" s="141"/>
      <c r="U4921" s="28"/>
    </row>
    <row r="4922" ht="15.75" customHeight="1">
      <c r="P4922" s="25"/>
      <c r="Q4922" s="25"/>
      <c r="R4922" s="25"/>
      <c r="S4922" s="25"/>
      <c r="T4922" s="141"/>
      <c r="U4922" s="28"/>
    </row>
    <row r="4923" ht="15.75" customHeight="1">
      <c r="P4923" s="25"/>
      <c r="Q4923" s="25"/>
      <c r="R4923" s="25"/>
      <c r="S4923" s="25"/>
      <c r="T4923" s="141"/>
      <c r="U4923" s="28"/>
    </row>
    <row r="4924" ht="15.75" customHeight="1">
      <c r="P4924" s="25"/>
      <c r="Q4924" s="25"/>
      <c r="R4924" s="25"/>
      <c r="S4924" s="25"/>
      <c r="T4924" s="141"/>
      <c r="U4924" s="28"/>
    </row>
    <row r="4925" ht="15.75" customHeight="1">
      <c r="P4925" s="25"/>
      <c r="Q4925" s="25"/>
      <c r="R4925" s="25"/>
      <c r="S4925" s="25"/>
      <c r="T4925" s="141"/>
      <c r="U4925" s="28"/>
    </row>
    <row r="4926" ht="15.75" customHeight="1">
      <c r="P4926" s="25"/>
      <c r="Q4926" s="25"/>
      <c r="R4926" s="25"/>
      <c r="S4926" s="25"/>
      <c r="T4926" s="141"/>
      <c r="U4926" s="28"/>
    </row>
    <row r="4927" ht="15.75" customHeight="1">
      <c r="P4927" s="25"/>
      <c r="Q4927" s="25"/>
      <c r="R4927" s="25"/>
      <c r="S4927" s="25"/>
      <c r="T4927" s="141"/>
      <c r="U4927" s="28"/>
    </row>
    <row r="4928" ht="15.75" customHeight="1">
      <c r="P4928" s="25"/>
      <c r="Q4928" s="25"/>
      <c r="R4928" s="25"/>
      <c r="S4928" s="25"/>
      <c r="T4928" s="141"/>
      <c r="U4928" s="28"/>
    </row>
    <row r="4929" ht="15.75" customHeight="1">
      <c r="P4929" s="25"/>
      <c r="Q4929" s="25"/>
      <c r="R4929" s="25"/>
      <c r="S4929" s="25"/>
      <c r="T4929" s="141"/>
      <c r="U4929" s="28"/>
    </row>
    <row r="4930" ht="15.75" customHeight="1">
      <c r="P4930" s="25"/>
      <c r="Q4930" s="25"/>
      <c r="R4930" s="25"/>
      <c r="S4930" s="25"/>
      <c r="T4930" s="141"/>
      <c r="U4930" s="28"/>
    </row>
    <row r="4931" ht="15.75" customHeight="1">
      <c r="P4931" s="25"/>
      <c r="Q4931" s="25"/>
      <c r="R4931" s="25"/>
      <c r="S4931" s="25"/>
      <c r="T4931" s="141"/>
      <c r="U4931" s="28"/>
    </row>
    <row r="4932" ht="15.75" customHeight="1">
      <c r="P4932" s="25"/>
      <c r="Q4932" s="25"/>
      <c r="R4932" s="25"/>
      <c r="S4932" s="25"/>
      <c r="T4932" s="141"/>
      <c r="U4932" s="28"/>
    </row>
    <row r="4933" ht="15.75" customHeight="1">
      <c r="P4933" s="25"/>
      <c r="Q4933" s="25"/>
      <c r="R4933" s="25"/>
      <c r="S4933" s="25"/>
      <c r="T4933" s="141"/>
      <c r="U4933" s="28"/>
    </row>
    <row r="4934" ht="15.75" customHeight="1">
      <c r="P4934" s="25"/>
      <c r="Q4934" s="25"/>
      <c r="R4934" s="25"/>
      <c r="S4934" s="25"/>
      <c r="T4934" s="141"/>
      <c r="U4934" s="28"/>
    </row>
    <row r="4935" ht="15.75" customHeight="1">
      <c r="P4935" s="25"/>
      <c r="Q4935" s="25"/>
      <c r="R4935" s="25"/>
      <c r="S4935" s="25"/>
      <c r="T4935" s="141"/>
      <c r="U4935" s="28"/>
    </row>
    <row r="4936" ht="15.75" customHeight="1">
      <c r="P4936" s="25"/>
      <c r="Q4936" s="25"/>
      <c r="R4936" s="25"/>
      <c r="S4936" s="25"/>
      <c r="T4936" s="141"/>
      <c r="U4936" s="28"/>
    </row>
    <row r="4937" ht="15.75" customHeight="1">
      <c r="P4937" s="25"/>
      <c r="Q4937" s="25"/>
      <c r="R4937" s="25"/>
      <c r="S4937" s="25"/>
      <c r="T4937" s="141"/>
      <c r="U4937" s="28"/>
    </row>
    <row r="4938" ht="15.75" customHeight="1">
      <c r="P4938" s="25"/>
      <c r="Q4938" s="25"/>
      <c r="R4938" s="25"/>
      <c r="S4938" s="25"/>
      <c r="T4938" s="141"/>
      <c r="U4938" s="28"/>
    </row>
    <row r="4939" ht="15.75" customHeight="1">
      <c r="P4939" s="25"/>
      <c r="Q4939" s="25"/>
      <c r="R4939" s="25"/>
      <c r="S4939" s="25"/>
      <c r="T4939" s="141"/>
      <c r="U4939" s="28"/>
    </row>
    <row r="4940" ht="15.75" customHeight="1">
      <c r="P4940" s="25"/>
      <c r="Q4940" s="25"/>
      <c r="R4940" s="25"/>
      <c r="S4940" s="25"/>
      <c r="T4940" s="141"/>
      <c r="U4940" s="28"/>
    </row>
    <row r="4941" ht="15.75" customHeight="1">
      <c r="P4941" s="25"/>
      <c r="Q4941" s="25"/>
      <c r="R4941" s="25"/>
      <c r="S4941" s="25"/>
      <c r="T4941" s="141"/>
      <c r="U4941" s="28"/>
    </row>
    <row r="4942" ht="15.75" customHeight="1">
      <c r="P4942" s="25"/>
      <c r="Q4942" s="25"/>
      <c r="R4942" s="25"/>
      <c r="S4942" s="25"/>
      <c r="T4942" s="141"/>
      <c r="U4942" s="28"/>
    </row>
    <row r="4943" ht="15.75" customHeight="1">
      <c r="P4943" s="25"/>
      <c r="Q4943" s="25"/>
      <c r="R4943" s="25"/>
      <c r="S4943" s="25"/>
      <c r="T4943" s="141"/>
      <c r="U4943" s="28"/>
    </row>
    <row r="4944" ht="15.75" customHeight="1">
      <c r="P4944" s="25"/>
      <c r="Q4944" s="25"/>
      <c r="R4944" s="25"/>
      <c r="S4944" s="25"/>
      <c r="T4944" s="141"/>
      <c r="U4944" s="28"/>
    </row>
    <row r="4945" ht="15.75" customHeight="1">
      <c r="P4945" s="25"/>
      <c r="Q4945" s="25"/>
      <c r="R4945" s="25"/>
      <c r="S4945" s="25"/>
      <c r="T4945" s="141"/>
      <c r="U4945" s="28"/>
    </row>
    <row r="4946" ht="15.75" customHeight="1">
      <c r="P4946" s="25"/>
      <c r="Q4946" s="25"/>
      <c r="R4946" s="25"/>
      <c r="S4946" s="25"/>
      <c r="T4946" s="141"/>
      <c r="U4946" s="28"/>
    </row>
    <row r="4947" ht="15.75" customHeight="1">
      <c r="P4947" s="25"/>
      <c r="Q4947" s="25"/>
      <c r="R4947" s="25"/>
      <c r="S4947" s="25"/>
      <c r="T4947" s="141"/>
      <c r="U4947" s="28"/>
    </row>
    <row r="4948" ht="15.75" customHeight="1">
      <c r="P4948" s="25"/>
      <c r="Q4948" s="25"/>
      <c r="R4948" s="25"/>
      <c r="S4948" s="25"/>
      <c r="T4948" s="141"/>
      <c r="U4948" s="28"/>
    </row>
    <row r="4949" ht="15.75" customHeight="1">
      <c r="P4949" s="25"/>
      <c r="Q4949" s="25"/>
      <c r="R4949" s="25"/>
      <c r="S4949" s="25"/>
      <c r="T4949" s="141"/>
      <c r="U4949" s="28"/>
    </row>
    <row r="4950" ht="15.75" customHeight="1">
      <c r="P4950" s="25"/>
      <c r="Q4950" s="25"/>
      <c r="R4950" s="25"/>
      <c r="S4950" s="25"/>
      <c r="T4950" s="141"/>
      <c r="U4950" s="28"/>
    </row>
    <row r="4951" ht="15.75" customHeight="1">
      <c r="P4951" s="25"/>
      <c r="Q4951" s="25"/>
      <c r="R4951" s="25"/>
      <c r="S4951" s="25"/>
      <c r="T4951" s="141"/>
      <c r="U4951" s="28"/>
    </row>
    <row r="4952" ht="15.75" customHeight="1">
      <c r="P4952" s="25"/>
      <c r="Q4952" s="25"/>
      <c r="R4952" s="25"/>
      <c r="S4952" s="25"/>
      <c r="T4952" s="141"/>
      <c r="U4952" s="28"/>
    </row>
    <row r="4953" ht="15.75" customHeight="1">
      <c r="P4953" s="25"/>
      <c r="Q4953" s="25"/>
      <c r="R4953" s="25"/>
      <c r="S4953" s="25"/>
      <c r="T4953" s="141"/>
      <c r="U4953" s="28"/>
    </row>
    <row r="4954" ht="15.75" customHeight="1">
      <c r="P4954" s="25"/>
      <c r="Q4954" s="25"/>
      <c r="R4954" s="25"/>
      <c r="S4954" s="25"/>
      <c r="T4954" s="141"/>
      <c r="U4954" s="28"/>
    </row>
    <row r="4955" ht="15.75" customHeight="1">
      <c r="P4955" s="25"/>
      <c r="Q4955" s="25"/>
      <c r="R4955" s="25"/>
      <c r="S4955" s="25"/>
      <c r="T4955" s="141"/>
      <c r="U4955" s="28"/>
    </row>
    <row r="4956" ht="15.75" customHeight="1">
      <c r="P4956" s="25"/>
      <c r="Q4956" s="25"/>
      <c r="R4956" s="25"/>
      <c r="S4956" s="25"/>
      <c r="T4956" s="141"/>
      <c r="U4956" s="28"/>
    </row>
    <row r="4957" ht="15.75" customHeight="1">
      <c r="P4957" s="25"/>
      <c r="Q4957" s="25"/>
      <c r="R4957" s="25"/>
      <c r="S4957" s="25"/>
      <c r="T4957" s="141"/>
      <c r="U4957" s="28"/>
    </row>
    <row r="4958" ht="15.75" customHeight="1">
      <c r="P4958" s="25"/>
      <c r="Q4958" s="25"/>
      <c r="R4958" s="25"/>
      <c r="S4958" s="25"/>
      <c r="T4958" s="141"/>
      <c r="U4958" s="28"/>
    </row>
    <row r="4959" ht="15.75" customHeight="1">
      <c r="P4959" s="25"/>
      <c r="Q4959" s="25"/>
      <c r="R4959" s="25"/>
      <c r="S4959" s="25"/>
      <c r="T4959" s="141"/>
      <c r="U4959" s="28"/>
    </row>
    <row r="4960" ht="15.75" customHeight="1">
      <c r="P4960" s="25"/>
      <c r="Q4960" s="25"/>
      <c r="R4960" s="25"/>
      <c r="S4960" s="25"/>
      <c r="T4960" s="141"/>
      <c r="U4960" s="28"/>
    </row>
    <row r="4961" ht="15.75" customHeight="1">
      <c r="P4961" s="25"/>
      <c r="Q4961" s="25"/>
      <c r="R4961" s="25"/>
      <c r="S4961" s="25"/>
      <c r="T4961" s="141"/>
      <c r="U4961" s="28"/>
    </row>
    <row r="4962" ht="15.75" customHeight="1">
      <c r="P4962" s="25"/>
      <c r="Q4962" s="25"/>
      <c r="R4962" s="25"/>
      <c r="S4962" s="25"/>
      <c r="T4962" s="141"/>
      <c r="U4962" s="28"/>
    </row>
    <row r="4963" ht="15.75" customHeight="1">
      <c r="P4963" s="25"/>
      <c r="Q4963" s="25"/>
      <c r="R4963" s="25"/>
      <c r="S4963" s="25"/>
      <c r="T4963" s="141"/>
      <c r="U4963" s="28"/>
    </row>
    <row r="4964" ht="15.75" customHeight="1">
      <c r="P4964" s="25"/>
      <c r="Q4964" s="25"/>
      <c r="R4964" s="25"/>
      <c r="S4964" s="25"/>
      <c r="T4964" s="141"/>
      <c r="U4964" s="28"/>
    </row>
    <row r="4965" ht="15.75" customHeight="1">
      <c r="P4965" s="25"/>
      <c r="Q4965" s="25"/>
      <c r="R4965" s="25"/>
      <c r="S4965" s="25"/>
      <c r="T4965" s="141"/>
      <c r="U4965" s="28"/>
    </row>
    <row r="4966" ht="15.75" customHeight="1">
      <c r="P4966" s="25"/>
      <c r="Q4966" s="25"/>
      <c r="R4966" s="25"/>
      <c r="S4966" s="25"/>
      <c r="T4966" s="141"/>
      <c r="U4966" s="28"/>
    </row>
    <row r="4967" ht="15.75" customHeight="1">
      <c r="P4967" s="25"/>
      <c r="Q4967" s="25"/>
      <c r="R4967" s="25"/>
      <c r="S4967" s="25"/>
      <c r="T4967" s="141"/>
      <c r="U4967" s="28"/>
    </row>
    <row r="4968" ht="15.75" customHeight="1">
      <c r="P4968" s="25"/>
      <c r="Q4968" s="25"/>
      <c r="R4968" s="25"/>
      <c r="S4968" s="25"/>
      <c r="T4968" s="141"/>
      <c r="U4968" s="28"/>
    </row>
    <row r="4969" ht="15.75" customHeight="1">
      <c r="P4969" s="25"/>
      <c r="Q4969" s="25"/>
      <c r="R4969" s="25"/>
      <c r="S4969" s="25"/>
      <c r="T4969" s="141"/>
      <c r="U4969" s="28"/>
    </row>
    <row r="4970" ht="15.75" customHeight="1">
      <c r="P4970" s="25"/>
      <c r="Q4970" s="25"/>
      <c r="R4970" s="25"/>
      <c r="S4970" s="25"/>
      <c r="T4970" s="141"/>
      <c r="U4970" s="28"/>
    </row>
    <row r="4971" ht="15.75" customHeight="1">
      <c r="P4971" s="25"/>
      <c r="Q4971" s="25"/>
      <c r="R4971" s="25"/>
      <c r="S4971" s="25"/>
      <c r="T4971" s="141"/>
      <c r="U4971" s="28"/>
    </row>
    <row r="4972" ht="15.75" customHeight="1">
      <c r="P4972" s="25"/>
      <c r="Q4972" s="25"/>
      <c r="R4972" s="25"/>
      <c r="S4972" s="25"/>
      <c r="T4972" s="141"/>
      <c r="U4972" s="28"/>
    </row>
    <row r="4973" ht="15.75" customHeight="1">
      <c r="P4973" s="25"/>
      <c r="Q4973" s="25"/>
      <c r="R4973" s="25"/>
      <c r="S4973" s="25"/>
      <c r="T4973" s="141"/>
      <c r="U4973" s="28"/>
    </row>
    <row r="4974" ht="15.75" customHeight="1">
      <c r="P4974" s="25"/>
      <c r="Q4974" s="25"/>
      <c r="R4974" s="25"/>
      <c r="S4974" s="25"/>
      <c r="T4974" s="141"/>
      <c r="U4974" s="28"/>
    </row>
    <row r="4975" ht="15.75" customHeight="1">
      <c r="P4975" s="25"/>
      <c r="Q4975" s="25"/>
      <c r="R4975" s="25"/>
      <c r="S4975" s="25"/>
      <c r="T4975" s="141"/>
      <c r="U4975" s="28"/>
    </row>
    <row r="4976" ht="15.75" customHeight="1">
      <c r="P4976" s="25"/>
      <c r="Q4976" s="25"/>
      <c r="R4976" s="25"/>
      <c r="S4976" s="25"/>
      <c r="T4976" s="141"/>
      <c r="U4976" s="28"/>
    </row>
    <row r="4977" ht="15.75" customHeight="1">
      <c r="P4977" s="25"/>
      <c r="Q4977" s="25"/>
      <c r="R4977" s="25"/>
      <c r="S4977" s="25"/>
      <c r="T4977" s="141"/>
      <c r="U4977" s="28"/>
    </row>
    <row r="4978" ht="15.75" customHeight="1">
      <c r="P4978" s="25"/>
      <c r="Q4978" s="25"/>
      <c r="R4978" s="25"/>
      <c r="S4978" s="25"/>
      <c r="T4978" s="141"/>
      <c r="U4978" s="28"/>
    </row>
    <row r="4979" ht="15.75" customHeight="1">
      <c r="P4979" s="25"/>
      <c r="Q4979" s="25"/>
      <c r="R4979" s="25"/>
      <c r="S4979" s="25"/>
      <c r="T4979" s="141"/>
      <c r="U4979" s="28"/>
    </row>
    <row r="4980" ht="15.75" customHeight="1">
      <c r="P4980" s="25"/>
      <c r="Q4980" s="25"/>
      <c r="R4980" s="25"/>
      <c r="S4980" s="25"/>
      <c r="T4980" s="141"/>
      <c r="U4980" s="28"/>
    </row>
    <row r="4981" ht="15.75" customHeight="1">
      <c r="P4981" s="25"/>
      <c r="Q4981" s="25"/>
      <c r="R4981" s="25"/>
      <c r="S4981" s="25"/>
      <c r="T4981" s="141"/>
      <c r="U4981" s="28"/>
    </row>
    <row r="4982" ht="15.75" customHeight="1">
      <c r="P4982" s="25"/>
      <c r="Q4982" s="25"/>
      <c r="R4982" s="25"/>
      <c r="S4982" s="25"/>
      <c r="T4982" s="141"/>
      <c r="U4982" s="28"/>
    </row>
    <row r="4983" ht="15.75" customHeight="1">
      <c r="P4983" s="25"/>
      <c r="Q4983" s="25"/>
      <c r="R4983" s="25"/>
      <c r="S4983" s="25"/>
      <c r="T4983" s="141"/>
      <c r="U4983" s="28"/>
    </row>
    <row r="4984" ht="15.75" customHeight="1">
      <c r="P4984" s="25"/>
      <c r="Q4984" s="25"/>
      <c r="R4984" s="25"/>
      <c r="S4984" s="25"/>
      <c r="T4984" s="141"/>
      <c r="U4984" s="28"/>
    </row>
    <row r="4985" ht="15.75" customHeight="1">
      <c r="P4985" s="25"/>
      <c r="Q4985" s="25"/>
      <c r="R4985" s="25"/>
      <c r="S4985" s="25"/>
      <c r="T4985" s="141"/>
      <c r="U4985" s="28"/>
    </row>
    <row r="4986" ht="15.75" customHeight="1">
      <c r="P4986" s="25"/>
      <c r="Q4986" s="25"/>
      <c r="R4986" s="25"/>
      <c r="S4986" s="25"/>
      <c r="T4986" s="141"/>
      <c r="U4986" s="28"/>
    </row>
    <row r="4987" ht="15.75" customHeight="1">
      <c r="P4987" s="25"/>
      <c r="Q4987" s="25"/>
      <c r="R4987" s="25"/>
      <c r="S4987" s="25"/>
      <c r="T4987" s="141"/>
      <c r="U4987" s="28"/>
    </row>
    <row r="4988" ht="15.75" customHeight="1">
      <c r="P4988" s="25"/>
      <c r="Q4988" s="25"/>
      <c r="R4988" s="25"/>
      <c r="S4988" s="25"/>
      <c r="T4988" s="141"/>
      <c r="U4988" s="28"/>
    </row>
    <row r="4989" ht="15.75" customHeight="1">
      <c r="P4989" s="25"/>
      <c r="Q4989" s="25"/>
      <c r="R4989" s="25"/>
      <c r="S4989" s="25"/>
      <c r="T4989" s="141"/>
      <c r="U4989" s="28"/>
    </row>
    <row r="4990" ht="15.75" customHeight="1">
      <c r="P4990" s="25"/>
      <c r="Q4990" s="25"/>
      <c r="R4990" s="25"/>
      <c r="S4990" s="25"/>
      <c r="T4990" s="141"/>
      <c r="U4990" s="28"/>
    </row>
    <row r="4991" ht="15.75" customHeight="1">
      <c r="P4991" s="25"/>
      <c r="Q4991" s="25"/>
      <c r="R4991" s="25"/>
      <c r="S4991" s="25"/>
      <c r="T4991" s="141"/>
      <c r="U4991" s="28"/>
    </row>
    <row r="4992" ht="15.75" customHeight="1">
      <c r="P4992" s="25"/>
      <c r="Q4992" s="25"/>
      <c r="R4992" s="25"/>
      <c r="S4992" s="25"/>
      <c r="T4992" s="141"/>
      <c r="U4992" s="28"/>
    </row>
    <row r="4993" ht="15.75" customHeight="1">
      <c r="P4993" s="25"/>
      <c r="Q4993" s="25"/>
      <c r="R4993" s="25"/>
      <c r="S4993" s="25"/>
      <c r="T4993" s="141"/>
      <c r="U4993" s="28"/>
    </row>
    <row r="4994" ht="15.75" customHeight="1">
      <c r="P4994" s="25"/>
      <c r="Q4994" s="25"/>
      <c r="R4994" s="25"/>
      <c r="S4994" s="25"/>
      <c r="T4994" s="141"/>
      <c r="U4994" s="28"/>
    </row>
    <row r="4995" ht="15.75" customHeight="1">
      <c r="P4995" s="25"/>
      <c r="Q4995" s="25"/>
      <c r="R4995" s="25"/>
      <c r="S4995" s="25"/>
      <c r="T4995" s="141"/>
      <c r="U4995" s="28"/>
    </row>
    <row r="4996" ht="15.75" customHeight="1">
      <c r="P4996" s="25"/>
      <c r="Q4996" s="25"/>
      <c r="R4996" s="25"/>
      <c r="S4996" s="25"/>
      <c r="T4996" s="141"/>
      <c r="U4996" s="28"/>
    </row>
    <row r="4997" ht="15.75" customHeight="1">
      <c r="P4997" s="25"/>
      <c r="Q4997" s="25"/>
      <c r="R4997" s="25"/>
      <c r="S4997" s="25"/>
      <c r="T4997" s="141"/>
      <c r="U4997" s="28"/>
    </row>
    <row r="4998" ht="15.75" customHeight="1">
      <c r="P4998" s="25"/>
      <c r="Q4998" s="25"/>
      <c r="R4998" s="25"/>
      <c r="S4998" s="25"/>
      <c r="T4998" s="141"/>
      <c r="U4998" s="28"/>
    </row>
    <row r="4999" ht="15.75" customHeight="1">
      <c r="P4999" s="25"/>
      <c r="Q4999" s="25"/>
      <c r="R4999" s="25"/>
      <c r="S4999" s="25"/>
      <c r="T4999" s="141"/>
      <c r="U4999" s="28"/>
    </row>
    <row r="5000" ht="15.75" customHeight="1">
      <c r="P5000" s="25"/>
      <c r="Q5000" s="25"/>
      <c r="R5000" s="25"/>
      <c r="S5000" s="25"/>
      <c r="T5000" s="141"/>
      <c r="U5000" s="28"/>
    </row>
    <row r="5001" ht="15.75" customHeight="1">
      <c r="P5001" s="25"/>
      <c r="Q5001" s="25"/>
      <c r="R5001" s="25"/>
      <c r="S5001" s="25"/>
      <c r="T5001" s="141"/>
      <c r="U5001" s="28"/>
    </row>
    <row r="5002" ht="15.75" customHeight="1">
      <c r="P5002" s="25"/>
      <c r="Q5002" s="25"/>
      <c r="R5002" s="25"/>
      <c r="S5002" s="25"/>
      <c r="T5002" s="141"/>
      <c r="U5002" s="28"/>
    </row>
    <row r="5003" ht="15.75" customHeight="1">
      <c r="P5003" s="25"/>
      <c r="Q5003" s="25"/>
      <c r="R5003" s="25"/>
      <c r="S5003" s="25"/>
      <c r="T5003" s="141"/>
      <c r="U5003" s="28"/>
    </row>
    <row r="5004" ht="15.75" customHeight="1">
      <c r="P5004" s="25"/>
      <c r="Q5004" s="25"/>
      <c r="R5004" s="25"/>
      <c r="S5004" s="25"/>
      <c r="T5004" s="141"/>
      <c r="U5004" s="28"/>
    </row>
    <row r="5005" ht="15.75" customHeight="1">
      <c r="P5005" s="25"/>
      <c r="Q5005" s="25"/>
      <c r="R5005" s="25"/>
      <c r="S5005" s="25"/>
      <c r="T5005" s="141"/>
      <c r="U5005" s="28"/>
    </row>
    <row r="5006" ht="15.75" customHeight="1">
      <c r="P5006" s="25"/>
      <c r="Q5006" s="25"/>
      <c r="R5006" s="25"/>
      <c r="S5006" s="25"/>
      <c r="T5006" s="141"/>
      <c r="U5006" s="28"/>
    </row>
    <row r="5007" ht="15.75" customHeight="1">
      <c r="P5007" s="25"/>
      <c r="Q5007" s="25"/>
      <c r="R5007" s="25"/>
      <c r="S5007" s="25"/>
      <c r="T5007" s="141"/>
      <c r="U5007" s="28"/>
    </row>
    <row r="5008" ht="15.75" customHeight="1">
      <c r="P5008" s="25"/>
      <c r="Q5008" s="25"/>
      <c r="R5008" s="25"/>
      <c r="S5008" s="25"/>
      <c r="T5008" s="141"/>
      <c r="U5008" s="28"/>
    </row>
    <row r="5009" ht="15.75" customHeight="1">
      <c r="P5009" s="25"/>
      <c r="Q5009" s="25"/>
      <c r="R5009" s="25"/>
      <c r="S5009" s="25"/>
      <c r="T5009" s="141"/>
      <c r="U5009" s="28"/>
    </row>
    <row r="5010" ht="15.75" customHeight="1">
      <c r="P5010" s="25"/>
      <c r="Q5010" s="25"/>
      <c r="R5010" s="25"/>
      <c r="S5010" s="25"/>
      <c r="T5010" s="141"/>
      <c r="U5010" s="28"/>
    </row>
    <row r="5011" ht="15.75" customHeight="1">
      <c r="P5011" s="25"/>
      <c r="Q5011" s="25"/>
      <c r="R5011" s="25"/>
      <c r="S5011" s="25"/>
      <c r="T5011" s="141"/>
      <c r="U5011" s="28"/>
    </row>
    <row r="5012" ht="15.75" customHeight="1">
      <c r="P5012" s="25"/>
      <c r="Q5012" s="25"/>
      <c r="R5012" s="25"/>
      <c r="S5012" s="25"/>
      <c r="T5012" s="141"/>
      <c r="U5012" s="28"/>
    </row>
    <row r="5013" ht="15.75" customHeight="1">
      <c r="P5013" s="25"/>
      <c r="Q5013" s="25"/>
      <c r="R5013" s="25"/>
      <c r="S5013" s="25"/>
      <c r="T5013" s="141"/>
      <c r="U5013" s="28"/>
    </row>
    <row r="5014" ht="15.75" customHeight="1">
      <c r="P5014" s="25"/>
      <c r="Q5014" s="25"/>
      <c r="R5014" s="25"/>
      <c r="S5014" s="25"/>
      <c r="T5014" s="141"/>
      <c r="U5014" s="28"/>
    </row>
    <row r="5015" ht="15.75" customHeight="1">
      <c r="P5015" s="25"/>
      <c r="Q5015" s="25"/>
      <c r="R5015" s="25"/>
      <c r="S5015" s="25"/>
      <c r="T5015" s="141"/>
      <c r="U5015" s="28"/>
    </row>
    <row r="5016" ht="15.75" customHeight="1">
      <c r="P5016" s="25"/>
      <c r="Q5016" s="25"/>
      <c r="R5016" s="25"/>
      <c r="S5016" s="25"/>
      <c r="T5016" s="141"/>
      <c r="U5016" s="28"/>
    </row>
    <row r="5017" ht="15.75" customHeight="1">
      <c r="P5017" s="25"/>
      <c r="Q5017" s="25"/>
      <c r="R5017" s="25"/>
      <c r="S5017" s="25"/>
      <c r="T5017" s="141"/>
      <c r="U5017" s="28"/>
    </row>
    <row r="5018" ht="15.75" customHeight="1">
      <c r="P5018" s="25"/>
      <c r="Q5018" s="25"/>
      <c r="R5018" s="25"/>
      <c r="S5018" s="25"/>
      <c r="T5018" s="141"/>
      <c r="U5018" s="28"/>
    </row>
    <row r="5019" ht="15.75" customHeight="1">
      <c r="P5019" s="25"/>
      <c r="Q5019" s="25"/>
      <c r="R5019" s="25"/>
      <c r="S5019" s="25"/>
      <c r="T5019" s="141"/>
      <c r="U5019" s="28"/>
    </row>
    <row r="5020" ht="15.75" customHeight="1">
      <c r="P5020" s="25"/>
      <c r="Q5020" s="25"/>
      <c r="R5020" s="25"/>
      <c r="S5020" s="25"/>
      <c r="T5020" s="141"/>
      <c r="U5020" s="28"/>
    </row>
    <row r="5021" ht="15.75" customHeight="1">
      <c r="P5021" s="25"/>
      <c r="Q5021" s="25"/>
      <c r="R5021" s="25"/>
      <c r="S5021" s="25"/>
      <c r="T5021" s="141"/>
      <c r="U5021" s="28"/>
    </row>
    <row r="5022" ht="15.75" customHeight="1">
      <c r="P5022" s="25"/>
      <c r="Q5022" s="25"/>
      <c r="R5022" s="25"/>
      <c r="S5022" s="25"/>
      <c r="T5022" s="141"/>
      <c r="U5022" s="28"/>
    </row>
    <row r="5023" ht="15.75" customHeight="1">
      <c r="P5023" s="25"/>
      <c r="Q5023" s="25"/>
      <c r="R5023" s="25"/>
      <c r="S5023" s="25"/>
      <c r="T5023" s="141"/>
      <c r="U5023" s="28"/>
    </row>
    <row r="5024" ht="15.75" customHeight="1">
      <c r="P5024" s="25"/>
      <c r="Q5024" s="25"/>
      <c r="R5024" s="25"/>
      <c r="S5024" s="25"/>
      <c r="T5024" s="141"/>
      <c r="U5024" s="28"/>
    </row>
    <row r="5025" ht="15.75" customHeight="1">
      <c r="P5025" s="25"/>
      <c r="Q5025" s="25"/>
      <c r="R5025" s="25"/>
      <c r="S5025" s="25"/>
      <c r="T5025" s="141"/>
      <c r="U5025" s="28"/>
    </row>
    <row r="5026" ht="15.75" customHeight="1">
      <c r="P5026" s="25"/>
      <c r="Q5026" s="25"/>
      <c r="R5026" s="25"/>
      <c r="S5026" s="25"/>
      <c r="T5026" s="141"/>
      <c r="U5026" s="28"/>
    </row>
    <row r="5027" ht="15.75" customHeight="1">
      <c r="P5027" s="25"/>
      <c r="Q5027" s="25"/>
      <c r="R5027" s="25"/>
      <c r="S5027" s="25"/>
      <c r="T5027" s="141"/>
      <c r="U5027" s="28"/>
    </row>
    <row r="5028" ht="15.75" customHeight="1">
      <c r="P5028" s="25"/>
      <c r="Q5028" s="25"/>
      <c r="R5028" s="25"/>
      <c r="S5028" s="25"/>
      <c r="T5028" s="141"/>
      <c r="U5028" s="28"/>
    </row>
    <row r="5029" ht="15.75" customHeight="1">
      <c r="P5029" s="25"/>
      <c r="Q5029" s="25"/>
      <c r="R5029" s="25"/>
      <c r="S5029" s="25"/>
      <c r="T5029" s="141"/>
      <c r="U5029" s="28"/>
    </row>
    <row r="5030" ht="15.75" customHeight="1">
      <c r="P5030" s="25"/>
      <c r="Q5030" s="25"/>
      <c r="R5030" s="25"/>
      <c r="S5030" s="25"/>
      <c r="T5030" s="141"/>
      <c r="U5030" s="28"/>
    </row>
    <row r="5031" ht="15.75" customHeight="1">
      <c r="P5031" s="25"/>
      <c r="Q5031" s="25"/>
      <c r="R5031" s="25"/>
      <c r="S5031" s="25"/>
      <c r="T5031" s="141"/>
      <c r="U5031" s="28"/>
    </row>
    <row r="5032" ht="15.75" customHeight="1">
      <c r="P5032" s="25"/>
      <c r="Q5032" s="25"/>
      <c r="R5032" s="25"/>
      <c r="S5032" s="25"/>
      <c r="T5032" s="141"/>
      <c r="U5032" s="28"/>
    </row>
    <row r="5033" ht="15.75" customHeight="1">
      <c r="P5033" s="25"/>
      <c r="Q5033" s="25"/>
      <c r="R5033" s="25"/>
      <c r="S5033" s="25"/>
      <c r="T5033" s="141"/>
      <c r="U5033" s="28"/>
    </row>
    <row r="5034" ht="15.75" customHeight="1">
      <c r="P5034" s="25"/>
      <c r="Q5034" s="25"/>
      <c r="R5034" s="25"/>
      <c r="S5034" s="25"/>
      <c r="T5034" s="141"/>
      <c r="U5034" s="28"/>
    </row>
    <row r="5035" ht="15.75" customHeight="1">
      <c r="P5035" s="25"/>
      <c r="Q5035" s="25"/>
      <c r="R5035" s="25"/>
      <c r="S5035" s="25"/>
      <c r="T5035" s="141"/>
      <c r="U5035" s="28"/>
    </row>
    <row r="5036" ht="15.75" customHeight="1">
      <c r="P5036" s="25"/>
      <c r="Q5036" s="25"/>
      <c r="R5036" s="25"/>
      <c r="S5036" s="25"/>
      <c r="T5036" s="141"/>
      <c r="U5036" s="28"/>
    </row>
    <row r="5037" ht="15.75" customHeight="1">
      <c r="P5037" s="25"/>
      <c r="Q5037" s="25"/>
      <c r="R5037" s="25"/>
      <c r="S5037" s="25"/>
      <c r="T5037" s="141"/>
      <c r="U5037" s="28"/>
    </row>
    <row r="5038" ht="15.75" customHeight="1">
      <c r="P5038" s="25"/>
      <c r="Q5038" s="25"/>
      <c r="R5038" s="25"/>
      <c r="S5038" s="25"/>
      <c r="T5038" s="141"/>
      <c r="U5038" s="28"/>
    </row>
    <row r="5039" ht="15.75" customHeight="1">
      <c r="P5039" s="25"/>
      <c r="Q5039" s="25"/>
      <c r="R5039" s="25"/>
      <c r="S5039" s="25"/>
      <c r="T5039" s="141"/>
      <c r="U5039" s="28"/>
    </row>
    <row r="5040" ht="15.75" customHeight="1">
      <c r="P5040" s="25"/>
      <c r="Q5040" s="25"/>
      <c r="R5040" s="25"/>
      <c r="S5040" s="25"/>
      <c r="T5040" s="141"/>
      <c r="U5040" s="28"/>
    </row>
    <row r="5041" ht="15.75" customHeight="1">
      <c r="P5041" s="25"/>
      <c r="Q5041" s="25"/>
      <c r="R5041" s="25"/>
      <c r="S5041" s="25"/>
      <c r="T5041" s="141"/>
      <c r="U5041" s="28"/>
    </row>
    <row r="5042" ht="15.75" customHeight="1">
      <c r="P5042" s="25"/>
      <c r="Q5042" s="25"/>
      <c r="R5042" s="25"/>
      <c r="S5042" s="25"/>
      <c r="T5042" s="141"/>
      <c r="U5042" s="28"/>
    </row>
    <row r="5043" ht="15.75" customHeight="1">
      <c r="P5043" s="25"/>
      <c r="Q5043" s="25"/>
      <c r="R5043" s="25"/>
      <c r="S5043" s="25"/>
      <c r="T5043" s="141"/>
      <c r="U5043" s="28"/>
    </row>
    <row r="5044" ht="15.75" customHeight="1">
      <c r="P5044" s="25"/>
      <c r="Q5044" s="25"/>
      <c r="R5044" s="25"/>
      <c r="S5044" s="25"/>
      <c r="T5044" s="141"/>
      <c r="U5044" s="28"/>
    </row>
    <row r="5045" ht="15.75" customHeight="1">
      <c r="P5045" s="25"/>
      <c r="Q5045" s="25"/>
      <c r="R5045" s="25"/>
      <c r="S5045" s="25"/>
      <c r="T5045" s="141"/>
      <c r="U5045" s="28"/>
    </row>
    <row r="5046" ht="15.75" customHeight="1">
      <c r="P5046" s="25"/>
      <c r="Q5046" s="25"/>
      <c r="R5046" s="25"/>
      <c r="S5046" s="25"/>
      <c r="T5046" s="141"/>
      <c r="U5046" s="28"/>
    </row>
    <row r="5047" ht="15.75" customHeight="1">
      <c r="P5047" s="25"/>
      <c r="Q5047" s="25"/>
      <c r="R5047" s="25"/>
      <c r="S5047" s="25"/>
      <c r="T5047" s="141"/>
      <c r="U5047" s="28"/>
    </row>
    <row r="5048" ht="15.75" customHeight="1">
      <c r="P5048" s="25"/>
      <c r="Q5048" s="25"/>
      <c r="R5048" s="25"/>
      <c r="S5048" s="25"/>
      <c r="T5048" s="141"/>
      <c r="U5048" s="28"/>
    </row>
    <row r="5049" ht="15.75" customHeight="1">
      <c r="P5049" s="25"/>
      <c r="Q5049" s="25"/>
      <c r="R5049" s="25"/>
      <c r="S5049" s="25"/>
      <c r="T5049" s="141"/>
      <c r="U5049" s="28"/>
    </row>
    <row r="5050" ht="15.75" customHeight="1">
      <c r="P5050" s="25"/>
      <c r="Q5050" s="25"/>
      <c r="R5050" s="25"/>
      <c r="S5050" s="25"/>
      <c r="T5050" s="141"/>
      <c r="U5050" s="28"/>
    </row>
    <row r="5051" ht="15.75" customHeight="1">
      <c r="P5051" s="25"/>
      <c r="Q5051" s="25"/>
      <c r="R5051" s="25"/>
      <c r="S5051" s="25"/>
      <c r="T5051" s="141"/>
      <c r="U5051" s="28"/>
    </row>
    <row r="5052" ht="15.75" customHeight="1">
      <c r="P5052" s="25"/>
      <c r="Q5052" s="25"/>
      <c r="R5052" s="25"/>
      <c r="S5052" s="25"/>
      <c r="T5052" s="141"/>
      <c r="U5052" s="28"/>
    </row>
    <row r="5053" ht="15.75" customHeight="1">
      <c r="P5053" s="25"/>
      <c r="Q5053" s="25"/>
      <c r="R5053" s="25"/>
      <c r="S5053" s="25"/>
      <c r="T5053" s="141"/>
      <c r="U5053" s="28"/>
    </row>
    <row r="5054" ht="15.75" customHeight="1">
      <c r="P5054" s="25"/>
      <c r="Q5054" s="25"/>
      <c r="R5054" s="25"/>
      <c r="S5054" s="25"/>
      <c r="T5054" s="141"/>
      <c r="U5054" s="28"/>
    </row>
    <row r="5055" ht="15.75" customHeight="1">
      <c r="P5055" s="25"/>
      <c r="Q5055" s="25"/>
      <c r="R5055" s="25"/>
      <c r="S5055" s="25"/>
      <c r="T5055" s="141"/>
      <c r="U5055" s="28"/>
    </row>
    <row r="5056" ht="15.75" customHeight="1">
      <c r="P5056" s="25"/>
      <c r="Q5056" s="25"/>
      <c r="R5056" s="25"/>
      <c r="S5056" s="25"/>
      <c r="T5056" s="141"/>
      <c r="U5056" s="28"/>
    </row>
    <row r="5057" ht="15.75" customHeight="1">
      <c r="P5057" s="25"/>
      <c r="Q5057" s="25"/>
      <c r="R5057" s="25"/>
      <c r="S5057" s="25"/>
      <c r="T5057" s="141"/>
      <c r="U5057" s="28"/>
    </row>
    <row r="5058" ht="15.75" customHeight="1">
      <c r="P5058" s="25"/>
      <c r="Q5058" s="25"/>
      <c r="R5058" s="25"/>
      <c r="S5058" s="25"/>
      <c r="T5058" s="141"/>
      <c r="U5058" s="28"/>
    </row>
    <row r="5059" ht="15.75" customHeight="1">
      <c r="P5059" s="25"/>
      <c r="Q5059" s="25"/>
      <c r="R5059" s="25"/>
      <c r="S5059" s="25"/>
      <c r="T5059" s="141"/>
      <c r="U5059" s="28"/>
    </row>
    <row r="5060" ht="15.75" customHeight="1">
      <c r="P5060" s="25"/>
      <c r="Q5060" s="25"/>
      <c r="R5060" s="25"/>
      <c r="S5060" s="25"/>
      <c r="T5060" s="141"/>
      <c r="U5060" s="28"/>
    </row>
    <row r="5061" ht="15.75" customHeight="1">
      <c r="P5061" s="25"/>
      <c r="Q5061" s="25"/>
      <c r="R5061" s="25"/>
      <c r="S5061" s="25"/>
      <c r="T5061" s="141"/>
      <c r="U5061" s="28"/>
    </row>
    <row r="5062" ht="15.75" customHeight="1">
      <c r="P5062" s="25"/>
      <c r="Q5062" s="25"/>
      <c r="R5062" s="25"/>
      <c r="S5062" s="25"/>
      <c r="T5062" s="141"/>
      <c r="U5062" s="28"/>
    </row>
    <row r="5063" ht="15.75" customHeight="1">
      <c r="P5063" s="25"/>
      <c r="Q5063" s="25"/>
      <c r="R5063" s="25"/>
      <c r="S5063" s="25"/>
      <c r="T5063" s="141"/>
      <c r="U5063" s="28"/>
    </row>
    <row r="5064" ht="15.75" customHeight="1">
      <c r="P5064" s="25"/>
      <c r="Q5064" s="25"/>
      <c r="R5064" s="25"/>
      <c r="S5064" s="25"/>
      <c r="T5064" s="141"/>
      <c r="U5064" s="28"/>
    </row>
    <row r="5065" ht="15.75" customHeight="1">
      <c r="P5065" s="25"/>
      <c r="Q5065" s="25"/>
      <c r="R5065" s="25"/>
      <c r="S5065" s="25"/>
      <c r="T5065" s="141"/>
      <c r="U5065" s="28"/>
    </row>
    <row r="5066" ht="15.75" customHeight="1">
      <c r="P5066" s="25"/>
      <c r="Q5066" s="25"/>
      <c r="R5066" s="25"/>
      <c r="S5066" s="25"/>
      <c r="T5066" s="141"/>
      <c r="U5066" s="28"/>
    </row>
    <row r="5067" ht="15.75" customHeight="1">
      <c r="P5067" s="25"/>
      <c r="Q5067" s="25"/>
      <c r="R5067" s="25"/>
      <c r="S5067" s="25"/>
      <c r="T5067" s="141"/>
      <c r="U5067" s="28"/>
    </row>
    <row r="5068" ht="15.75" customHeight="1">
      <c r="P5068" s="25"/>
      <c r="Q5068" s="25"/>
      <c r="R5068" s="25"/>
      <c r="S5068" s="25"/>
      <c r="T5068" s="141"/>
      <c r="U5068" s="28"/>
    </row>
    <row r="5069" ht="15.75" customHeight="1">
      <c r="P5069" s="25"/>
      <c r="Q5069" s="25"/>
      <c r="R5069" s="25"/>
      <c r="S5069" s="25"/>
      <c r="T5069" s="141"/>
      <c r="U5069" s="28"/>
    </row>
    <row r="5070" ht="15.75" customHeight="1">
      <c r="P5070" s="25"/>
      <c r="Q5070" s="25"/>
      <c r="R5070" s="25"/>
      <c r="S5070" s="25"/>
      <c r="T5070" s="141"/>
      <c r="U5070" s="28"/>
    </row>
    <row r="5071" ht="15.75" customHeight="1">
      <c r="P5071" s="25"/>
      <c r="Q5071" s="25"/>
      <c r="R5071" s="25"/>
      <c r="S5071" s="25"/>
      <c r="T5071" s="141"/>
      <c r="U5071" s="28"/>
    </row>
    <row r="5072" ht="15.75" customHeight="1">
      <c r="P5072" s="25"/>
      <c r="Q5072" s="25"/>
      <c r="R5072" s="25"/>
      <c r="S5072" s="25"/>
      <c r="T5072" s="141"/>
      <c r="U5072" s="28"/>
    </row>
    <row r="5073" ht="15.75" customHeight="1">
      <c r="P5073" s="25"/>
      <c r="Q5073" s="25"/>
      <c r="R5073" s="25"/>
      <c r="S5073" s="25"/>
      <c r="T5073" s="141"/>
      <c r="U5073" s="28"/>
    </row>
    <row r="5074" ht="15.75" customHeight="1">
      <c r="P5074" s="25"/>
      <c r="Q5074" s="25"/>
      <c r="R5074" s="25"/>
      <c r="S5074" s="25"/>
      <c r="T5074" s="141"/>
      <c r="U5074" s="28"/>
    </row>
    <row r="5075" ht="15.75" customHeight="1">
      <c r="P5075" s="25"/>
      <c r="Q5075" s="25"/>
      <c r="R5075" s="25"/>
      <c r="S5075" s="25"/>
      <c r="T5075" s="141"/>
      <c r="U5075" s="28"/>
    </row>
    <row r="5076" ht="15.75" customHeight="1">
      <c r="P5076" s="25"/>
      <c r="Q5076" s="25"/>
      <c r="R5076" s="25"/>
      <c r="S5076" s="25"/>
      <c r="T5076" s="141"/>
      <c r="U5076" s="28"/>
    </row>
    <row r="5077" ht="15.75" customHeight="1">
      <c r="P5077" s="25"/>
      <c r="Q5077" s="25"/>
      <c r="R5077" s="25"/>
      <c r="S5077" s="25"/>
      <c r="T5077" s="141"/>
      <c r="U5077" s="28"/>
    </row>
    <row r="5078" ht="15.75" customHeight="1">
      <c r="P5078" s="25"/>
      <c r="Q5078" s="25"/>
      <c r="R5078" s="25"/>
      <c r="S5078" s="25"/>
      <c r="T5078" s="141"/>
      <c r="U5078" s="28"/>
    </row>
    <row r="5079" ht="15.75" customHeight="1">
      <c r="P5079" s="25"/>
      <c r="Q5079" s="25"/>
      <c r="R5079" s="25"/>
      <c r="S5079" s="25"/>
      <c r="T5079" s="141"/>
      <c r="U5079" s="28"/>
    </row>
    <row r="5080" ht="15.75" customHeight="1">
      <c r="P5080" s="25"/>
      <c r="Q5080" s="25"/>
      <c r="R5080" s="25"/>
      <c r="S5080" s="25"/>
      <c r="T5080" s="141"/>
      <c r="U5080" s="28"/>
    </row>
    <row r="5081" ht="15.75" customHeight="1">
      <c r="P5081" s="25"/>
      <c r="Q5081" s="25"/>
      <c r="R5081" s="25"/>
      <c r="S5081" s="25"/>
      <c r="T5081" s="141"/>
      <c r="U5081" s="28"/>
    </row>
    <row r="5082" ht="15.75" customHeight="1">
      <c r="P5082" s="25"/>
      <c r="Q5082" s="25"/>
      <c r="R5082" s="25"/>
      <c r="S5082" s="25"/>
      <c r="T5082" s="141"/>
      <c r="U5082" s="28"/>
    </row>
    <row r="5083" ht="15.75" customHeight="1">
      <c r="P5083" s="25"/>
      <c r="Q5083" s="25"/>
      <c r="R5083" s="25"/>
      <c r="S5083" s="25"/>
      <c r="T5083" s="141"/>
      <c r="U5083" s="28"/>
    </row>
    <row r="5084" ht="15.75" customHeight="1">
      <c r="P5084" s="25"/>
      <c r="Q5084" s="25"/>
      <c r="R5084" s="25"/>
      <c r="S5084" s="25"/>
      <c r="T5084" s="141"/>
      <c r="U5084" s="28"/>
    </row>
    <row r="5085" ht="15.75" customHeight="1">
      <c r="P5085" s="25"/>
      <c r="Q5085" s="25"/>
      <c r="R5085" s="25"/>
      <c r="S5085" s="25"/>
      <c r="T5085" s="141"/>
      <c r="U5085" s="28"/>
    </row>
    <row r="5086" ht="15.75" customHeight="1">
      <c r="P5086" s="25"/>
      <c r="Q5086" s="25"/>
      <c r="R5086" s="25"/>
      <c r="S5086" s="25"/>
      <c r="T5086" s="141"/>
      <c r="U5086" s="28"/>
    </row>
    <row r="5087" ht="15.75" customHeight="1">
      <c r="P5087" s="25"/>
      <c r="Q5087" s="25"/>
      <c r="R5087" s="25"/>
      <c r="S5087" s="25"/>
      <c r="T5087" s="141"/>
      <c r="U5087" s="28"/>
    </row>
    <row r="5088" ht="15.75" customHeight="1">
      <c r="P5088" s="25"/>
      <c r="Q5088" s="25"/>
      <c r="R5088" s="25"/>
      <c r="S5088" s="25"/>
      <c r="T5088" s="141"/>
      <c r="U5088" s="28"/>
    </row>
    <row r="5089" ht="15.75" customHeight="1">
      <c r="P5089" s="25"/>
      <c r="Q5089" s="25"/>
      <c r="R5089" s="25"/>
      <c r="S5089" s="25"/>
      <c r="T5089" s="141"/>
      <c r="U5089" s="28"/>
    </row>
    <row r="5090" ht="15.75" customHeight="1">
      <c r="P5090" s="25"/>
      <c r="Q5090" s="25"/>
      <c r="R5090" s="25"/>
      <c r="S5090" s="25"/>
      <c r="T5090" s="141"/>
      <c r="U5090" s="28"/>
    </row>
    <row r="5091" ht="15.75" customHeight="1">
      <c r="P5091" s="25"/>
      <c r="Q5091" s="25"/>
      <c r="R5091" s="25"/>
      <c r="S5091" s="25"/>
      <c r="T5091" s="141"/>
      <c r="U5091" s="28"/>
    </row>
    <row r="5092" ht="15.75" customHeight="1">
      <c r="P5092" s="25"/>
      <c r="Q5092" s="25"/>
      <c r="R5092" s="25"/>
      <c r="S5092" s="25"/>
      <c r="T5092" s="141"/>
      <c r="U5092" s="28"/>
    </row>
    <row r="5093" ht="15.75" customHeight="1">
      <c r="P5093" s="25"/>
      <c r="Q5093" s="25"/>
      <c r="R5093" s="25"/>
      <c r="S5093" s="25"/>
      <c r="T5093" s="141"/>
      <c r="U5093" s="28"/>
    </row>
    <row r="5094" ht="15.75" customHeight="1">
      <c r="P5094" s="25"/>
      <c r="Q5094" s="25"/>
      <c r="R5094" s="25"/>
      <c r="S5094" s="25"/>
      <c r="T5094" s="141"/>
      <c r="U5094" s="28"/>
    </row>
    <row r="5095" ht="15.75" customHeight="1">
      <c r="P5095" s="25"/>
      <c r="Q5095" s="25"/>
      <c r="R5095" s="25"/>
      <c r="S5095" s="25"/>
      <c r="T5095" s="141"/>
      <c r="U5095" s="28"/>
    </row>
    <row r="5096" ht="15.75" customHeight="1">
      <c r="P5096" s="25"/>
      <c r="Q5096" s="25"/>
      <c r="R5096" s="25"/>
      <c r="S5096" s="25"/>
      <c r="T5096" s="141"/>
      <c r="U5096" s="28"/>
    </row>
    <row r="5097" ht="15.75" customHeight="1">
      <c r="P5097" s="25"/>
      <c r="Q5097" s="25"/>
      <c r="R5097" s="25"/>
      <c r="S5097" s="25"/>
      <c r="T5097" s="141"/>
      <c r="U5097" s="28"/>
    </row>
    <row r="5098" ht="15.75" customHeight="1">
      <c r="P5098" s="25"/>
      <c r="Q5098" s="25"/>
      <c r="R5098" s="25"/>
      <c r="S5098" s="25"/>
      <c r="T5098" s="141"/>
      <c r="U5098" s="28"/>
    </row>
    <row r="5099" ht="15.75" customHeight="1">
      <c r="P5099" s="25"/>
      <c r="Q5099" s="25"/>
      <c r="R5099" s="25"/>
      <c r="S5099" s="25"/>
      <c r="T5099" s="141"/>
      <c r="U5099" s="28"/>
    </row>
    <row r="5100" ht="15.75" customHeight="1">
      <c r="P5100" s="25"/>
      <c r="Q5100" s="25"/>
      <c r="R5100" s="25"/>
      <c r="S5100" s="25"/>
      <c r="T5100" s="141"/>
      <c r="U5100" s="28"/>
    </row>
    <row r="5101" ht="15.75" customHeight="1">
      <c r="P5101" s="25"/>
      <c r="Q5101" s="25"/>
      <c r="R5101" s="25"/>
      <c r="S5101" s="25"/>
      <c r="T5101" s="141"/>
      <c r="U5101" s="28"/>
    </row>
    <row r="5102" ht="15.75" customHeight="1">
      <c r="P5102" s="25"/>
      <c r="Q5102" s="25"/>
      <c r="R5102" s="25"/>
      <c r="S5102" s="25"/>
      <c r="T5102" s="141"/>
      <c r="U5102" s="28"/>
    </row>
    <row r="5103" ht="15.75" customHeight="1">
      <c r="P5103" s="25"/>
      <c r="Q5103" s="25"/>
      <c r="R5103" s="25"/>
      <c r="S5103" s="25"/>
      <c r="T5103" s="141"/>
      <c r="U5103" s="28"/>
    </row>
    <row r="5104" ht="15.75" customHeight="1">
      <c r="P5104" s="25"/>
      <c r="Q5104" s="25"/>
      <c r="R5104" s="25"/>
      <c r="S5104" s="25"/>
      <c r="T5104" s="141"/>
      <c r="U5104" s="28"/>
    </row>
    <row r="5105" ht="15.75" customHeight="1">
      <c r="P5105" s="25"/>
      <c r="Q5105" s="25"/>
      <c r="R5105" s="25"/>
      <c r="S5105" s="25"/>
      <c r="T5105" s="141"/>
      <c r="U5105" s="28"/>
    </row>
    <row r="5106" ht="15.75" customHeight="1">
      <c r="P5106" s="25"/>
      <c r="Q5106" s="25"/>
      <c r="R5106" s="25"/>
      <c r="S5106" s="25"/>
      <c r="T5106" s="141"/>
      <c r="U5106" s="28"/>
    </row>
    <row r="5107" ht="15.75" customHeight="1">
      <c r="P5107" s="25"/>
      <c r="Q5107" s="25"/>
      <c r="R5107" s="25"/>
      <c r="S5107" s="25"/>
      <c r="T5107" s="141"/>
      <c r="U5107" s="28"/>
    </row>
    <row r="5108" ht="15.75" customHeight="1">
      <c r="P5108" s="25"/>
      <c r="Q5108" s="25"/>
      <c r="R5108" s="25"/>
      <c r="S5108" s="25"/>
      <c r="T5108" s="141"/>
      <c r="U5108" s="28"/>
    </row>
    <row r="5109" ht="15.75" customHeight="1">
      <c r="P5109" s="25"/>
      <c r="Q5109" s="25"/>
      <c r="R5109" s="25"/>
      <c r="S5109" s="25"/>
      <c r="T5109" s="141"/>
      <c r="U5109" s="28"/>
    </row>
    <row r="5110" ht="15.75" customHeight="1">
      <c r="P5110" s="25"/>
      <c r="Q5110" s="25"/>
      <c r="R5110" s="25"/>
      <c r="S5110" s="25"/>
      <c r="T5110" s="141"/>
      <c r="U5110" s="28"/>
    </row>
    <row r="5111" ht="15.75" customHeight="1">
      <c r="P5111" s="25"/>
      <c r="Q5111" s="25"/>
      <c r="R5111" s="25"/>
      <c r="S5111" s="25"/>
      <c r="T5111" s="141"/>
      <c r="U5111" s="28"/>
    </row>
    <row r="5112" ht="15.75" customHeight="1">
      <c r="P5112" s="25"/>
      <c r="Q5112" s="25"/>
      <c r="R5112" s="25"/>
      <c r="S5112" s="25"/>
      <c r="T5112" s="141"/>
      <c r="U5112" s="28"/>
    </row>
    <row r="5113" ht="15.75" customHeight="1">
      <c r="P5113" s="25"/>
      <c r="Q5113" s="25"/>
      <c r="R5113" s="25"/>
      <c r="S5113" s="25"/>
      <c r="T5113" s="141"/>
      <c r="U5113" s="28"/>
    </row>
    <row r="5114" ht="15.75" customHeight="1">
      <c r="P5114" s="25"/>
      <c r="Q5114" s="25"/>
      <c r="R5114" s="25"/>
      <c r="S5114" s="25"/>
      <c r="T5114" s="141"/>
      <c r="U5114" s="28"/>
    </row>
    <row r="5115" ht="15.75" customHeight="1">
      <c r="P5115" s="25"/>
      <c r="Q5115" s="25"/>
      <c r="R5115" s="25"/>
      <c r="S5115" s="25"/>
      <c r="T5115" s="141"/>
      <c r="U5115" s="28"/>
    </row>
    <row r="5116" ht="15.75" customHeight="1">
      <c r="P5116" s="25"/>
      <c r="Q5116" s="25"/>
      <c r="R5116" s="25"/>
      <c r="S5116" s="25"/>
      <c r="T5116" s="141"/>
      <c r="U5116" s="28"/>
    </row>
    <row r="5117" ht="15.75" customHeight="1">
      <c r="P5117" s="25"/>
      <c r="Q5117" s="25"/>
      <c r="R5117" s="25"/>
      <c r="S5117" s="25"/>
      <c r="T5117" s="141"/>
      <c r="U5117" s="28"/>
    </row>
    <row r="5118" ht="15.75" customHeight="1">
      <c r="P5118" s="25"/>
      <c r="Q5118" s="25"/>
      <c r="R5118" s="25"/>
      <c r="S5118" s="25"/>
      <c r="T5118" s="141"/>
      <c r="U5118" s="28"/>
    </row>
    <row r="5119" ht="15.75" customHeight="1">
      <c r="P5119" s="25"/>
      <c r="Q5119" s="25"/>
      <c r="R5119" s="25"/>
      <c r="S5119" s="25"/>
      <c r="T5119" s="141"/>
      <c r="U5119" s="28"/>
    </row>
    <row r="5120" ht="15.75" customHeight="1">
      <c r="P5120" s="25"/>
      <c r="Q5120" s="25"/>
      <c r="R5120" s="25"/>
      <c r="S5120" s="25"/>
      <c r="T5120" s="141"/>
      <c r="U5120" s="28"/>
    </row>
    <row r="5121" ht="15.75" customHeight="1">
      <c r="P5121" s="25"/>
      <c r="Q5121" s="25"/>
      <c r="R5121" s="25"/>
      <c r="S5121" s="25"/>
      <c r="T5121" s="141"/>
      <c r="U5121" s="28"/>
    </row>
    <row r="5122" ht="15.75" customHeight="1">
      <c r="P5122" s="25"/>
      <c r="Q5122" s="25"/>
      <c r="R5122" s="25"/>
      <c r="S5122" s="25"/>
      <c r="T5122" s="141"/>
      <c r="U5122" s="28"/>
    </row>
    <row r="5123" ht="15.75" customHeight="1">
      <c r="P5123" s="25"/>
      <c r="Q5123" s="25"/>
      <c r="R5123" s="25"/>
      <c r="S5123" s="25"/>
      <c r="T5123" s="141"/>
      <c r="U5123" s="28"/>
    </row>
    <row r="5124" ht="15.75" customHeight="1">
      <c r="P5124" s="25"/>
      <c r="Q5124" s="25"/>
      <c r="R5124" s="25"/>
      <c r="S5124" s="25"/>
      <c r="T5124" s="141"/>
      <c r="U5124" s="28"/>
    </row>
    <row r="5125" ht="15.75" customHeight="1">
      <c r="P5125" s="25"/>
      <c r="Q5125" s="25"/>
      <c r="R5125" s="25"/>
      <c r="S5125" s="25"/>
      <c r="T5125" s="141"/>
      <c r="U5125" s="28"/>
    </row>
    <row r="5126" ht="15.75" customHeight="1">
      <c r="P5126" s="25"/>
      <c r="Q5126" s="25"/>
      <c r="R5126" s="25"/>
      <c r="S5126" s="25"/>
      <c r="T5126" s="141"/>
      <c r="U5126" s="28"/>
    </row>
    <row r="5127" ht="15.75" customHeight="1">
      <c r="P5127" s="25"/>
      <c r="Q5127" s="25"/>
      <c r="R5127" s="25"/>
      <c r="S5127" s="25"/>
      <c r="T5127" s="141"/>
      <c r="U5127" s="28"/>
    </row>
    <row r="5128" ht="15.75" customHeight="1">
      <c r="P5128" s="25"/>
      <c r="Q5128" s="25"/>
      <c r="R5128" s="25"/>
      <c r="S5128" s="25"/>
      <c r="T5128" s="141"/>
      <c r="U5128" s="28"/>
    </row>
    <row r="5129" ht="15.75" customHeight="1">
      <c r="P5129" s="25"/>
      <c r="Q5129" s="25"/>
      <c r="R5129" s="25"/>
      <c r="S5129" s="25"/>
      <c r="T5129" s="141"/>
      <c r="U5129" s="28"/>
    </row>
    <row r="5130" ht="15.75" customHeight="1">
      <c r="P5130" s="25"/>
      <c r="Q5130" s="25"/>
      <c r="R5130" s="25"/>
      <c r="S5130" s="25"/>
      <c r="T5130" s="141"/>
      <c r="U5130" s="28"/>
    </row>
    <row r="5131" ht="15.75" customHeight="1">
      <c r="P5131" s="25"/>
      <c r="Q5131" s="25"/>
      <c r="R5131" s="25"/>
      <c r="S5131" s="25"/>
      <c r="T5131" s="141"/>
      <c r="U5131" s="28"/>
    </row>
    <row r="5132" ht="15.75" customHeight="1">
      <c r="P5132" s="25"/>
      <c r="Q5132" s="25"/>
      <c r="R5132" s="25"/>
      <c r="S5132" s="25"/>
      <c r="T5132" s="141"/>
      <c r="U5132" s="28"/>
    </row>
    <row r="5133" ht="15.75" customHeight="1">
      <c r="P5133" s="25"/>
      <c r="Q5133" s="25"/>
      <c r="R5133" s="25"/>
      <c r="S5133" s="25"/>
      <c r="T5133" s="141"/>
      <c r="U5133" s="28"/>
    </row>
    <row r="5134" ht="15.75" customHeight="1">
      <c r="P5134" s="25"/>
      <c r="Q5134" s="25"/>
      <c r="R5134" s="25"/>
      <c r="S5134" s="25"/>
      <c r="T5134" s="141"/>
      <c r="U5134" s="28"/>
    </row>
    <row r="5135" ht="15.75" customHeight="1">
      <c r="P5135" s="25"/>
      <c r="Q5135" s="25"/>
      <c r="R5135" s="25"/>
      <c r="S5135" s="25"/>
      <c r="T5135" s="141"/>
      <c r="U5135" s="28"/>
    </row>
    <row r="5136" ht="15.75" customHeight="1">
      <c r="P5136" s="25"/>
      <c r="Q5136" s="25"/>
      <c r="R5136" s="25"/>
      <c r="S5136" s="25"/>
      <c r="T5136" s="141"/>
      <c r="U5136" s="28"/>
    </row>
    <row r="5137" ht="15.75" customHeight="1">
      <c r="P5137" s="25"/>
      <c r="Q5137" s="25"/>
      <c r="R5137" s="25"/>
      <c r="S5137" s="25"/>
      <c r="T5137" s="141"/>
      <c r="U5137" s="28"/>
    </row>
    <row r="5138" ht="15.75" customHeight="1">
      <c r="P5138" s="25"/>
      <c r="Q5138" s="25"/>
      <c r="R5138" s="25"/>
      <c r="S5138" s="25"/>
      <c r="T5138" s="141"/>
      <c r="U5138" s="28"/>
    </row>
    <row r="5139" ht="15.75" customHeight="1">
      <c r="P5139" s="25"/>
      <c r="Q5139" s="25"/>
      <c r="R5139" s="25"/>
      <c r="S5139" s="25"/>
      <c r="T5139" s="141"/>
      <c r="U5139" s="28"/>
    </row>
    <row r="5140" ht="15.75" customHeight="1">
      <c r="P5140" s="25"/>
      <c r="Q5140" s="25"/>
      <c r="R5140" s="25"/>
      <c r="S5140" s="25"/>
      <c r="T5140" s="141"/>
      <c r="U5140" s="28"/>
    </row>
    <row r="5141" ht="15.75" customHeight="1">
      <c r="P5141" s="25"/>
      <c r="Q5141" s="25"/>
      <c r="R5141" s="25"/>
      <c r="S5141" s="25"/>
      <c r="T5141" s="141"/>
      <c r="U5141" s="28"/>
    </row>
    <row r="5142" ht="15.75" customHeight="1">
      <c r="P5142" s="25"/>
      <c r="Q5142" s="25"/>
      <c r="R5142" s="25"/>
      <c r="S5142" s="25"/>
      <c r="T5142" s="141"/>
      <c r="U5142" s="28"/>
    </row>
    <row r="5143" ht="15.75" customHeight="1">
      <c r="P5143" s="25"/>
      <c r="Q5143" s="25"/>
      <c r="R5143" s="25"/>
      <c r="S5143" s="25"/>
      <c r="T5143" s="141"/>
      <c r="U5143" s="28"/>
    </row>
    <row r="5144" ht="15.75" customHeight="1">
      <c r="P5144" s="25"/>
      <c r="Q5144" s="25"/>
      <c r="R5144" s="25"/>
      <c r="S5144" s="25"/>
      <c r="T5144" s="141"/>
      <c r="U5144" s="28"/>
    </row>
    <row r="5145" ht="15.75" customHeight="1">
      <c r="P5145" s="25"/>
      <c r="Q5145" s="25"/>
      <c r="R5145" s="25"/>
      <c r="S5145" s="25"/>
      <c r="T5145" s="141"/>
      <c r="U5145" s="28"/>
    </row>
    <row r="5146" ht="15.75" customHeight="1">
      <c r="P5146" s="25"/>
      <c r="Q5146" s="25"/>
      <c r="R5146" s="25"/>
      <c r="S5146" s="25"/>
      <c r="T5146" s="141"/>
      <c r="U5146" s="28"/>
    </row>
    <row r="5147" ht="15.75" customHeight="1">
      <c r="P5147" s="25"/>
      <c r="Q5147" s="25"/>
      <c r="R5147" s="25"/>
      <c r="S5147" s="25"/>
      <c r="T5147" s="141"/>
      <c r="U5147" s="28"/>
    </row>
    <row r="5148" ht="15.75" customHeight="1">
      <c r="P5148" s="25"/>
      <c r="Q5148" s="25"/>
      <c r="R5148" s="25"/>
      <c r="S5148" s="25"/>
      <c r="T5148" s="141"/>
      <c r="U5148" s="28"/>
    </row>
    <row r="5149" ht="15.75" customHeight="1">
      <c r="P5149" s="25"/>
      <c r="Q5149" s="25"/>
      <c r="R5149" s="25"/>
      <c r="S5149" s="25"/>
      <c r="T5149" s="141"/>
      <c r="U5149" s="28"/>
    </row>
    <row r="5150" ht="15.75" customHeight="1">
      <c r="P5150" s="25"/>
      <c r="Q5150" s="25"/>
      <c r="R5150" s="25"/>
      <c r="S5150" s="25"/>
      <c r="T5150" s="141"/>
      <c r="U5150" s="28"/>
    </row>
    <row r="5151" ht="15.75" customHeight="1">
      <c r="P5151" s="25"/>
      <c r="Q5151" s="25"/>
      <c r="R5151" s="25"/>
      <c r="S5151" s="25"/>
      <c r="T5151" s="141"/>
      <c r="U5151" s="28"/>
    </row>
    <row r="5152" ht="15.75" customHeight="1">
      <c r="P5152" s="25"/>
      <c r="Q5152" s="25"/>
      <c r="R5152" s="25"/>
      <c r="S5152" s="25"/>
      <c r="T5152" s="141"/>
      <c r="U5152" s="28"/>
    </row>
    <row r="5153" ht="15.75" customHeight="1">
      <c r="P5153" s="25"/>
      <c r="Q5153" s="25"/>
      <c r="R5153" s="25"/>
      <c r="S5153" s="25"/>
      <c r="T5153" s="141"/>
      <c r="U5153" s="28"/>
    </row>
    <row r="5154" ht="15.75" customHeight="1">
      <c r="P5154" s="25"/>
      <c r="Q5154" s="25"/>
      <c r="R5154" s="25"/>
      <c r="S5154" s="25"/>
      <c r="T5154" s="141"/>
      <c r="U5154" s="28"/>
    </row>
    <row r="5155" ht="15.75" customHeight="1">
      <c r="P5155" s="25"/>
      <c r="Q5155" s="25"/>
      <c r="R5155" s="25"/>
      <c r="S5155" s="25"/>
      <c r="T5155" s="141"/>
      <c r="U5155" s="28"/>
    </row>
    <row r="5156" ht="15.75" customHeight="1">
      <c r="P5156" s="25"/>
      <c r="Q5156" s="25"/>
      <c r="R5156" s="25"/>
      <c r="S5156" s="25"/>
      <c r="T5156" s="141"/>
      <c r="U5156" s="28"/>
    </row>
    <row r="5157" ht="15.75" customHeight="1">
      <c r="P5157" s="25"/>
      <c r="Q5157" s="25"/>
      <c r="R5157" s="25"/>
      <c r="S5157" s="25"/>
      <c r="T5157" s="141"/>
      <c r="U5157" s="28"/>
    </row>
    <row r="5158" ht="15.75" customHeight="1">
      <c r="P5158" s="25"/>
      <c r="Q5158" s="25"/>
      <c r="R5158" s="25"/>
      <c r="S5158" s="25"/>
      <c r="T5158" s="141"/>
      <c r="U5158" s="28"/>
    </row>
    <row r="5159" ht="15.75" customHeight="1">
      <c r="P5159" s="25"/>
      <c r="Q5159" s="25"/>
      <c r="R5159" s="25"/>
      <c r="S5159" s="25"/>
      <c r="T5159" s="141"/>
      <c r="U5159" s="28"/>
    </row>
    <row r="5160" ht="15.75" customHeight="1">
      <c r="P5160" s="25"/>
      <c r="Q5160" s="25"/>
      <c r="R5160" s="25"/>
      <c r="S5160" s="25"/>
      <c r="T5160" s="141"/>
      <c r="U5160" s="28"/>
    </row>
    <row r="5161" ht="15.75" customHeight="1">
      <c r="P5161" s="25"/>
      <c r="Q5161" s="25"/>
      <c r="R5161" s="25"/>
      <c r="S5161" s="25"/>
      <c r="T5161" s="141"/>
      <c r="U5161" s="28"/>
    </row>
    <row r="5162" ht="15.75" customHeight="1">
      <c r="P5162" s="25"/>
      <c r="Q5162" s="25"/>
      <c r="R5162" s="25"/>
      <c r="S5162" s="25"/>
      <c r="T5162" s="141"/>
      <c r="U5162" s="28"/>
    </row>
    <row r="5163" ht="15.75" customHeight="1">
      <c r="P5163" s="25"/>
      <c r="Q5163" s="25"/>
      <c r="R5163" s="25"/>
      <c r="S5163" s="25"/>
      <c r="T5163" s="141"/>
      <c r="U5163" s="28"/>
    </row>
    <row r="5164" ht="15.75" customHeight="1">
      <c r="P5164" s="25"/>
      <c r="Q5164" s="25"/>
      <c r="R5164" s="25"/>
      <c r="S5164" s="25"/>
      <c r="T5164" s="141"/>
      <c r="U5164" s="28"/>
    </row>
    <row r="5165" ht="15.75" customHeight="1">
      <c r="P5165" s="25"/>
      <c r="Q5165" s="25"/>
      <c r="R5165" s="25"/>
      <c r="S5165" s="25"/>
      <c r="T5165" s="141"/>
      <c r="U5165" s="28"/>
    </row>
    <row r="5166" ht="15.75" customHeight="1">
      <c r="P5166" s="25"/>
      <c r="Q5166" s="25"/>
      <c r="R5166" s="25"/>
      <c r="S5166" s="25"/>
      <c r="T5166" s="141"/>
      <c r="U5166" s="28"/>
    </row>
    <row r="5167" ht="15.75" customHeight="1">
      <c r="P5167" s="25"/>
      <c r="Q5167" s="25"/>
      <c r="R5167" s="25"/>
      <c r="S5167" s="25"/>
      <c r="T5167" s="141"/>
      <c r="U5167" s="28"/>
    </row>
    <row r="5168" ht="15.75" customHeight="1">
      <c r="P5168" s="25"/>
      <c r="Q5168" s="25"/>
      <c r="R5168" s="25"/>
      <c r="S5168" s="25"/>
      <c r="T5168" s="141"/>
      <c r="U5168" s="28"/>
    </row>
    <row r="5169" ht="15.75" customHeight="1">
      <c r="P5169" s="25"/>
      <c r="Q5169" s="25"/>
      <c r="R5169" s="25"/>
      <c r="S5169" s="25"/>
      <c r="T5169" s="141"/>
      <c r="U5169" s="28"/>
    </row>
    <row r="5170" ht="15.75" customHeight="1">
      <c r="P5170" s="25"/>
      <c r="Q5170" s="25"/>
      <c r="R5170" s="25"/>
      <c r="S5170" s="25"/>
      <c r="T5170" s="141"/>
      <c r="U5170" s="28"/>
    </row>
    <row r="5171" ht="15.75" customHeight="1">
      <c r="P5171" s="25"/>
      <c r="Q5171" s="25"/>
      <c r="R5171" s="25"/>
      <c r="S5171" s="25"/>
      <c r="T5171" s="141"/>
      <c r="U5171" s="28"/>
    </row>
    <row r="5172" ht="15.75" customHeight="1">
      <c r="P5172" s="25"/>
      <c r="Q5172" s="25"/>
      <c r="R5172" s="25"/>
      <c r="S5172" s="25"/>
      <c r="T5172" s="141"/>
      <c r="U5172" s="28"/>
    </row>
    <row r="5173" ht="15.75" customHeight="1">
      <c r="P5173" s="25"/>
      <c r="Q5173" s="25"/>
      <c r="R5173" s="25"/>
      <c r="S5173" s="25"/>
      <c r="T5173" s="141"/>
      <c r="U5173" s="28"/>
    </row>
    <row r="5174" ht="15.75" customHeight="1">
      <c r="P5174" s="25"/>
      <c r="Q5174" s="25"/>
      <c r="R5174" s="25"/>
      <c r="S5174" s="25"/>
      <c r="T5174" s="141"/>
      <c r="U5174" s="28"/>
    </row>
    <row r="5175" ht="15.75" customHeight="1">
      <c r="P5175" s="25"/>
      <c r="Q5175" s="25"/>
      <c r="R5175" s="25"/>
      <c r="S5175" s="25"/>
      <c r="T5175" s="141"/>
      <c r="U5175" s="28"/>
    </row>
    <row r="5176" ht="15.75" customHeight="1">
      <c r="P5176" s="25"/>
      <c r="Q5176" s="25"/>
      <c r="R5176" s="25"/>
      <c r="S5176" s="25"/>
      <c r="T5176" s="141"/>
      <c r="U5176" s="28"/>
    </row>
    <row r="5177" ht="15.75" customHeight="1">
      <c r="P5177" s="25"/>
      <c r="Q5177" s="25"/>
      <c r="R5177" s="25"/>
      <c r="S5177" s="25"/>
      <c r="T5177" s="141"/>
      <c r="U5177" s="28"/>
    </row>
    <row r="5178" ht="15.75" customHeight="1">
      <c r="P5178" s="25"/>
      <c r="Q5178" s="25"/>
      <c r="R5178" s="25"/>
      <c r="S5178" s="25"/>
      <c r="T5178" s="141"/>
      <c r="U5178" s="28"/>
    </row>
    <row r="5179" ht="15.75" customHeight="1">
      <c r="P5179" s="25"/>
      <c r="Q5179" s="25"/>
      <c r="R5179" s="25"/>
      <c r="S5179" s="25"/>
      <c r="T5179" s="141"/>
      <c r="U5179" s="28"/>
    </row>
    <row r="5180" ht="15.75" customHeight="1">
      <c r="P5180" s="25"/>
      <c r="Q5180" s="25"/>
      <c r="R5180" s="25"/>
      <c r="S5180" s="25"/>
      <c r="T5180" s="141"/>
      <c r="U5180" s="28"/>
    </row>
    <row r="5181" ht="15.75" customHeight="1">
      <c r="P5181" s="25"/>
      <c r="Q5181" s="25"/>
      <c r="R5181" s="25"/>
      <c r="S5181" s="25"/>
      <c r="T5181" s="141"/>
      <c r="U5181" s="28"/>
    </row>
    <row r="5182" ht="15.75" customHeight="1">
      <c r="P5182" s="25"/>
      <c r="Q5182" s="25"/>
      <c r="R5182" s="25"/>
      <c r="S5182" s="25"/>
      <c r="T5182" s="141"/>
      <c r="U5182" s="28"/>
    </row>
    <row r="5183" ht="15.75" customHeight="1">
      <c r="P5183" s="25"/>
      <c r="Q5183" s="25"/>
      <c r="R5183" s="25"/>
      <c r="S5183" s="25"/>
      <c r="T5183" s="141"/>
      <c r="U5183" s="28"/>
    </row>
    <row r="5184" ht="15.75" customHeight="1">
      <c r="P5184" s="25"/>
      <c r="Q5184" s="25"/>
      <c r="R5184" s="25"/>
      <c r="S5184" s="25"/>
      <c r="T5184" s="141"/>
      <c r="U5184" s="28"/>
    </row>
    <row r="5185" ht="15.75" customHeight="1">
      <c r="P5185" s="25"/>
      <c r="Q5185" s="25"/>
      <c r="R5185" s="25"/>
      <c r="S5185" s="25"/>
      <c r="T5185" s="141"/>
      <c r="U5185" s="28"/>
    </row>
    <row r="5186" ht="15.75" customHeight="1">
      <c r="P5186" s="25"/>
      <c r="Q5186" s="25"/>
      <c r="R5186" s="25"/>
      <c r="S5186" s="25"/>
      <c r="T5186" s="141"/>
      <c r="U5186" s="28"/>
    </row>
    <row r="5187" ht="15.75" customHeight="1">
      <c r="P5187" s="25"/>
      <c r="Q5187" s="25"/>
      <c r="R5187" s="25"/>
      <c r="S5187" s="25"/>
      <c r="T5187" s="141"/>
      <c r="U5187" s="28"/>
    </row>
    <row r="5188" ht="15.75" customHeight="1">
      <c r="P5188" s="25"/>
      <c r="Q5188" s="25"/>
      <c r="R5188" s="25"/>
      <c r="S5188" s="25"/>
      <c r="T5188" s="141"/>
      <c r="U5188" s="28"/>
    </row>
    <row r="5189" ht="15.75" customHeight="1">
      <c r="P5189" s="25"/>
      <c r="Q5189" s="25"/>
      <c r="R5189" s="25"/>
      <c r="S5189" s="25"/>
      <c r="T5189" s="141"/>
      <c r="U5189" s="28"/>
    </row>
    <row r="5190" ht="15.75" customHeight="1">
      <c r="P5190" s="25"/>
      <c r="Q5190" s="25"/>
      <c r="R5190" s="25"/>
      <c r="S5190" s="25"/>
      <c r="T5190" s="141"/>
      <c r="U5190" s="28"/>
    </row>
    <row r="5191" ht="15.75" customHeight="1">
      <c r="P5191" s="25"/>
      <c r="Q5191" s="25"/>
      <c r="R5191" s="25"/>
      <c r="S5191" s="25"/>
      <c r="T5191" s="141"/>
      <c r="U5191" s="28"/>
    </row>
    <row r="5192" ht="15.75" customHeight="1">
      <c r="P5192" s="25"/>
      <c r="Q5192" s="25"/>
      <c r="R5192" s="25"/>
      <c r="S5192" s="25"/>
      <c r="T5192" s="141"/>
      <c r="U5192" s="28"/>
    </row>
    <row r="5193" ht="15.75" customHeight="1">
      <c r="P5193" s="25"/>
      <c r="Q5193" s="25"/>
      <c r="R5193" s="25"/>
      <c r="S5193" s="25"/>
      <c r="T5193" s="141"/>
      <c r="U5193" s="28"/>
    </row>
    <row r="5194" ht="15.75" customHeight="1">
      <c r="P5194" s="25"/>
      <c r="Q5194" s="25"/>
      <c r="R5194" s="25"/>
      <c r="S5194" s="25"/>
      <c r="T5194" s="141"/>
      <c r="U5194" s="28"/>
    </row>
    <row r="5195" ht="15.75" customHeight="1">
      <c r="P5195" s="25"/>
      <c r="Q5195" s="25"/>
      <c r="R5195" s="25"/>
      <c r="S5195" s="25"/>
      <c r="T5195" s="141"/>
      <c r="U5195" s="28"/>
    </row>
    <row r="5196" ht="15.75" customHeight="1">
      <c r="P5196" s="25"/>
      <c r="Q5196" s="25"/>
      <c r="R5196" s="25"/>
      <c r="S5196" s="25"/>
      <c r="T5196" s="141"/>
      <c r="U5196" s="28"/>
    </row>
    <row r="5197" ht="15.75" customHeight="1">
      <c r="P5197" s="25"/>
      <c r="Q5197" s="25"/>
      <c r="R5197" s="25"/>
      <c r="S5197" s="25"/>
      <c r="T5197" s="141"/>
      <c r="U5197" s="28"/>
    </row>
    <row r="5198" ht="15.75" customHeight="1">
      <c r="P5198" s="25"/>
      <c r="Q5198" s="25"/>
      <c r="R5198" s="25"/>
      <c r="S5198" s="25"/>
      <c r="T5198" s="141"/>
      <c r="U5198" s="28"/>
    </row>
    <row r="5199" ht="15.75" customHeight="1">
      <c r="P5199" s="25"/>
      <c r="Q5199" s="25"/>
      <c r="R5199" s="25"/>
      <c r="S5199" s="25"/>
      <c r="T5199" s="141"/>
      <c r="U5199" s="28"/>
    </row>
    <row r="5200" ht="15.75" customHeight="1">
      <c r="P5200" s="25"/>
      <c r="Q5200" s="25"/>
      <c r="R5200" s="25"/>
      <c r="S5200" s="25"/>
      <c r="T5200" s="141"/>
      <c r="U5200" s="28"/>
    </row>
    <row r="5201" ht="15.75" customHeight="1">
      <c r="P5201" s="25"/>
      <c r="Q5201" s="25"/>
      <c r="R5201" s="25"/>
      <c r="S5201" s="25"/>
      <c r="T5201" s="141"/>
      <c r="U5201" s="28"/>
    </row>
    <row r="5202" ht="15.75" customHeight="1">
      <c r="P5202" s="25"/>
      <c r="Q5202" s="25"/>
      <c r="R5202" s="25"/>
      <c r="S5202" s="25"/>
      <c r="T5202" s="141"/>
      <c r="U5202" s="28"/>
    </row>
    <row r="5203" ht="15.75" customHeight="1">
      <c r="P5203" s="25"/>
      <c r="Q5203" s="25"/>
      <c r="R5203" s="25"/>
      <c r="S5203" s="25"/>
      <c r="T5203" s="141"/>
      <c r="U5203" s="28"/>
    </row>
    <row r="5204" ht="15.75" customHeight="1">
      <c r="P5204" s="25"/>
      <c r="Q5204" s="25"/>
      <c r="R5204" s="25"/>
      <c r="S5204" s="25"/>
      <c r="T5204" s="141"/>
      <c r="U5204" s="28"/>
    </row>
    <row r="5205" ht="15.75" customHeight="1">
      <c r="P5205" s="25"/>
      <c r="Q5205" s="25"/>
      <c r="R5205" s="25"/>
      <c r="S5205" s="25"/>
      <c r="T5205" s="141"/>
      <c r="U5205" s="28"/>
    </row>
    <row r="5206" ht="15.75" customHeight="1">
      <c r="P5206" s="25"/>
      <c r="Q5206" s="25"/>
      <c r="R5206" s="25"/>
      <c r="S5206" s="25"/>
      <c r="T5206" s="141"/>
      <c r="U5206" s="28"/>
    </row>
    <row r="5207" ht="15.75" customHeight="1">
      <c r="P5207" s="25"/>
      <c r="Q5207" s="25"/>
      <c r="R5207" s="25"/>
      <c r="S5207" s="25"/>
      <c r="T5207" s="141"/>
      <c r="U5207" s="28"/>
    </row>
    <row r="5208" ht="15.75" customHeight="1">
      <c r="P5208" s="25"/>
      <c r="Q5208" s="25"/>
      <c r="R5208" s="25"/>
      <c r="S5208" s="25"/>
      <c r="T5208" s="141"/>
      <c r="U5208" s="28"/>
    </row>
    <row r="5209" ht="15.75" customHeight="1">
      <c r="P5209" s="25"/>
      <c r="Q5209" s="25"/>
      <c r="R5209" s="25"/>
      <c r="S5209" s="25"/>
      <c r="T5209" s="141"/>
      <c r="U5209" s="28"/>
    </row>
    <row r="5210" ht="15.75" customHeight="1">
      <c r="P5210" s="25"/>
      <c r="Q5210" s="25"/>
      <c r="R5210" s="25"/>
      <c r="S5210" s="25"/>
      <c r="T5210" s="141"/>
      <c r="U5210" s="28"/>
    </row>
    <row r="5211" ht="15.75" customHeight="1">
      <c r="P5211" s="25"/>
      <c r="Q5211" s="25"/>
      <c r="R5211" s="25"/>
      <c r="S5211" s="25"/>
      <c r="T5211" s="141"/>
      <c r="U5211" s="28"/>
    </row>
    <row r="5212" ht="15.75" customHeight="1">
      <c r="P5212" s="25"/>
      <c r="Q5212" s="25"/>
      <c r="R5212" s="25"/>
      <c r="S5212" s="25"/>
      <c r="T5212" s="141"/>
      <c r="U5212" s="28"/>
    </row>
    <row r="5213" ht="15.75" customHeight="1">
      <c r="P5213" s="25"/>
      <c r="Q5213" s="25"/>
      <c r="R5213" s="25"/>
      <c r="S5213" s="25"/>
      <c r="T5213" s="141"/>
      <c r="U5213" s="28"/>
    </row>
    <row r="5214" ht="15.75" customHeight="1">
      <c r="P5214" s="25"/>
      <c r="Q5214" s="25"/>
      <c r="R5214" s="25"/>
      <c r="S5214" s="25"/>
      <c r="T5214" s="141"/>
      <c r="U5214" s="28"/>
    </row>
    <row r="5215" ht="15.75" customHeight="1">
      <c r="P5215" s="25"/>
      <c r="Q5215" s="25"/>
      <c r="R5215" s="25"/>
      <c r="S5215" s="25"/>
      <c r="T5215" s="141"/>
      <c r="U5215" s="28"/>
    </row>
    <row r="5216" ht="15.75" customHeight="1">
      <c r="P5216" s="25"/>
      <c r="Q5216" s="25"/>
      <c r="R5216" s="25"/>
      <c r="S5216" s="25"/>
      <c r="T5216" s="141"/>
      <c r="U5216" s="28"/>
    </row>
    <row r="5217" ht="15.75" customHeight="1">
      <c r="P5217" s="25"/>
      <c r="Q5217" s="25"/>
      <c r="R5217" s="25"/>
      <c r="S5217" s="25"/>
      <c r="T5217" s="141"/>
      <c r="U5217" s="28"/>
    </row>
    <row r="5218" ht="15.75" customHeight="1">
      <c r="P5218" s="25"/>
      <c r="Q5218" s="25"/>
      <c r="R5218" s="25"/>
      <c r="S5218" s="25"/>
      <c r="T5218" s="141"/>
      <c r="U5218" s="28"/>
    </row>
    <row r="5219" ht="15.75" customHeight="1">
      <c r="P5219" s="25"/>
      <c r="Q5219" s="25"/>
      <c r="R5219" s="25"/>
      <c r="S5219" s="25"/>
      <c r="T5219" s="141"/>
      <c r="U5219" s="28"/>
    </row>
    <row r="5220" ht="15.75" customHeight="1">
      <c r="P5220" s="25"/>
      <c r="Q5220" s="25"/>
      <c r="R5220" s="25"/>
      <c r="S5220" s="25"/>
      <c r="T5220" s="141"/>
      <c r="U5220" s="28"/>
    </row>
    <row r="5221" ht="15.75" customHeight="1">
      <c r="P5221" s="25"/>
      <c r="Q5221" s="25"/>
      <c r="R5221" s="25"/>
      <c r="S5221" s="25"/>
      <c r="T5221" s="141"/>
      <c r="U5221" s="28"/>
    </row>
    <row r="5222" ht="15.75" customHeight="1">
      <c r="P5222" s="25"/>
      <c r="Q5222" s="25"/>
      <c r="R5222" s="25"/>
      <c r="S5222" s="25"/>
      <c r="T5222" s="141"/>
      <c r="U5222" s="28"/>
    </row>
    <row r="5223" ht="15.75" customHeight="1">
      <c r="P5223" s="25"/>
      <c r="Q5223" s="25"/>
      <c r="R5223" s="25"/>
      <c r="S5223" s="25"/>
      <c r="T5223" s="141"/>
      <c r="U5223" s="28"/>
    </row>
    <row r="5224" ht="15.75" customHeight="1">
      <c r="P5224" s="25"/>
      <c r="Q5224" s="25"/>
      <c r="R5224" s="25"/>
      <c r="S5224" s="25"/>
      <c r="T5224" s="141"/>
      <c r="U5224" s="28"/>
    </row>
    <row r="5225" ht="15.75" customHeight="1">
      <c r="P5225" s="25"/>
      <c r="Q5225" s="25"/>
      <c r="R5225" s="25"/>
      <c r="S5225" s="25"/>
      <c r="T5225" s="141"/>
      <c r="U5225" s="28"/>
    </row>
    <row r="5226" ht="15.75" customHeight="1">
      <c r="P5226" s="25"/>
      <c r="Q5226" s="25"/>
      <c r="R5226" s="25"/>
      <c r="S5226" s="25"/>
      <c r="T5226" s="141"/>
      <c r="U5226" s="28"/>
    </row>
    <row r="5227" ht="15.75" customHeight="1">
      <c r="P5227" s="25"/>
      <c r="Q5227" s="25"/>
      <c r="R5227" s="25"/>
      <c r="S5227" s="25"/>
      <c r="T5227" s="141"/>
      <c r="U5227" s="28"/>
    </row>
    <row r="5228" ht="15.75" customHeight="1">
      <c r="P5228" s="25"/>
      <c r="Q5228" s="25"/>
      <c r="R5228" s="25"/>
      <c r="S5228" s="25"/>
      <c r="T5228" s="141"/>
      <c r="U5228" s="28"/>
    </row>
    <row r="5229" ht="15.75" customHeight="1">
      <c r="P5229" s="25"/>
      <c r="Q5229" s="25"/>
      <c r="R5229" s="25"/>
      <c r="S5229" s="25"/>
      <c r="T5229" s="141"/>
      <c r="U5229" s="28"/>
    </row>
    <row r="5230" ht="15.75" customHeight="1">
      <c r="P5230" s="25"/>
      <c r="Q5230" s="25"/>
      <c r="R5230" s="25"/>
      <c r="S5230" s="25"/>
      <c r="T5230" s="141"/>
      <c r="U5230" s="28"/>
    </row>
    <row r="5231" ht="15.75" customHeight="1">
      <c r="P5231" s="25"/>
      <c r="Q5231" s="25"/>
      <c r="R5231" s="25"/>
      <c r="S5231" s="25"/>
      <c r="T5231" s="141"/>
      <c r="U5231" s="28"/>
    </row>
    <row r="5232" ht="15.75" customHeight="1">
      <c r="P5232" s="25"/>
      <c r="Q5232" s="25"/>
      <c r="R5232" s="25"/>
      <c r="S5232" s="25"/>
      <c r="T5232" s="141"/>
      <c r="U5232" s="28"/>
    </row>
    <row r="5233" ht="15.75" customHeight="1">
      <c r="P5233" s="25"/>
      <c r="Q5233" s="25"/>
      <c r="R5233" s="25"/>
      <c r="S5233" s="25"/>
      <c r="T5233" s="141"/>
      <c r="U5233" s="28"/>
    </row>
    <row r="5234" ht="15.75" customHeight="1">
      <c r="P5234" s="25"/>
      <c r="Q5234" s="25"/>
      <c r="R5234" s="25"/>
      <c r="S5234" s="25"/>
      <c r="T5234" s="141"/>
      <c r="U5234" s="28"/>
    </row>
    <row r="5235" ht="15.75" customHeight="1">
      <c r="P5235" s="25"/>
      <c r="Q5235" s="25"/>
      <c r="R5235" s="25"/>
      <c r="S5235" s="25"/>
      <c r="T5235" s="141"/>
      <c r="U5235" s="28"/>
    </row>
    <row r="5236" ht="15.75" customHeight="1">
      <c r="P5236" s="25"/>
      <c r="Q5236" s="25"/>
      <c r="R5236" s="25"/>
      <c r="S5236" s="25"/>
      <c r="T5236" s="141"/>
      <c r="U5236" s="28"/>
    </row>
    <row r="5237" ht="15.75" customHeight="1">
      <c r="P5237" s="25"/>
      <c r="Q5237" s="25"/>
      <c r="R5237" s="25"/>
      <c r="S5237" s="25"/>
      <c r="T5237" s="141"/>
      <c r="U5237" s="28"/>
    </row>
    <row r="5238" ht="15.75" customHeight="1">
      <c r="P5238" s="25"/>
      <c r="Q5238" s="25"/>
      <c r="R5238" s="25"/>
      <c r="S5238" s="25"/>
      <c r="T5238" s="141"/>
      <c r="U5238" s="28"/>
    </row>
    <row r="5239" ht="15.75" customHeight="1">
      <c r="P5239" s="25"/>
      <c r="Q5239" s="25"/>
      <c r="R5239" s="25"/>
      <c r="S5239" s="25"/>
      <c r="T5239" s="141"/>
      <c r="U5239" s="28"/>
    </row>
    <row r="5240" ht="15.75" customHeight="1">
      <c r="P5240" s="25"/>
      <c r="Q5240" s="25"/>
      <c r="R5240" s="25"/>
      <c r="S5240" s="25"/>
      <c r="T5240" s="141"/>
      <c r="U5240" s="28"/>
    </row>
    <row r="5241" ht="15.75" customHeight="1">
      <c r="P5241" s="25"/>
      <c r="Q5241" s="25"/>
      <c r="R5241" s="25"/>
      <c r="S5241" s="25"/>
      <c r="T5241" s="141"/>
      <c r="U5241" s="28"/>
    </row>
    <row r="5242" ht="15.75" customHeight="1">
      <c r="P5242" s="25"/>
      <c r="Q5242" s="25"/>
      <c r="R5242" s="25"/>
      <c r="S5242" s="25"/>
      <c r="T5242" s="141"/>
      <c r="U5242" s="28"/>
    </row>
    <row r="5243" ht="15.75" customHeight="1">
      <c r="P5243" s="25"/>
      <c r="Q5243" s="25"/>
      <c r="R5243" s="25"/>
      <c r="S5243" s="25"/>
      <c r="T5243" s="141"/>
      <c r="U5243" s="28"/>
    </row>
    <row r="5244" ht="15.75" customHeight="1">
      <c r="P5244" s="25"/>
      <c r="Q5244" s="25"/>
      <c r="R5244" s="25"/>
      <c r="S5244" s="25"/>
      <c r="T5244" s="141"/>
      <c r="U5244" s="28"/>
    </row>
    <row r="5245" ht="15.75" customHeight="1">
      <c r="P5245" s="25"/>
      <c r="Q5245" s="25"/>
      <c r="R5245" s="25"/>
      <c r="S5245" s="25"/>
      <c r="T5245" s="141"/>
      <c r="U5245" s="28"/>
    </row>
    <row r="5246" ht="15.75" customHeight="1">
      <c r="P5246" s="25"/>
      <c r="Q5246" s="25"/>
      <c r="R5246" s="25"/>
      <c r="S5246" s="25"/>
      <c r="T5246" s="141"/>
      <c r="U5246" s="28"/>
    </row>
    <row r="5247" ht="15.75" customHeight="1">
      <c r="P5247" s="25"/>
      <c r="Q5247" s="25"/>
      <c r="R5247" s="25"/>
      <c r="S5247" s="25"/>
      <c r="T5247" s="141"/>
      <c r="U5247" s="28"/>
    </row>
    <row r="5248" ht="15.75" customHeight="1">
      <c r="P5248" s="25"/>
      <c r="Q5248" s="25"/>
      <c r="R5248" s="25"/>
      <c r="S5248" s="25"/>
      <c r="T5248" s="141"/>
      <c r="U5248" s="28"/>
    </row>
    <row r="5249" ht="15.75" customHeight="1">
      <c r="P5249" s="25"/>
      <c r="Q5249" s="25"/>
      <c r="R5249" s="25"/>
      <c r="S5249" s="25"/>
      <c r="T5249" s="141"/>
      <c r="U5249" s="28"/>
    </row>
    <row r="5250" ht="15.75" customHeight="1">
      <c r="P5250" s="25"/>
      <c r="Q5250" s="25"/>
      <c r="R5250" s="25"/>
      <c r="S5250" s="25"/>
      <c r="T5250" s="141"/>
      <c r="U5250" s="28"/>
    </row>
    <row r="5251" ht="15.75" customHeight="1">
      <c r="P5251" s="25"/>
      <c r="Q5251" s="25"/>
      <c r="R5251" s="25"/>
      <c r="S5251" s="25"/>
      <c r="T5251" s="141"/>
      <c r="U5251" s="28"/>
    </row>
    <row r="5252" ht="15.75" customHeight="1">
      <c r="P5252" s="25"/>
      <c r="Q5252" s="25"/>
      <c r="R5252" s="25"/>
      <c r="S5252" s="25"/>
      <c r="T5252" s="141"/>
      <c r="U5252" s="28"/>
    </row>
    <row r="5253" ht="15.75" customHeight="1">
      <c r="P5253" s="25"/>
      <c r="Q5253" s="25"/>
      <c r="R5253" s="25"/>
      <c r="S5253" s="25"/>
      <c r="T5253" s="141"/>
      <c r="U5253" s="28"/>
    </row>
    <row r="5254" ht="15.75" customHeight="1">
      <c r="P5254" s="25"/>
      <c r="Q5254" s="25"/>
      <c r="R5254" s="25"/>
      <c r="S5254" s="25"/>
      <c r="T5254" s="141"/>
      <c r="U5254" s="28"/>
    </row>
    <row r="5255" ht="15.75" customHeight="1">
      <c r="P5255" s="25"/>
      <c r="Q5255" s="25"/>
      <c r="R5255" s="25"/>
      <c r="S5255" s="25"/>
      <c r="T5255" s="141"/>
      <c r="U5255" s="28"/>
    </row>
    <row r="5256" ht="15.75" customHeight="1">
      <c r="P5256" s="25"/>
      <c r="Q5256" s="25"/>
      <c r="R5256" s="25"/>
      <c r="S5256" s="25"/>
      <c r="T5256" s="141"/>
      <c r="U5256" s="28"/>
    </row>
    <row r="5257" ht="15.75" customHeight="1">
      <c r="P5257" s="25"/>
      <c r="Q5257" s="25"/>
      <c r="R5257" s="25"/>
      <c r="S5257" s="25"/>
      <c r="T5257" s="141"/>
      <c r="U5257" s="28"/>
    </row>
    <row r="5258" ht="15.75" customHeight="1">
      <c r="P5258" s="25"/>
      <c r="Q5258" s="25"/>
      <c r="R5258" s="25"/>
      <c r="S5258" s="25"/>
      <c r="T5258" s="141"/>
      <c r="U5258" s="28"/>
    </row>
    <row r="5259" ht="15.75" customHeight="1">
      <c r="P5259" s="25"/>
      <c r="Q5259" s="25"/>
      <c r="R5259" s="25"/>
      <c r="S5259" s="25"/>
      <c r="T5259" s="141"/>
      <c r="U5259" s="28"/>
    </row>
    <row r="5260" ht="15.75" customHeight="1">
      <c r="P5260" s="25"/>
      <c r="Q5260" s="25"/>
      <c r="R5260" s="25"/>
      <c r="S5260" s="25"/>
      <c r="T5260" s="141"/>
      <c r="U5260" s="28"/>
    </row>
    <row r="5261" ht="15.75" customHeight="1">
      <c r="P5261" s="25"/>
      <c r="Q5261" s="25"/>
      <c r="R5261" s="25"/>
      <c r="S5261" s="25"/>
      <c r="T5261" s="141"/>
      <c r="U5261" s="28"/>
    </row>
    <row r="5262" ht="15.75" customHeight="1">
      <c r="P5262" s="25"/>
      <c r="Q5262" s="25"/>
      <c r="R5262" s="25"/>
      <c r="S5262" s="25"/>
      <c r="T5262" s="141"/>
      <c r="U5262" s="28"/>
    </row>
    <row r="5263" ht="15.75" customHeight="1">
      <c r="P5263" s="25"/>
      <c r="Q5263" s="25"/>
      <c r="R5263" s="25"/>
      <c r="S5263" s="25"/>
      <c r="T5263" s="141"/>
      <c r="U5263" s="28"/>
    </row>
    <row r="5264" ht="15.75" customHeight="1">
      <c r="P5264" s="25"/>
      <c r="Q5264" s="25"/>
      <c r="R5264" s="25"/>
      <c r="S5264" s="25"/>
      <c r="T5264" s="141"/>
      <c r="U5264" s="28"/>
    </row>
    <row r="5265" ht="15.75" customHeight="1">
      <c r="P5265" s="25"/>
      <c r="Q5265" s="25"/>
      <c r="R5265" s="25"/>
      <c r="S5265" s="25"/>
      <c r="T5265" s="141"/>
      <c r="U5265" s="28"/>
    </row>
    <row r="5266" ht="15.75" customHeight="1">
      <c r="P5266" s="25"/>
      <c r="Q5266" s="25"/>
      <c r="R5266" s="25"/>
      <c r="S5266" s="25"/>
      <c r="T5266" s="141"/>
      <c r="U5266" s="28"/>
    </row>
    <row r="5267" ht="15.75" customHeight="1">
      <c r="P5267" s="25"/>
      <c r="Q5267" s="25"/>
      <c r="R5267" s="25"/>
      <c r="S5267" s="25"/>
      <c r="T5267" s="141"/>
      <c r="U5267" s="28"/>
    </row>
    <row r="5268" ht="15.75" customHeight="1">
      <c r="P5268" s="25"/>
      <c r="Q5268" s="25"/>
      <c r="R5268" s="25"/>
      <c r="S5268" s="25"/>
      <c r="T5268" s="141"/>
      <c r="U5268" s="28"/>
    </row>
    <row r="5269" ht="15.75" customHeight="1">
      <c r="P5269" s="25"/>
      <c r="Q5269" s="25"/>
      <c r="R5269" s="25"/>
      <c r="S5269" s="25"/>
      <c r="T5269" s="141"/>
      <c r="U5269" s="28"/>
    </row>
    <row r="5270" ht="15.75" customHeight="1">
      <c r="P5270" s="25"/>
      <c r="Q5270" s="25"/>
      <c r="R5270" s="25"/>
      <c r="S5270" s="25"/>
      <c r="T5270" s="141"/>
      <c r="U5270" s="28"/>
    </row>
    <row r="5271" ht="15.75" customHeight="1">
      <c r="P5271" s="25"/>
      <c r="Q5271" s="25"/>
      <c r="R5271" s="25"/>
      <c r="S5271" s="25"/>
      <c r="T5271" s="141"/>
      <c r="U5271" s="28"/>
    </row>
    <row r="5272" ht="15.75" customHeight="1">
      <c r="P5272" s="25"/>
      <c r="Q5272" s="25"/>
      <c r="R5272" s="25"/>
      <c r="S5272" s="25"/>
      <c r="T5272" s="141"/>
      <c r="U5272" s="28"/>
    </row>
    <row r="5273" ht="15.75" customHeight="1">
      <c r="P5273" s="25"/>
      <c r="Q5273" s="25"/>
      <c r="R5273" s="25"/>
      <c r="S5273" s="25"/>
      <c r="T5273" s="141"/>
      <c r="U5273" s="28"/>
    </row>
    <row r="5274" ht="15.75" customHeight="1">
      <c r="P5274" s="25"/>
      <c r="Q5274" s="25"/>
      <c r="R5274" s="25"/>
      <c r="S5274" s="25"/>
      <c r="T5274" s="141"/>
      <c r="U5274" s="28"/>
    </row>
    <row r="5275" ht="15.75" customHeight="1">
      <c r="P5275" s="25"/>
      <c r="Q5275" s="25"/>
      <c r="R5275" s="25"/>
      <c r="S5275" s="25"/>
      <c r="T5275" s="141"/>
      <c r="U5275" s="28"/>
    </row>
    <row r="5276" ht="15.75" customHeight="1">
      <c r="P5276" s="25"/>
      <c r="Q5276" s="25"/>
      <c r="R5276" s="25"/>
      <c r="S5276" s="25"/>
      <c r="T5276" s="141"/>
      <c r="U5276" s="28"/>
    </row>
    <row r="5277" ht="15.75" customHeight="1">
      <c r="P5277" s="25"/>
      <c r="Q5277" s="25"/>
      <c r="R5277" s="25"/>
      <c r="S5277" s="25"/>
      <c r="T5277" s="141"/>
      <c r="U5277" s="28"/>
    </row>
    <row r="5278" ht="15.75" customHeight="1">
      <c r="P5278" s="25"/>
      <c r="Q5278" s="25"/>
      <c r="R5278" s="25"/>
      <c r="S5278" s="25"/>
      <c r="T5278" s="141"/>
      <c r="U5278" s="28"/>
    </row>
    <row r="5279" ht="15.75" customHeight="1">
      <c r="P5279" s="25"/>
      <c r="Q5279" s="25"/>
      <c r="R5279" s="25"/>
      <c r="S5279" s="25"/>
      <c r="T5279" s="141"/>
      <c r="U5279" s="28"/>
    </row>
    <row r="5280" ht="15.75" customHeight="1">
      <c r="P5280" s="25"/>
      <c r="Q5280" s="25"/>
      <c r="R5280" s="25"/>
      <c r="S5280" s="25"/>
      <c r="T5280" s="141"/>
      <c r="U5280" s="28"/>
    </row>
    <row r="5281" ht="15.75" customHeight="1">
      <c r="P5281" s="25"/>
      <c r="Q5281" s="25"/>
      <c r="R5281" s="25"/>
      <c r="S5281" s="25"/>
      <c r="T5281" s="141"/>
      <c r="U5281" s="28"/>
    </row>
    <row r="5282" ht="15.75" customHeight="1">
      <c r="P5282" s="25"/>
      <c r="Q5282" s="25"/>
      <c r="R5282" s="25"/>
      <c r="S5282" s="25"/>
      <c r="T5282" s="141"/>
      <c r="U5282" s="28"/>
    </row>
    <row r="5283" ht="15.75" customHeight="1">
      <c r="P5283" s="25"/>
      <c r="Q5283" s="25"/>
      <c r="R5283" s="25"/>
      <c r="S5283" s="25"/>
      <c r="T5283" s="141"/>
      <c r="U5283" s="28"/>
    </row>
    <row r="5284" ht="15.75" customHeight="1">
      <c r="P5284" s="25"/>
      <c r="Q5284" s="25"/>
      <c r="R5284" s="25"/>
      <c r="S5284" s="25"/>
      <c r="T5284" s="141"/>
      <c r="U5284" s="28"/>
    </row>
    <row r="5285" ht="15.75" customHeight="1">
      <c r="P5285" s="25"/>
      <c r="Q5285" s="25"/>
      <c r="R5285" s="25"/>
      <c r="S5285" s="25"/>
      <c r="T5285" s="141"/>
      <c r="U5285" s="28"/>
    </row>
    <row r="5286" ht="15.75" customHeight="1">
      <c r="P5286" s="25"/>
      <c r="Q5286" s="25"/>
      <c r="R5286" s="25"/>
      <c r="S5286" s="25"/>
      <c r="T5286" s="141"/>
      <c r="U5286" s="28"/>
    </row>
    <row r="5287" ht="15.75" customHeight="1">
      <c r="P5287" s="25"/>
      <c r="Q5287" s="25"/>
      <c r="R5287" s="25"/>
      <c r="S5287" s="25"/>
      <c r="T5287" s="141"/>
      <c r="U5287" s="28"/>
    </row>
    <row r="5288" ht="15.75" customHeight="1">
      <c r="P5288" s="25"/>
      <c r="Q5288" s="25"/>
      <c r="R5288" s="25"/>
      <c r="S5288" s="25"/>
      <c r="T5288" s="141"/>
      <c r="U5288" s="28"/>
    </row>
    <row r="5289" ht="15.75" customHeight="1">
      <c r="P5289" s="25"/>
      <c r="Q5289" s="25"/>
      <c r="R5289" s="25"/>
      <c r="S5289" s="25"/>
      <c r="T5289" s="141"/>
      <c r="U5289" s="28"/>
    </row>
    <row r="5290" ht="15.75" customHeight="1">
      <c r="P5290" s="25"/>
      <c r="Q5290" s="25"/>
      <c r="R5290" s="25"/>
      <c r="S5290" s="25"/>
      <c r="T5290" s="141"/>
      <c r="U5290" s="28"/>
    </row>
    <row r="5291" ht="15.75" customHeight="1">
      <c r="P5291" s="25"/>
      <c r="Q5291" s="25"/>
      <c r="R5291" s="25"/>
      <c r="S5291" s="25"/>
      <c r="T5291" s="141"/>
      <c r="U5291" s="28"/>
    </row>
    <row r="5292" ht="15.75" customHeight="1">
      <c r="P5292" s="25"/>
      <c r="Q5292" s="25"/>
      <c r="R5292" s="25"/>
      <c r="S5292" s="25"/>
      <c r="T5292" s="141"/>
      <c r="U5292" s="28"/>
    </row>
    <row r="5293" ht="15.75" customHeight="1">
      <c r="P5293" s="25"/>
      <c r="Q5293" s="25"/>
      <c r="R5293" s="25"/>
      <c r="S5293" s="25"/>
      <c r="T5293" s="141"/>
      <c r="U5293" s="28"/>
    </row>
    <row r="5294" ht="15.75" customHeight="1">
      <c r="P5294" s="25"/>
      <c r="Q5294" s="25"/>
      <c r="R5294" s="25"/>
      <c r="S5294" s="25"/>
      <c r="T5294" s="141"/>
      <c r="U5294" s="28"/>
    </row>
    <row r="5295" ht="15.75" customHeight="1">
      <c r="P5295" s="25"/>
      <c r="Q5295" s="25"/>
      <c r="R5295" s="25"/>
      <c r="S5295" s="25"/>
      <c r="T5295" s="141"/>
      <c r="U5295" s="28"/>
    </row>
    <row r="5296" ht="15.75" customHeight="1">
      <c r="P5296" s="25"/>
      <c r="Q5296" s="25"/>
      <c r="R5296" s="25"/>
      <c r="S5296" s="25"/>
      <c r="T5296" s="141"/>
      <c r="U5296" s="28"/>
    </row>
    <row r="5297" ht="15.75" customHeight="1">
      <c r="P5297" s="25"/>
      <c r="Q5297" s="25"/>
      <c r="R5297" s="25"/>
      <c r="S5297" s="25"/>
      <c r="T5297" s="141"/>
      <c r="U5297" s="28"/>
    </row>
    <row r="5298" ht="15.75" customHeight="1">
      <c r="P5298" s="25"/>
      <c r="Q5298" s="25"/>
      <c r="R5298" s="25"/>
      <c r="S5298" s="25"/>
      <c r="T5298" s="141"/>
      <c r="U5298" s="28"/>
    </row>
    <row r="5299" ht="15.75" customHeight="1">
      <c r="P5299" s="25"/>
      <c r="Q5299" s="25"/>
      <c r="R5299" s="25"/>
      <c r="S5299" s="25"/>
      <c r="T5299" s="141"/>
      <c r="U5299" s="28"/>
    </row>
    <row r="5300" ht="15.75" customHeight="1">
      <c r="P5300" s="25"/>
      <c r="Q5300" s="25"/>
      <c r="R5300" s="25"/>
      <c r="S5300" s="25"/>
      <c r="T5300" s="141"/>
      <c r="U5300" s="28"/>
    </row>
    <row r="5301" ht="15.75" customHeight="1">
      <c r="P5301" s="25"/>
      <c r="Q5301" s="25"/>
      <c r="R5301" s="25"/>
      <c r="S5301" s="25"/>
      <c r="T5301" s="141"/>
      <c r="U5301" s="28"/>
    </row>
    <row r="5302" ht="15.75" customHeight="1">
      <c r="P5302" s="25"/>
      <c r="Q5302" s="25"/>
      <c r="R5302" s="25"/>
      <c r="S5302" s="25"/>
      <c r="T5302" s="141"/>
      <c r="U5302" s="28"/>
    </row>
    <row r="5303" ht="15.75" customHeight="1">
      <c r="P5303" s="25"/>
      <c r="Q5303" s="25"/>
      <c r="R5303" s="25"/>
      <c r="S5303" s="25"/>
      <c r="T5303" s="141"/>
      <c r="U5303" s="28"/>
    </row>
    <row r="5304" ht="15.75" customHeight="1">
      <c r="P5304" s="25"/>
      <c r="Q5304" s="25"/>
      <c r="R5304" s="25"/>
      <c r="S5304" s="25"/>
      <c r="T5304" s="141"/>
      <c r="U5304" s="28"/>
    </row>
    <row r="5305" ht="15.75" customHeight="1">
      <c r="P5305" s="25"/>
      <c r="Q5305" s="25"/>
      <c r="R5305" s="25"/>
      <c r="S5305" s="25"/>
      <c r="T5305" s="141"/>
      <c r="U5305" s="28"/>
    </row>
    <row r="5306" ht="15.75" customHeight="1">
      <c r="P5306" s="25"/>
      <c r="Q5306" s="25"/>
      <c r="R5306" s="25"/>
      <c r="S5306" s="25"/>
      <c r="T5306" s="141"/>
      <c r="U5306" s="28"/>
    </row>
    <row r="5307" ht="15.75" customHeight="1">
      <c r="P5307" s="25"/>
      <c r="Q5307" s="25"/>
      <c r="R5307" s="25"/>
      <c r="S5307" s="25"/>
      <c r="T5307" s="141"/>
      <c r="U5307" s="28"/>
    </row>
    <row r="5308" ht="15.75" customHeight="1">
      <c r="P5308" s="25"/>
      <c r="Q5308" s="25"/>
      <c r="R5308" s="25"/>
      <c r="S5308" s="25"/>
      <c r="T5308" s="141"/>
      <c r="U5308" s="28"/>
    </row>
    <row r="5309" ht="15.75" customHeight="1">
      <c r="P5309" s="25"/>
      <c r="Q5309" s="25"/>
      <c r="R5309" s="25"/>
      <c r="S5309" s="25"/>
      <c r="T5309" s="141"/>
      <c r="U5309" s="28"/>
    </row>
    <row r="5310" ht="15.75" customHeight="1">
      <c r="P5310" s="25"/>
      <c r="Q5310" s="25"/>
      <c r="R5310" s="25"/>
      <c r="S5310" s="25"/>
      <c r="T5310" s="141"/>
      <c r="U5310" s="28"/>
    </row>
    <row r="5311" ht="15.75" customHeight="1">
      <c r="P5311" s="25"/>
      <c r="Q5311" s="25"/>
      <c r="R5311" s="25"/>
      <c r="S5311" s="25"/>
      <c r="T5311" s="141"/>
      <c r="U5311" s="28"/>
    </row>
    <row r="5312" ht="15.75" customHeight="1">
      <c r="P5312" s="25"/>
      <c r="Q5312" s="25"/>
      <c r="R5312" s="25"/>
      <c r="S5312" s="25"/>
      <c r="T5312" s="141"/>
      <c r="U5312" s="28"/>
    </row>
    <row r="5313" ht="15.75" customHeight="1">
      <c r="P5313" s="25"/>
      <c r="Q5313" s="25"/>
      <c r="R5313" s="25"/>
      <c r="S5313" s="25"/>
      <c r="T5313" s="141"/>
      <c r="U5313" s="28"/>
    </row>
    <row r="5314" ht="15.75" customHeight="1">
      <c r="P5314" s="25"/>
      <c r="Q5314" s="25"/>
      <c r="R5314" s="25"/>
      <c r="S5314" s="25"/>
      <c r="T5314" s="141"/>
      <c r="U5314" s="28"/>
    </row>
    <row r="5315" ht="15.75" customHeight="1">
      <c r="P5315" s="25"/>
      <c r="Q5315" s="25"/>
      <c r="R5315" s="25"/>
      <c r="S5315" s="25"/>
      <c r="T5315" s="141"/>
      <c r="U5315" s="28"/>
    </row>
    <row r="5316" ht="15.75" customHeight="1">
      <c r="P5316" s="25"/>
      <c r="Q5316" s="25"/>
      <c r="R5316" s="25"/>
      <c r="S5316" s="25"/>
      <c r="T5316" s="141"/>
      <c r="U5316" s="28"/>
    </row>
    <row r="5317" ht="15.75" customHeight="1">
      <c r="P5317" s="25"/>
      <c r="Q5317" s="25"/>
      <c r="R5317" s="25"/>
      <c r="S5317" s="25"/>
      <c r="T5317" s="141"/>
      <c r="U5317" s="28"/>
    </row>
    <row r="5318" ht="15.75" customHeight="1">
      <c r="P5318" s="25"/>
      <c r="Q5318" s="25"/>
      <c r="R5318" s="25"/>
      <c r="S5318" s="25"/>
      <c r="T5318" s="141"/>
      <c r="U5318" s="28"/>
    </row>
    <row r="5319" ht="15.75" customHeight="1">
      <c r="P5319" s="25"/>
      <c r="Q5319" s="25"/>
      <c r="R5319" s="25"/>
      <c r="S5319" s="25"/>
      <c r="T5319" s="141"/>
      <c r="U5319" s="28"/>
    </row>
    <row r="5320" ht="15.75" customHeight="1">
      <c r="P5320" s="25"/>
      <c r="Q5320" s="25"/>
      <c r="R5320" s="25"/>
      <c r="S5320" s="25"/>
      <c r="T5320" s="141"/>
      <c r="U5320" s="28"/>
    </row>
    <row r="5321" ht="15.75" customHeight="1">
      <c r="P5321" s="25"/>
      <c r="Q5321" s="25"/>
      <c r="R5321" s="25"/>
      <c r="S5321" s="25"/>
      <c r="T5321" s="141"/>
      <c r="U5321" s="28"/>
    </row>
    <row r="5322" ht="15.75" customHeight="1">
      <c r="P5322" s="25"/>
      <c r="Q5322" s="25"/>
      <c r="R5322" s="25"/>
      <c r="S5322" s="25"/>
      <c r="T5322" s="141"/>
      <c r="U5322" s="28"/>
    </row>
    <row r="5323" ht="15.75" customHeight="1">
      <c r="P5323" s="25"/>
      <c r="Q5323" s="25"/>
      <c r="R5323" s="25"/>
      <c r="S5323" s="25"/>
      <c r="T5323" s="141"/>
      <c r="U5323" s="28"/>
    </row>
    <row r="5324" ht="15.75" customHeight="1">
      <c r="P5324" s="25"/>
      <c r="Q5324" s="25"/>
      <c r="R5324" s="25"/>
      <c r="S5324" s="25"/>
      <c r="T5324" s="141"/>
      <c r="U5324" s="28"/>
    </row>
    <row r="5325" ht="15.75" customHeight="1">
      <c r="P5325" s="25"/>
      <c r="Q5325" s="25"/>
      <c r="R5325" s="25"/>
      <c r="S5325" s="25"/>
      <c r="T5325" s="141"/>
      <c r="U5325" s="28"/>
    </row>
    <row r="5326" ht="15.75" customHeight="1">
      <c r="P5326" s="25"/>
      <c r="Q5326" s="25"/>
      <c r="R5326" s="25"/>
      <c r="S5326" s="25"/>
      <c r="T5326" s="141"/>
      <c r="U5326" s="28"/>
    </row>
    <row r="5327" ht="15.75" customHeight="1">
      <c r="P5327" s="25"/>
      <c r="Q5327" s="25"/>
      <c r="R5327" s="25"/>
      <c r="S5327" s="25"/>
      <c r="T5327" s="141"/>
      <c r="U5327" s="28"/>
    </row>
    <row r="5328" ht="15.75" customHeight="1">
      <c r="P5328" s="25"/>
      <c r="Q5328" s="25"/>
      <c r="R5328" s="25"/>
      <c r="S5328" s="25"/>
      <c r="T5328" s="141"/>
      <c r="U5328" s="28"/>
    </row>
    <row r="5329" ht="15.75" customHeight="1">
      <c r="P5329" s="25"/>
      <c r="Q5329" s="25"/>
      <c r="R5329" s="25"/>
      <c r="S5329" s="25"/>
      <c r="T5329" s="141"/>
      <c r="U5329" s="28"/>
    </row>
    <row r="5330" ht="15.75" customHeight="1">
      <c r="P5330" s="25"/>
      <c r="Q5330" s="25"/>
      <c r="R5330" s="25"/>
      <c r="S5330" s="25"/>
      <c r="T5330" s="141"/>
      <c r="U5330" s="28"/>
    </row>
    <row r="5331" ht="15.75" customHeight="1">
      <c r="P5331" s="25"/>
      <c r="Q5331" s="25"/>
      <c r="R5331" s="25"/>
      <c r="S5331" s="25"/>
      <c r="T5331" s="141"/>
      <c r="U5331" s="28"/>
    </row>
    <row r="5332" ht="15.75" customHeight="1">
      <c r="P5332" s="25"/>
      <c r="Q5332" s="25"/>
      <c r="R5332" s="25"/>
      <c r="S5332" s="25"/>
      <c r="T5332" s="141"/>
      <c r="U5332" s="28"/>
    </row>
    <row r="5333" ht="15.75" customHeight="1">
      <c r="P5333" s="25"/>
      <c r="Q5333" s="25"/>
      <c r="R5333" s="25"/>
      <c r="S5333" s="25"/>
      <c r="T5333" s="141"/>
      <c r="U5333" s="28"/>
    </row>
    <row r="5334" ht="15.75" customHeight="1">
      <c r="P5334" s="25"/>
      <c r="Q5334" s="25"/>
      <c r="R5334" s="25"/>
      <c r="S5334" s="25"/>
      <c r="T5334" s="141"/>
      <c r="U5334" s="28"/>
    </row>
    <row r="5335" ht="15.75" customHeight="1">
      <c r="P5335" s="25"/>
      <c r="Q5335" s="25"/>
      <c r="R5335" s="25"/>
      <c r="S5335" s="25"/>
      <c r="T5335" s="141"/>
      <c r="U5335" s="28"/>
    </row>
    <row r="5336" ht="15.75" customHeight="1">
      <c r="P5336" s="25"/>
      <c r="Q5336" s="25"/>
      <c r="R5336" s="25"/>
      <c r="S5336" s="25"/>
      <c r="T5336" s="141"/>
      <c r="U5336" s="28"/>
    </row>
    <row r="5337" ht="15.75" customHeight="1">
      <c r="P5337" s="25"/>
      <c r="Q5337" s="25"/>
      <c r="R5337" s="25"/>
      <c r="S5337" s="25"/>
      <c r="T5337" s="141"/>
      <c r="U5337" s="28"/>
    </row>
    <row r="5338" ht="15.75" customHeight="1">
      <c r="P5338" s="25"/>
      <c r="Q5338" s="25"/>
      <c r="R5338" s="25"/>
      <c r="S5338" s="25"/>
      <c r="T5338" s="141"/>
      <c r="U5338" s="28"/>
    </row>
    <row r="5339" ht="15.75" customHeight="1">
      <c r="P5339" s="25"/>
      <c r="Q5339" s="25"/>
      <c r="R5339" s="25"/>
      <c r="S5339" s="25"/>
      <c r="T5339" s="141"/>
      <c r="U5339" s="28"/>
    </row>
    <row r="5340" ht="15.75" customHeight="1">
      <c r="P5340" s="25"/>
      <c r="Q5340" s="25"/>
      <c r="R5340" s="25"/>
      <c r="S5340" s="25"/>
      <c r="T5340" s="141"/>
      <c r="U5340" s="28"/>
    </row>
    <row r="5341" ht="15.75" customHeight="1">
      <c r="P5341" s="25"/>
      <c r="Q5341" s="25"/>
      <c r="R5341" s="25"/>
      <c r="S5341" s="25"/>
      <c r="T5341" s="141"/>
      <c r="U5341" s="28"/>
    </row>
    <row r="5342" ht="15.75" customHeight="1">
      <c r="P5342" s="25"/>
      <c r="Q5342" s="25"/>
      <c r="R5342" s="25"/>
      <c r="S5342" s="25"/>
      <c r="T5342" s="141"/>
      <c r="U5342" s="28"/>
    </row>
    <row r="5343" ht="15.75" customHeight="1">
      <c r="P5343" s="25"/>
      <c r="Q5343" s="25"/>
      <c r="R5343" s="25"/>
      <c r="S5343" s="25"/>
      <c r="T5343" s="141"/>
      <c r="U5343" s="28"/>
    </row>
    <row r="5344" ht="15.75" customHeight="1">
      <c r="P5344" s="25"/>
      <c r="Q5344" s="25"/>
      <c r="R5344" s="25"/>
      <c r="S5344" s="25"/>
      <c r="T5344" s="141"/>
      <c r="U5344" s="28"/>
    </row>
    <row r="5345" ht="15.75" customHeight="1">
      <c r="P5345" s="25"/>
      <c r="Q5345" s="25"/>
      <c r="R5345" s="25"/>
      <c r="S5345" s="25"/>
      <c r="T5345" s="141"/>
      <c r="U5345" s="28"/>
    </row>
    <row r="5346" ht="15.75" customHeight="1">
      <c r="P5346" s="25"/>
      <c r="Q5346" s="25"/>
      <c r="R5346" s="25"/>
      <c r="S5346" s="25"/>
      <c r="T5346" s="141"/>
      <c r="U5346" s="28"/>
    </row>
    <row r="5347" ht="15.75" customHeight="1">
      <c r="P5347" s="25"/>
      <c r="Q5347" s="25"/>
      <c r="R5347" s="25"/>
      <c r="S5347" s="25"/>
      <c r="T5347" s="141"/>
      <c r="U5347" s="28"/>
    </row>
    <row r="5348" ht="15.75" customHeight="1">
      <c r="P5348" s="25"/>
      <c r="Q5348" s="25"/>
      <c r="R5348" s="25"/>
      <c r="S5348" s="25"/>
      <c r="T5348" s="141"/>
      <c r="U5348" s="28"/>
    </row>
    <row r="5349" ht="15.75" customHeight="1">
      <c r="P5349" s="25"/>
      <c r="Q5349" s="25"/>
      <c r="R5349" s="25"/>
      <c r="S5349" s="25"/>
      <c r="T5349" s="141"/>
      <c r="U5349" s="28"/>
    </row>
    <row r="5350" ht="15.75" customHeight="1">
      <c r="P5350" s="25"/>
      <c r="Q5350" s="25"/>
      <c r="R5350" s="25"/>
      <c r="S5350" s="25"/>
      <c r="T5350" s="141"/>
      <c r="U5350" s="28"/>
    </row>
    <row r="5351" ht="15.75" customHeight="1">
      <c r="P5351" s="25"/>
      <c r="Q5351" s="25"/>
      <c r="R5351" s="25"/>
      <c r="S5351" s="25"/>
      <c r="T5351" s="141"/>
      <c r="U5351" s="28"/>
    </row>
    <row r="5352" ht="15.75" customHeight="1">
      <c r="P5352" s="25"/>
      <c r="Q5352" s="25"/>
      <c r="R5352" s="25"/>
      <c r="S5352" s="25"/>
      <c r="T5352" s="141"/>
      <c r="U5352" s="28"/>
    </row>
    <row r="5353" ht="15.75" customHeight="1">
      <c r="P5353" s="25"/>
      <c r="Q5353" s="25"/>
      <c r="R5353" s="25"/>
      <c r="S5353" s="25"/>
      <c r="T5353" s="141"/>
      <c r="U5353" s="28"/>
    </row>
    <row r="5354" ht="15.75" customHeight="1">
      <c r="P5354" s="25"/>
      <c r="Q5354" s="25"/>
      <c r="R5354" s="25"/>
      <c r="S5354" s="25"/>
      <c r="T5354" s="141"/>
      <c r="U5354" s="28"/>
    </row>
    <row r="5355" ht="15.75" customHeight="1">
      <c r="P5355" s="25"/>
      <c r="Q5355" s="25"/>
      <c r="R5355" s="25"/>
      <c r="S5355" s="25"/>
      <c r="T5355" s="141"/>
      <c r="U5355" s="28"/>
    </row>
    <row r="5356" ht="15.75" customHeight="1">
      <c r="P5356" s="25"/>
      <c r="Q5356" s="25"/>
      <c r="R5356" s="25"/>
      <c r="S5356" s="25"/>
      <c r="T5356" s="141"/>
      <c r="U5356" s="28"/>
    </row>
    <row r="5357" ht="15.75" customHeight="1">
      <c r="P5357" s="25"/>
      <c r="Q5357" s="25"/>
      <c r="R5357" s="25"/>
      <c r="S5357" s="25"/>
      <c r="T5357" s="141"/>
      <c r="U5357" s="28"/>
    </row>
    <row r="5358" ht="15.75" customHeight="1">
      <c r="P5358" s="25"/>
      <c r="Q5358" s="25"/>
      <c r="R5358" s="25"/>
      <c r="S5358" s="25"/>
      <c r="T5358" s="141"/>
      <c r="U5358" s="28"/>
    </row>
    <row r="5359" ht="15.75" customHeight="1">
      <c r="P5359" s="25"/>
      <c r="Q5359" s="25"/>
      <c r="R5359" s="25"/>
      <c r="S5359" s="25"/>
      <c r="T5359" s="141"/>
      <c r="U5359" s="28"/>
    </row>
    <row r="5360" ht="15.75" customHeight="1">
      <c r="P5360" s="25"/>
      <c r="Q5360" s="25"/>
      <c r="R5360" s="25"/>
      <c r="S5360" s="25"/>
      <c r="T5360" s="141"/>
      <c r="U5360" s="28"/>
    </row>
    <row r="5361" ht="15.75" customHeight="1">
      <c r="P5361" s="25"/>
      <c r="Q5361" s="25"/>
      <c r="R5361" s="25"/>
      <c r="S5361" s="25"/>
      <c r="T5361" s="141"/>
      <c r="U5361" s="28"/>
    </row>
    <row r="5362" ht="15.75" customHeight="1">
      <c r="P5362" s="25"/>
      <c r="Q5362" s="25"/>
      <c r="R5362" s="25"/>
      <c r="S5362" s="25"/>
      <c r="T5362" s="141"/>
      <c r="U5362" s="28"/>
    </row>
    <row r="5363" ht="15.75" customHeight="1">
      <c r="P5363" s="25"/>
      <c r="Q5363" s="25"/>
      <c r="R5363" s="25"/>
      <c r="S5363" s="25"/>
      <c r="T5363" s="141"/>
      <c r="U5363" s="28"/>
    </row>
    <row r="5364" ht="15.75" customHeight="1">
      <c r="P5364" s="25"/>
      <c r="Q5364" s="25"/>
      <c r="R5364" s="25"/>
      <c r="S5364" s="25"/>
      <c r="T5364" s="141"/>
      <c r="U5364" s="28"/>
    </row>
    <row r="5365" ht="15.75" customHeight="1">
      <c r="P5365" s="25"/>
      <c r="Q5365" s="25"/>
      <c r="R5365" s="25"/>
      <c r="S5365" s="25"/>
      <c r="T5365" s="141"/>
      <c r="U5365" s="28"/>
    </row>
    <row r="5366" ht="15.75" customHeight="1">
      <c r="P5366" s="25"/>
      <c r="Q5366" s="25"/>
      <c r="R5366" s="25"/>
      <c r="S5366" s="25"/>
      <c r="T5366" s="141"/>
      <c r="U5366" s="28"/>
    </row>
    <row r="5367" ht="15.75" customHeight="1">
      <c r="P5367" s="25"/>
      <c r="Q5367" s="25"/>
      <c r="R5367" s="25"/>
      <c r="S5367" s="25"/>
      <c r="T5367" s="141"/>
      <c r="U5367" s="28"/>
    </row>
    <row r="5368" ht="15.75" customHeight="1">
      <c r="P5368" s="25"/>
      <c r="Q5368" s="25"/>
      <c r="R5368" s="25"/>
      <c r="S5368" s="25"/>
      <c r="T5368" s="141"/>
      <c r="U5368" s="28"/>
    </row>
    <row r="5369" ht="15.75" customHeight="1">
      <c r="P5369" s="25"/>
      <c r="Q5369" s="25"/>
      <c r="R5369" s="25"/>
      <c r="S5369" s="25"/>
      <c r="T5369" s="141"/>
      <c r="U5369" s="28"/>
    </row>
    <row r="5370" ht="15.75" customHeight="1">
      <c r="P5370" s="25"/>
      <c r="Q5370" s="25"/>
      <c r="R5370" s="25"/>
      <c r="S5370" s="25"/>
      <c r="T5370" s="141"/>
      <c r="U5370" s="28"/>
    </row>
    <row r="5371" ht="15.75" customHeight="1">
      <c r="P5371" s="25"/>
      <c r="Q5371" s="25"/>
      <c r="R5371" s="25"/>
      <c r="S5371" s="25"/>
      <c r="T5371" s="141"/>
      <c r="U5371" s="28"/>
    </row>
    <row r="5372" ht="15.75" customHeight="1">
      <c r="P5372" s="25"/>
      <c r="Q5372" s="25"/>
      <c r="R5372" s="25"/>
      <c r="S5372" s="25"/>
      <c r="T5372" s="141"/>
      <c r="U5372" s="28"/>
    </row>
    <row r="5373" ht="15.75" customHeight="1">
      <c r="P5373" s="25"/>
      <c r="Q5373" s="25"/>
      <c r="R5373" s="25"/>
      <c r="S5373" s="25"/>
      <c r="T5373" s="141"/>
      <c r="U5373" s="28"/>
    </row>
    <row r="5374" ht="15.75" customHeight="1">
      <c r="P5374" s="25"/>
      <c r="Q5374" s="25"/>
      <c r="R5374" s="25"/>
      <c r="S5374" s="25"/>
      <c r="T5374" s="141"/>
      <c r="U5374" s="28"/>
    </row>
    <row r="5375" ht="15.75" customHeight="1">
      <c r="P5375" s="25"/>
      <c r="Q5375" s="25"/>
      <c r="R5375" s="25"/>
      <c r="S5375" s="25"/>
      <c r="T5375" s="141"/>
      <c r="U5375" s="28"/>
    </row>
    <row r="5376" ht="15.75" customHeight="1">
      <c r="P5376" s="25"/>
      <c r="Q5376" s="25"/>
      <c r="R5376" s="25"/>
      <c r="S5376" s="25"/>
      <c r="T5376" s="141"/>
      <c r="U5376" s="28"/>
    </row>
    <row r="5377" ht="15.75" customHeight="1">
      <c r="P5377" s="25"/>
      <c r="Q5377" s="25"/>
      <c r="R5377" s="25"/>
      <c r="S5377" s="25"/>
      <c r="T5377" s="141"/>
      <c r="U5377" s="28"/>
    </row>
    <row r="5378" ht="15.75" customHeight="1">
      <c r="P5378" s="25"/>
      <c r="Q5378" s="25"/>
      <c r="R5378" s="25"/>
      <c r="S5378" s="25"/>
      <c r="T5378" s="141"/>
      <c r="U5378" s="28"/>
    </row>
    <row r="5379" ht="15.75" customHeight="1">
      <c r="P5379" s="25"/>
      <c r="Q5379" s="25"/>
      <c r="R5379" s="25"/>
      <c r="S5379" s="25"/>
      <c r="T5379" s="141"/>
      <c r="U5379" s="28"/>
    </row>
    <row r="5380" ht="15.75" customHeight="1">
      <c r="P5380" s="25"/>
      <c r="Q5380" s="25"/>
      <c r="R5380" s="25"/>
      <c r="S5380" s="25"/>
      <c r="T5380" s="141"/>
      <c r="U5380" s="28"/>
    </row>
    <row r="5381" ht="15.75" customHeight="1">
      <c r="P5381" s="25"/>
      <c r="Q5381" s="25"/>
      <c r="R5381" s="25"/>
      <c r="S5381" s="25"/>
      <c r="T5381" s="141"/>
      <c r="U5381" s="28"/>
    </row>
    <row r="5382" ht="15.75" customHeight="1">
      <c r="P5382" s="25"/>
      <c r="Q5382" s="25"/>
      <c r="R5382" s="25"/>
      <c r="S5382" s="25"/>
      <c r="T5382" s="141"/>
      <c r="U5382" s="28"/>
    </row>
    <row r="5383" ht="15.75" customHeight="1">
      <c r="P5383" s="25"/>
      <c r="Q5383" s="25"/>
      <c r="R5383" s="25"/>
      <c r="S5383" s="25"/>
      <c r="T5383" s="141"/>
      <c r="U5383" s="28"/>
    </row>
    <row r="5384" ht="15.75" customHeight="1">
      <c r="P5384" s="25"/>
      <c r="Q5384" s="25"/>
      <c r="R5384" s="25"/>
      <c r="S5384" s="25"/>
      <c r="T5384" s="141"/>
      <c r="U5384" s="28"/>
    </row>
    <row r="5385" ht="15.75" customHeight="1">
      <c r="P5385" s="25"/>
      <c r="Q5385" s="25"/>
      <c r="R5385" s="25"/>
      <c r="S5385" s="25"/>
      <c r="T5385" s="141"/>
      <c r="U5385" s="28"/>
    </row>
    <row r="5386" ht="15.75" customHeight="1">
      <c r="P5386" s="25"/>
      <c r="Q5386" s="25"/>
      <c r="R5386" s="25"/>
      <c r="S5386" s="25"/>
      <c r="T5386" s="141"/>
      <c r="U5386" s="28"/>
    </row>
    <row r="5387" ht="15.75" customHeight="1">
      <c r="P5387" s="25"/>
      <c r="Q5387" s="25"/>
      <c r="R5387" s="25"/>
      <c r="S5387" s="25"/>
      <c r="T5387" s="141"/>
      <c r="U5387" s="28"/>
    </row>
    <row r="5388" ht="15.75" customHeight="1">
      <c r="P5388" s="25"/>
      <c r="Q5388" s="25"/>
      <c r="R5388" s="25"/>
      <c r="S5388" s="25"/>
      <c r="T5388" s="141"/>
      <c r="U5388" s="28"/>
    </row>
    <row r="5389" ht="15.75" customHeight="1">
      <c r="P5389" s="25"/>
      <c r="Q5389" s="25"/>
      <c r="R5389" s="25"/>
      <c r="S5389" s="25"/>
      <c r="T5389" s="141"/>
      <c r="U5389" s="28"/>
    </row>
    <row r="5390" ht="15.75" customHeight="1">
      <c r="P5390" s="25"/>
      <c r="Q5390" s="25"/>
      <c r="R5390" s="25"/>
      <c r="S5390" s="25"/>
      <c r="T5390" s="141"/>
      <c r="U5390" s="28"/>
    </row>
    <row r="5391" ht="15.75" customHeight="1">
      <c r="P5391" s="25"/>
      <c r="Q5391" s="25"/>
      <c r="R5391" s="25"/>
      <c r="S5391" s="25"/>
      <c r="T5391" s="141"/>
      <c r="U5391" s="28"/>
    </row>
    <row r="5392" ht="15.75" customHeight="1">
      <c r="P5392" s="25"/>
      <c r="Q5392" s="25"/>
      <c r="R5392" s="25"/>
      <c r="S5392" s="25"/>
      <c r="T5392" s="141"/>
      <c r="U5392" s="28"/>
    </row>
    <row r="5393" ht="15.75" customHeight="1">
      <c r="P5393" s="25"/>
      <c r="Q5393" s="25"/>
      <c r="R5393" s="25"/>
      <c r="S5393" s="25"/>
      <c r="T5393" s="141"/>
      <c r="U5393" s="28"/>
    </row>
    <row r="5394" ht="15.75" customHeight="1">
      <c r="P5394" s="25"/>
      <c r="Q5394" s="25"/>
      <c r="R5394" s="25"/>
      <c r="S5394" s="25"/>
      <c r="T5394" s="141"/>
      <c r="U5394" s="28"/>
    </row>
    <row r="5395" ht="15.75" customHeight="1">
      <c r="P5395" s="25"/>
      <c r="Q5395" s="25"/>
      <c r="R5395" s="25"/>
      <c r="S5395" s="25"/>
      <c r="T5395" s="141"/>
      <c r="U5395" s="28"/>
    </row>
    <row r="5396" ht="15.75" customHeight="1">
      <c r="P5396" s="25"/>
      <c r="Q5396" s="25"/>
      <c r="R5396" s="25"/>
      <c r="S5396" s="25"/>
      <c r="T5396" s="141"/>
      <c r="U5396" s="28"/>
    </row>
    <row r="5397" ht="15.75" customHeight="1">
      <c r="P5397" s="25"/>
      <c r="Q5397" s="25"/>
      <c r="R5397" s="25"/>
      <c r="S5397" s="25"/>
      <c r="T5397" s="141"/>
      <c r="U5397" s="28"/>
    </row>
    <row r="5398" ht="15.75" customHeight="1">
      <c r="P5398" s="25"/>
      <c r="Q5398" s="25"/>
      <c r="R5398" s="25"/>
      <c r="S5398" s="25"/>
      <c r="T5398" s="141"/>
      <c r="U5398" s="28"/>
    </row>
    <row r="5399" ht="15.75" customHeight="1">
      <c r="P5399" s="25"/>
      <c r="Q5399" s="25"/>
      <c r="R5399" s="25"/>
      <c r="S5399" s="25"/>
      <c r="T5399" s="141"/>
      <c r="U5399" s="28"/>
    </row>
    <row r="5400" ht="15.75" customHeight="1">
      <c r="P5400" s="25"/>
      <c r="Q5400" s="25"/>
      <c r="R5400" s="25"/>
      <c r="S5400" s="25"/>
      <c r="T5400" s="141"/>
      <c r="U5400" s="28"/>
    </row>
    <row r="5401" ht="15.75" customHeight="1">
      <c r="P5401" s="25"/>
      <c r="Q5401" s="25"/>
      <c r="R5401" s="25"/>
      <c r="S5401" s="25"/>
      <c r="T5401" s="141"/>
      <c r="U5401" s="28"/>
    </row>
    <row r="5402" ht="15.75" customHeight="1">
      <c r="P5402" s="25"/>
      <c r="Q5402" s="25"/>
      <c r="R5402" s="25"/>
      <c r="S5402" s="25"/>
      <c r="T5402" s="141"/>
      <c r="U5402" s="28"/>
    </row>
    <row r="5403" ht="15.75" customHeight="1">
      <c r="P5403" s="25"/>
      <c r="Q5403" s="25"/>
      <c r="R5403" s="25"/>
      <c r="S5403" s="25"/>
      <c r="T5403" s="141"/>
      <c r="U5403" s="28"/>
    </row>
    <row r="5404" ht="15.75" customHeight="1">
      <c r="P5404" s="25"/>
      <c r="Q5404" s="25"/>
      <c r="R5404" s="25"/>
      <c r="S5404" s="25"/>
      <c r="T5404" s="141"/>
      <c r="U5404" s="28"/>
    </row>
    <row r="5405" ht="15.75" customHeight="1">
      <c r="P5405" s="25"/>
      <c r="Q5405" s="25"/>
      <c r="R5405" s="25"/>
      <c r="S5405" s="25"/>
      <c r="T5405" s="141"/>
      <c r="U5405" s="28"/>
    </row>
    <row r="5406" ht="15.75" customHeight="1">
      <c r="P5406" s="25"/>
      <c r="Q5406" s="25"/>
      <c r="R5406" s="25"/>
      <c r="S5406" s="25"/>
      <c r="T5406" s="141"/>
      <c r="U5406" s="28"/>
    </row>
    <row r="5407" ht="15.75" customHeight="1">
      <c r="P5407" s="25"/>
      <c r="Q5407" s="25"/>
      <c r="R5407" s="25"/>
      <c r="S5407" s="25"/>
      <c r="T5407" s="141"/>
      <c r="U5407" s="28"/>
    </row>
    <row r="5408" ht="15.75" customHeight="1">
      <c r="P5408" s="25"/>
      <c r="Q5408" s="25"/>
      <c r="R5408" s="25"/>
      <c r="S5408" s="25"/>
      <c r="T5408" s="141"/>
      <c r="U5408" s="28"/>
    </row>
    <row r="5409" ht="15.75" customHeight="1">
      <c r="P5409" s="25"/>
      <c r="Q5409" s="25"/>
      <c r="R5409" s="25"/>
      <c r="S5409" s="25"/>
      <c r="T5409" s="141"/>
      <c r="U5409" s="28"/>
    </row>
    <row r="5410" ht="15.75" customHeight="1">
      <c r="P5410" s="25"/>
      <c r="Q5410" s="25"/>
      <c r="R5410" s="25"/>
      <c r="S5410" s="25"/>
      <c r="T5410" s="141"/>
      <c r="U5410" s="28"/>
    </row>
    <row r="5411" ht="15.75" customHeight="1">
      <c r="P5411" s="25"/>
      <c r="Q5411" s="25"/>
      <c r="R5411" s="25"/>
      <c r="S5411" s="25"/>
      <c r="T5411" s="141"/>
      <c r="U5411" s="28"/>
    </row>
    <row r="5412" ht="15.75" customHeight="1">
      <c r="P5412" s="25"/>
      <c r="Q5412" s="25"/>
      <c r="R5412" s="25"/>
      <c r="S5412" s="25"/>
      <c r="T5412" s="141"/>
      <c r="U5412" s="28"/>
    </row>
    <row r="5413" ht="15.75" customHeight="1">
      <c r="P5413" s="25"/>
      <c r="Q5413" s="25"/>
      <c r="R5413" s="25"/>
      <c r="S5413" s="25"/>
      <c r="T5413" s="141"/>
      <c r="U5413" s="28"/>
    </row>
    <row r="5414" ht="15.75" customHeight="1">
      <c r="P5414" s="25"/>
      <c r="Q5414" s="25"/>
      <c r="R5414" s="25"/>
      <c r="S5414" s="25"/>
      <c r="T5414" s="141"/>
      <c r="U5414" s="28"/>
    </row>
    <row r="5415" ht="15.75" customHeight="1">
      <c r="P5415" s="25"/>
      <c r="Q5415" s="25"/>
      <c r="R5415" s="25"/>
      <c r="S5415" s="25"/>
      <c r="T5415" s="141"/>
      <c r="U5415" s="28"/>
    </row>
    <row r="5416" ht="15.75" customHeight="1">
      <c r="P5416" s="25"/>
      <c r="Q5416" s="25"/>
      <c r="R5416" s="25"/>
      <c r="S5416" s="25"/>
      <c r="T5416" s="141"/>
      <c r="U5416" s="28"/>
    </row>
    <row r="5417" ht="15.75" customHeight="1">
      <c r="P5417" s="25"/>
      <c r="Q5417" s="25"/>
      <c r="R5417" s="25"/>
      <c r="S5417" s="25"/>
      <c r="T5417" s="141"/>
      <c r="U5417" s="28"/>
    </row>
    <row r="5418" ht="15.75" customHeight="1">
      <c r="P5418" s="25"/>
      <c r="Q5418" s="25"/>
      <c r="R5418" s="25"/>
      <c r="S5418" s="25"/>
      <c r="T5418" s="141"/>
      <c r="U5418" s="28"/>
    </row>
    <row r="5419" ht="15.75" customHeight="1">
      <c r="P5419" s="25"/>
      <c r="Q5419" s="25"/>
      <c r="R5419" s="25"/>
      <c r="S5419" s="25"/>
      <c r="T5419" s="141"/>
      <c r="U5419" s="28"/>
    </row>
    <row r="5420" ht="15.75" customHeight="1">
      <c r="P5420" s="25"/>
      <c r="Q5420" s="25"/>
      <c r="R5420" s="25"/>
      <c r="S5420" s="25"/>
      <c r="T5420" s="141"/>
      <c r="U5420" s="28"/>
    </row>
    <row r="5421" ht="15.75" customHeight="1">
      <c r="P5421" s="25"/>
      <c r="Q5421" s="25"/>
      <c r="R5421" s="25"/>
      <c r="S5421" s="25"/>
      <c r="T5421" s="141"/>
      <c r="U5421" s="28"/>
    </row>
    <row r="5422" ht="15.75" customHeight="1">
      <c r="P5422" s="25"/>
      <c r="Q5422" s="25"/>
      <c r="R5422" s="25"/>
      <c r="S5422" s="25"/>
      <c r="T5422" s="141"/>
      <c r="U5422" s="28"/>
    </row>
    <row r="5423" ht="15.75" customHeight="1">
      <c r="P5423" s="25"/>
      <c r="Q5423" s="25"/>
      <c r="R5423" s="25"/>
      <c r="S5423" s="25"/>
      <c r="T5423" s="141"/>
      <c r="U5423" s="28"/>
    </row>
    <row r="5424" ht="15.75" customHeight="1">
      <c r="P5424" s="25"/>
      <c r="Q5424" s="25"/>
      <c r="R5424" s="25"/>
      <c r="S5424" s="25"/>
      <c r="T5424" s="141"/>
      <c r="U5424" s="28"/>
    </row>
    <row r="5425" ht="15.75" customHeight="1">
      <c r="P5425" s="25"/>
      <c r="Q5425" s="25"/>
      <c r="R5425" s="25"/>
      <c r="S5425" s="25"/>
      <c r="T5425" s="141"/>
      <c r="U5425" s="28"/>
    </row>
    <row r="5426" ht="15.75" customHeight="1">
      <c r="P5426" s="25"/>
      <c r="Q5426" s="25"/>
      <c r="R5426" s="25"/>
      <c r="S5426" s="25"/>
      <c r="T5426" s="141"/>
      <c r="U5426" s="28"/>
    </row>
    <row r="5427" ht="15.75" customHeight="1">
      <c r="P5427" s="25"/>
      <c r="Q5427" s="25"/>
      <c r="R5427" s="25"/>
      <c r="S5427" s="25"/>
      <c r="T5427" s="141"/>
      <c r="U5427" s="28"/>
    </row>
    <row r="5428" ht="15.75" customHeight="1">
      <c r="P5428" s="25"/>
      <c r="Q5428" s="25"/>
      <c r="R5428" s="25"/>
      <c r="S5428" s="25"/>
      <c r="T5428" s="141"/>
      <c r="U5428" s="28"/>
    </row>
    <row r="5429" ht="15.75" customHeight="1">
      <c r="P5429" s="25"/>
      <c r="Q5429" s="25"/>
      <c r="R5429" s="25"/>
      <c r="S5429" s="25"/>
      <c r="T5429" s="141"/>
      <c r="U5429" s="28"/>
    </row>
    <row r="5430" ht="15.75" customHeight="1">
      <c r="P5430" s="25"/>
      <c r="Q5430" s="25"/>
      <c r="R5430" s="25"/>
      <c r="S5430" s="25"/>
      <c r="T5430" s="141"/>
      <c r="U5430" s="28"/>
    </row>
    <row r="5431" ht="15.75" customHeight="1">
      <c r="P5431" s="25"/>
      <c r="Q5431" s="25"/>
      <c r="R5431" s="25"/>
      <c r="S5431" s="25"/>
      <c r="T5431" s="141"/>
      <c r="U5431" s="28"/>
    </row>
    <row r="5432" ht="15.75" customHeight="1">
      <c r="P5432" s="25"/>
      <c r="Q5432" s="25"/>
      <c r="R5432" s="25"/>
      <c r="S5432" s="25"/>
      <c r="T5432" s="141"/>
      <c r="U5432" s="28"/>
    </row>
    <row r="5433" ht="15.75" customHeight="1">
      <c r="P5433" s="25"/>
      <c r="Q5433" s="25"/>
      <c r="R5433" s="25"/>
      <c r="S5433" s="25"/>
      <c r="T5433" s="141"/>
      <c r="U5433" s="28"/>
    </row>
    <row r="5434" ht="15.75" customHeight="1">
      <c r="P5434" s="25"/>
      <c r="Q5434" s="25"/>
      <c r="R5434" s="25"/>
      <c r="S5434" s="25"/>
      <c r="T5434" s="141"/>
      <c r="U5434" s="28"/>
    </row>
    <row r="5435" ht="15.75" customHeight="1">
      <c r="P5435" s="25"/>
      <c r="Q5435" s="25"/>
      <c r="R5435" s="25"/>
      <c r="S5435" s="25"/>
      <c r="T5435" s="141"/>
      <c r="U5435" s="28"/>
    </row>
    <row r="5436" ht="15.75" customHeight="1">
      <c r="P5436" s="25"/>
      <c r="Q5436" s="25"/>
      <c r="R5436" s="25"/>
      <c r="S5436" s="25"/>
      <c r="T5436" s="141"/>
      <c r="U5436" s="28"/>
    </row>
    <row r="5437" ht="15.75" customHeight="1">
      <c r="P5437" s="25"/>
      <c r="Q5437" s="25"/>
      <c r="R5437" s="25"/>
      <c r="S5437" s="25"/>
      <c r="T5437" s="141"/>
      <c r="U5437" s="28"/>
    </row>
    <row r="5438" ht="15.75" customHeight="1">
      <c r="P5438" s="25"/>
      <c r="Q5438" s="25"/>
      <c r="R5438" s="25"/>
      <c r="S5438" s="25"/>
      <c r="T5438" s="141"/>
      <c r="U5438" s="28"/>
    </row>
    <row r="5439" ht="15.75" customHeight="1">
      <c r="P5439" s="25"/>
      <c r="Q5439" s="25"/>
      <c r="R5439" s="25"/>
      <c r="S5439" s="25"/>
      <c r="T5439" s="141"/>
      <c r="U5439" s="28"/>
    </row>
    <row r="5440" ht="15.75" customHeight="1">
      <c r="P5440" s="25"/>
      <c r="Q5440" s="25"/>
      <c r="R5440" s="25"/>
      <c r="S5440" s="25"/>
      <c r="T5440" s="141"/>
      <c r="U5440" s="28"/>
    </row>
    <row r="5441" ht="15.75" customHeight="1">
      <c r="P5441" s="25"/>
      <c r="Q5441" s="25"/>
      <c r="R5441" s="25"/>
      <c r="S5441" s="25"/>
      <c r="T5441" s="141"/>
      <c r="U5441" s="28"/>
    </row>
    <row r="5442" ht="15.75" customHeight="1">
      <c r="P5442" s="25"/>
      <c r="Q5442" s="25"/>
      <c r="R5442" s="25"/>
      <c r="S5442" s="25"/>
      <c r="T5442" s="141"/>
      <c r="U5442" s="28"/>
    </row>
    <row r="5443" ht="15.75" customHeight="1">
      <c r="P5443" s="25"/>
      <c r="Q5443" s="25"/>
      <c r="R5443" s="25"/>
      <c r="S5443" s="25"/>
      <c r="T5443" s="141"/>
      <c r="U5443" s="28"/>
    </row>
    <row r="5444" ht="15.75" customHeight="1">
      <c r="P5444" s="25"/>
      <c r="Q5444" s="25"/>
      <c r="R5444" s="25"/>
      <c r="S5444" s="25"/>
      <c r="T5444" s="141"/>
      <c r="U5444" s="28"/>
    </row>
    <row r="5445" ht="15.75" customHeight="1">
      <c r="P5445" s="25"/>
      <c r="Q5445" s="25"/>
      <c r="R5445" s="25"/>
      <c r="S5445" s="25"/>
      <c r="T5445" s="141"/>
      <c r="U5445" s="28"/>
    </row>
    <row r="5446" ht="15.75" customHeight="1">
      <c r="P5446" s="25"/>
      <c r="Q5446" s="25"/>
      <c r="R5446" s="25"/>
      <c r="S5446" s="25"/>
      <c r="T5446" s="141"/>
      <c r="U5446" s="28"/>
    </row>
    <row r="5447" ht="15.75" customHeight="1">
      <c r="P5447" s="25"/>
      <c r="Q5447" s="25"/>
      <c r="R5447" s="25"/>
      <c r="S5447" s="25"/>
      <c r="T5447" s="141"/>
      <c r="U5447" s="28"/>
    </row>
    <row r="5448" ht="15.75" customHeight="1">
      <c r="P5448" s="25"/>
      <c r="Q5448" s="25"/>
      <c r="R5448" s="25"/>
      <c r="S5448" s="25"/>
      <c r="T5448" s="141"/>
      <c r="U5448" s="28"/>
    </row>
    <row r="5449" ht="15.75" customHeight="1">
      <c r="P5449" s="25"/>
      <c r="Q5449" s="25"/>
      <c r="R5449" s="25"/>
      <c r="S5449" s="25"/>
      <c r="T5449" s="141"/>
      <c r="U5449" s="28"/>
    </row>
    <row r="5450" ht="15.75" customHeight="1">
      <c r="P5450" s="25"/>
      <c r="Q5450" s="25"/>
      <c r="R5450" s="25"/>
      <c r="S5450" s="25"/>
      <c r="T5450" s="141"/>
      <c r="U5450" s="28"/>
    </row>
    <row r="5451" ht="15.75" customHeight="1">
      <c r="P5451" s="25"/>
      <c r="Q5451" s="25"/>
      <c r="R5451" s="25"/>
      <c r="S5451" s="25"/>
      <c r="T5451" s="141"/>
      <c r="U5451" s="28"/>
    </row>
    <row r="5452" ht="15.75" customHeight="1">
      <c r="P5452" s="25"/>
      <c r="Q5452" s="25"/>
      <c r="R5452" s="25"/>
      <c r="S5452" s="25"/>
      <c r="T5452" s="141"/>
      <c r="U5452" s="28"/>
    </row>
    <row r="5453" ht="15.75" customHeight="1">
      <c r="P5453" s="25"/>
      <c r="Q5453" s="25"/>
      <c r="R5453" s="25"/>
      <c r="S5453" s="25"/>
      <c r="T5453" s="141"/>
      <c r="U5453" s="28"/>
    </row>
    <row r="5454" ht="15.75" customHeight="1">
      <c r="P5454" s="25"/>
      <c r="Q5454" s="25"/>
      <c r="R5454" s="25"/>
      <c r="S5454" s="25"/>
      <c r="T5454" s="141"/>
      <c r="U5454" s="28"/>
    </row>
    <row r="5455" ht="15.75" customHeight="1">
      <c r="P5455" s="25"/>
      <c r="Q5455" s="25"/>
      <c r="R5455" s="25"/>
      <c r="S5455" s="25"/>
      <c r="T5455" s="141"/>
      <c r="U5455" s="28"/>
    </row>
    <row r="5456" ht="15.75" customHeight="1">
      <c r="P5456" s="25"/>
      <c r="Q5456" s="25"/>
      <c r="R5456" s="25"/>
      <c r="S5456" s="25"/>
      <c r="T5456" s="141"/>
      <c r="U5456" s="28"/>
    </row>
    <row r="5457" ht="15.75" customHeight="1">
      <c r="P5457" s="25"/>
      <c r="Q5457" s="25"/>
      <c r="R5457" s="25"/>
      <c r="S5457" s="25"/>
      <c r="T5457" s="141"/>
      <c r="U5457" s="28"/>
    </row>
    <row r="5458" ht="15.75" customHeight="1">
      <c r="P5458" s="25"/>
      <c r="Q5458" s="25"/>
      <c r="R5458" s="25"/>
      <c r="S5458" s="25"/>
      <c r="T5458" s="141"/>
      <c r="U5458" s="28"/>
    </row>
    <row r="5459" ht="15.75" customHeight="1">
      <c r="P5459" s="25"/>
      <c r="Q5459" s="25"/>
      <c r="R5459" s="25"/>
      <c r="S5459" s="25"/>
      <c r="T5459" s="141"/>
      <c r="U5459" s="28"/>
    </row>
    <row r="5460" ht="15.75" customHeight="1">
      <c r="P5460" s="25"/>
      <c r="Q5460" s="25"/>
      <c r="R5460" s="25"/>
      <c r="S5460" s="25"/>
      <c r="T5460" s="141"/>
      <c r="U5460" s="28"/>
    </row>
    <row r="5461" ht="15.75" customHeight="1">
      <c r="P5461" s="25"/>
      <c r="Q5461" s="25"/>
      <c r="R5461" s="25"/>
      <c r="S5461" s="25"/>
      <c r="T5461" s="141"/>
      <c r="U5461" s="28"/>
    </row>
    <row r="5462" ht="15.75" customHeight="1">
      <c r="P5462" s="25"/>
      <c r="Q5462" s="25"/>
      <c r="R5462" s="25"/>
      <c r="S5462" s="25"/>
      <c r="T5462" s="141"/>
      <c r="U5462" s="28"/>
    </row>
    <row r="5463" ht="15.75" customHeight="1">
      <c r="P5463" s="25"/>
      <c r="Q5463" s="25"/>
      <c r="R5463" s="25"/>
      <c r="S5463" s="25"/>
      <c r="T5463" s="141"/>
      <c r="U5463" s="28"/>
    </row>
    <row r="5464" ht="15.75" customHeight="1">
      <c r="P5464" s="25"/>
      <c r="Q5464" s="25"/>
      <c r="R5464" s="25"/>
      <c r="S5464" s="25"/>
      <c r="T5464" s="141"/>
      <c r="U5464" s="28"/>
    </row>
    <row r="5465" ht="15.75" customHeight="1">
      <c r="P5465" s="25"/>
      <c r="Q5465" s="25"/>
      <c r="R5465" s="25"/>
      <c r="S5465" s="25"/>
      <c r="T5465" s="141"/>
      <c r="U5465" s="28"/>
    </row>
    <row r="5466" ht="15.75" customHeight="1">
      <c r="P5466" s="25"/>
      <c r="Q5466" s="25"/>
      <c r="R5466" s="25"/>
      <c r="S5466" s="25"/>
      <c r="T5466" s="141"/>
      <c r="U5466" s="28"/>
    </row>
    <row r="5467" ht="15.75" customHeight="1">
      <c r="P5467" s="25"/>
      <c r="Q5467" s="25"/>
      <c r="R5467" s="25"/>
      <c r="S5467" s="25"/>
      <c r="T5467" s="141"/>
      <c r="U5467" s="28"/>
    </row>
    <row r="5468" ht="15.75" customHeight="1">
      <c r="P5468" s="25"/>
      <c r="Q5468" s="25"/>
      <c r="R5468" s="25"/>
      <c r="S5468" s="25"/>
      <c r="T5468" s="141"/>
      <c r="U5468" s="28"/>
    </row>
    <row r="5469" ht="15.75" customHeight="1">
      <c r="P5469" s="25"/>
      <c r="Q5469" s="25"/>
      <c r="R5469" s="25"/>
      <c r="S5469" s="25"/>
      <c r="T5469" s="141"/>
      <c r="U5469" s="28"/>
    </row>
    <row r="5470" ht="15.75" customHeight="1">
      <c r="P5470" s="25"/>
      <c r="Q5470" s="25"/>
      <c r="R5470" s="25"/>
      <c r="S5470" s="25"/>
      <c r="T5470" s="141"/>
      <c r="U5470" s="28"/>
    </row>
    <row r="5471" ht="15.75" customHeight="1">
      <c r="P5471" s="25"/>
      <c r="Q5471" s="25"/>
      <c r="R5471" s="25"/>
      <c r="S5471" s="25"/>
      <c r="T5471" s="141"/>
      <c r="U5471" s="28"/>
    </row>
    <row r="5472" ht="15.75" customHeight="1">
      <c r="P5472" s="25"/>
      <c r="Q5472" s="25"/>
      <c r="R5472" s="25"/>
      <c r="S5472" s="25"/>
      <c r="T5472" s="141"/>
      <c r="U5472" s="28"/>
    </row>
    <row r="5473" ht="15.75" customHeight="1">
      <c r="P5473" s="25"/>
      <c r="Q5473" s="25"/>
      <c r="R5473" s="25"/>
      <c r="S5473" s="25"/>
      <c r="T5473" s="141"/>
      <c r="U5473" s="28"/>
    </row>
    <row r="5474" ht="15.75" customHeight="1">
      <c r="P5474" s="25"/>
      <c r="Q5474" s="25"/>
      <c r="R5474" s="25"/>
      <c r="S5474" s="25"/>
      <c r="T5474" s="141"/>
      <c r="U5474" s="28"/>
    </row>
    <row r="5475" ht="15.75" customHeight="1">
      <c r="P5475" s="25"/>
      <c r="Q5475" s="25"/>
      <c r="R5475" s="25"/>
      <c r="S5475" s="25"/>
      <c r="T5475" s="141"/>
      <c r="U5475" s="28"/>
    </row>
    <row r="5476" ht="15.75" customHeight="1">
      <c r="P5476" s="25"/>
      <c r="Q5476" s="25"/>
      <c r="R5476" s="25"/>
      <c r="S5476" s="25"/>
      <c r="T5476" s="141"/>
      <c r="U5476" s="28"/>
    </row>
    <row r="5477" ht="15.75" customHeight="1">
      <c r="P5477" s="25"/>
      <c r="Q5477" s="25"/>
      <c r="R5477" s="25"/>
      <c r="S5477" s="25"/>
      <c r="T5477" s="141"/>
      <c r="U5477" s="28"/>
    </row>
    <row r="5478" ht="15.75" customHeight="1">
      <c r="P5478" s="25"/>
      <c r="Q5478" s="25"/>
      <c r="R5478" s="25"/>
      <c r="S5478" s="25"/>
      <c r="T5478" s="141"/>
      <c r="U5478" s="28"/>
    </row>
    <row r="5479" ht="15.75" customHeight="1">
      <c r="P5479" s="25"/>
      <c r="Q5479" s="25"/>
      <c r="R5479" s="25"/>
      <c r="S5479" s="25"/>
      <c r="T5479" s="141"/>
      <c r="U5479" s="28"/>
    </row>
    <row r="5480" ht="15.75" customHeight="1">
      <c r="P5480" s="25"/>
      <c r="Q5480" s="25"/>
      <c r="R5480" s="25"/>
      <c r="S5480" s="25"/>
      <c r="T5480" s="141"/>
      <c r="U5480" s="28"/>
    </row>
    <row r="5481" ht="15.75" customHeight="1">
      <c r="P5481" s="25"/>
      <c r="Q5481" s="25"/>
      <c r="R5481" s="25"/>
      <c r="S5481" s="25"/>
      <c r="T5481" s="141"/>
      <c r="U5481" s="28"/>
    </row>
    <row r="5482" ht="15.75" customHeight="1">
      <c r="P5482" s="25"/>
      <c r="Q5482" s="25"/>
      <c r="R5482" s="25"/>
      <c r="S5482" s="25"/>
      <c r="T5482" s="141"/>
      <c r="U5482" s="28"/>
    </row>
    <row r="5483" ht="15.75" customHeight="1">
      <c r="P5483" s="25"/>
      <c r="Q5483" s="25"/>
      <c r="R5483" s="25"/>
      <c r="S5483" s="25"/>
      <c r="T5483" s="141"/>
      <c r="U5483" s="28"/>
    </row>
    <row r="5484" ht="15.75" customHeight="1">
      <c r="P5484" s="25"/>
      <c r="Q5484" s="25"/>
      <c r="R5484" s="25"/>
      <c r="S5484" s="25"/>
      <c r="T5484" s="141"/>
      <c r="U5484" s="28"/>
    </row>
    <row r="5485" ht="15.75" customHeight="1">
      <c r="P5485" s="25"/>
      <c r="Q5485" s="25"/>
      <c r="R5485" s="25"/>
      <c r="S5485" s="25"/>
      <c r="T5485" s="141"/>
      <c r="U5485" s="28"/>
    </row>
    <row r="5486" ht="15.75" customHeight="1">
      <c r="P5486" s="25"/>
      <c r="Q5486" s="25"/>
      <c r="R5486" s="25"/>
      <c r="S5486" s="25"/>
      <c r="T5486" s="141"/>
      <c r="U5486" s="28"/>
    </row>
    <row r="5487" ht="15.75" customHeight="1">
      <c r="P5487" s="25"/>
      <c r="Q5487" s="25"/>
      <c r="R5487" s="25"/>
      <c r="S5487" s="25"/>
      <c r="T5487" s="141"/>
      <c r="U5487" s="28"/>
    </row>
    <row r="5488" ht="15.75" customHeight="1">
      <c r="P5488" s="25"/>
      <c r="Q5488" s="25"/>
      <c r="R5488" s="25"/>
      <c r="S5488" s="25"/>
      <c r="T5488" s="141"/>
      <c r="U5488" s="28"/>
    </row>
    <row r="5489" ht="15.75" customHeight="1">
      <c r="P5489" s="25"/>
      <c r="Q5489" s="25"/>
      <c r="R5489" s="25"/>
      <c r="S5489" s="25"/>
      <c r="T5489" s="141"/>
      <c r="U5489" s="28"/>
    </row>
    <row r="5490" ht="15.75" customHeight="1">
      <c r="P5490" s="25"/>
      <c r="Q5490" s="25"/>
      <c r="R5490" s="25"/>
      <c r="S5490" s="25"/>
      <c r="T5490" s="141"/>
      <c r="U5490" s="28"/>
    </row>
    <row r="5491" ht="15.75" customHeight="1">
      <c r="P5491" s="25"/>
      <c r="Q5491" s="25"/>
      <c r="R5491" s="25"/>
      <c r="S5491" s="25"/>
      <c r="T5491" s="141"/>
      <c r="U5491" s="28"/>
    </row>
    <row r="5492" ht="15.75" customHeight="1">
      <c r="P5492" s="25"/>
      <c r="Q5492" s="25"/>
      <c r="R5492" s="25"/>
      <c r="S5492" s="25"/>
      <c r="T5492" s="141"/>
      <c r="U5492" s="28"/>
    </row>
    <row r="5493" ht="15.75" customHeight="1">
      <c r="P5493" s="25"/>
      <c r="Q5493" s="25"/>
      <c r="R5493" s="25"/>
      <c r="S5493" s="25"/>
      <c r="T5493" s="141"/>
      <c r="U5493" s="28"/>
    </row>
    <row r="5494" ht="15.75" customHeight="1">
      <c r="P5494" s="25"/>
      <c r="Q5494" s="25"/>
      <c r="R5494" s="25"/>
      <c r="S5494" s="25"/>
      <c r="T5494" s="141"/>
      <c r="U5494" s="28"/>
    </row>
    <row r="5495" ht="15.75" customHeight="1">
      <c r="P5495" s="25"/>
      <c r="Q5495" s="25"/>
      <c r="R5495" s="25"/>
      <c r="S5495" s="25"/>
      <c r="T5495" s="141"/>
      <c r="U5495" s="28"/>
    </row>
    <row r="5496" ht="15.75" customHeight="1">
      <c r="P5496" s="25"/>
      <c r="Q5496" s="25"/>
      <c r="R5496" s="25"/>
      <c r="S5496" s="25"/>
      <c r="T5496" s="141"/>
      <c r="U5496" s="28"/>
    </row>
    <row r="5497" ht="15.75" customHeight="1">
      <c r="P5497" s="25"/>
      <c r="Q5497" s="25"/>
      <c r="R5497" s="25"/>
      <c r="S5497" s="25"/>
      <c r="T5497" s="141"/>
      <c r="U5497" s="28"/>
    </row>
    <row r="5498" ht="15.75" customHeight="1">
      <c r="P5498" s="25"/>
      <c r="Q5498" s="25"/>
      <c r="R5498" s="25"/>
      <c r="S5498" s="25"/>
      <c r="T5498" s="141"/>
      <c r="U5498" s="28"/>
    </row>
    <row r="5499" ht="15.75" customHeight="1">
      <c r="P5499" s="25"/>
      <c r="Q5499" s="25"/>
      <c r="R5499" s="25"/>
      <c r="S5499" s="25"/>
      <c r="T5499" s="141"/>
      <c r="U5499" s="28"/>
    </row>
    <row r="5500" ht="15.75" customHeight="1">
      <c r="P5500" s="25"/>
      <c r="Q5500" s="25"/>
      <c r="R5500" s="25"/>
      <c r="S5500" s="25"/>
      <c r="T5500" s="141"/>
      <c r="U5500" s="28"/>
    </row>
    <row r="5501" ht="15.75" customHeight="1">
      <c r="P5501" s="25"/>
      <c r="Q5501" s="25"/>
      <c r="R5501" s="25"/>
      <c r="S5501" s="25"/>
      <c r="T5501" s="141"/>
      <c r="U5501" s="28"/>
    </row>
    <row r="5502" ht="15.75" customHeight="1">
      <c r="P5502" s="25"/>
      <c r="Q5502" s="25"/>
      <c r="R5502" s="25"/>
      <c r="S5502" s="25"/>
      <c r="T5502" s="141"/>
      <c r="U5502" s="28"/>
    </row>
    <row r="5503" ht="15.75" customHeight="1">
      <c r="P5503" s="25"/>
      <c r="Q5503" s="25"/>
      <c r="R5503" s="25"/>
      <c r="S5503" s="25"/>
      <c r="T5503" s="141"/>
      <c r="U5503" s="28"/>
    </row>
    <row r="5504" ht="15.75" customHeight="1">
      <c r="P5504" s="25"/>
      <c r="Q5504" s="25"/>
      <c r="R5504" s="25"/>
      <c r="S5504" s="25"/>
      <c r="T5504" s="141"/>
      <c r="U5504" s="28"/>
    </row>
    <row r="5505" ht="15.75" customHeight="1">
      <c r="P5505" s="25"/>
      <c r="Q5505" s="25"/>
      <c r="R5505" s="25"/>
      <c r="S5505" s="25"/>
      <c r="T5505" s="141"/>
      <c r="U5505" s="28"/>
    </row>
    <row r="5506" ht="15.75" customHeight="1">
      <c r="P5506" s="25"/>
      <c r="Q5506" s="25"/>
      <c r="R5506" s="25"/>
      <c r="S5506" s="25"/>
      <c r="T5506" s="141"/>
      <c r="U5506" s="28"/>
    </row>
    <row r="5507" ht="15.75" customHeight="1">
      <c r="P5507" s="25"/>
      <c r="Q5507" s="25"/>
      <c r="R5507" s="25"/>
      <c r="S5507" s="25"/>
      <c r="T5507" s="141"/>
      <c r="U5507" s="28"/>
    </row>
    <row r="5508" ht="15.75" customHeight="1">
      <c r="P5508" s="25"/>
      <c r="Q5508" s="25"/>
      <c r="R5508" s="25"/>
      <c r="S5508" s="25"/>
      <c r="T5508" s="141"/>
      <c r="U5508" s="28"/>
    </row>
    <row r="5509" ht="15.75" customHeight="1">
      <c r="P5509" s="25"/>
      <c r="Q5509" s="25"/>
      <c r="R5509" s="25"/>
      <c r="S5509" s="25"/>
      <c r="T5509" s="141"/>
      <c r="U5509" s="28"/>
    </row>
    <row r="5510" ht="15.75" customHeight="1">
      <c r="P5510" s="25"/>
      <c r="Q5510" s="25"/>
      <c r="R5510" s="25"/>
      <c r="S5510" s="25"/>
      <c r="T5510" s="141"/>
      <c r="U5510" s="28"/>
    </row>
    <row r="5511" ht="15.75" customHeight="1">
      <c r="P5511" s="25"/>
      <c r="Q5511" s="25"/>
      <c r="R5511" s="25"/>
      <c r="S5511" s="25"/>
      <c r="T5511" s="141"/>
      <c r="U5511" s="28"/>
    </row>
    <row r="5512" ht="15.75" customHeight="1">
      <c r="P5512" s="25"/>
      <c r="Q5512" s="25"/>
      <c r="R5512" s="25"/>
      <c r="S5512" s="25"/>
      <c r="T5512" s="141"/>
      <c r="U5512" s="28"/>
    </row>
    <row r="5513" ht="15.75" customHeight="1">
      <c r="P5513" s="25"/>
      <c r="Q5513" s="25"/>
      <c r="R5513" s="25"/>
      <c r="S5513" s="25"/>
      <c r="T5513" s="141"/>
      <c r="U5513" s="28"/>
    </row>
    <row r="5514" ht="15.75" customHeight="1">
      <c r="P5514" s="25"/>
      <c r="Q5514" s="25"/>
      <c r="R5514" s="25"/>
      <c r="S5514" s="25"/>
      <c r="T5514" s="141"/>
      <c r="U5514" s="28"/>
    </row>
    <row r="5515" ht="15.75" customHeight="1">
      <c r="P5515" s="25"/>
      <c r="Q5515" s="25"/>
      <c r="R5515" s="25"/>
      <c r="S5515" s="25"/>
      <c r="T5515" s="141"/>
      <c r="U5515" s="28"/>
    </row>
    <row r="5516" ht="15.75" customHeight="1">
      <c r="P5516" s="25"/>
      <c r="Q5516" s="25"/>
      <c r="R5516" s="25"/>
      <c r="S5516" s="25"/>
      <c r="T5516" s="141"/>
      <c r="U5516" s="28"/>
    </row>
    <row r="5517" ht="15.75" customHeight="1">
      <c r="P5517" s="25"/>
      <c r="Q5517" s="25"/>
      <c r="R5517" s="25"/>
      <c r="S5517" s="25"/>
      <c r="T5517" s="141"/>
      <c r="U5517" s="28"/>
    </row>
    <row r="5518" ht="15.75" customHeight="1">
      <c r="P5518" s="25"/>
      <c r="Q5518" s="25"/>
      <c r="R5518" s="25"/>
      <c r="S5518" s="25"/>
      <c r="T5518" s="141"/>
      <c r="U5518" s="28"/>
    </row>
    <row r="5519" ht="15.75" customHeight="1">
      <c r="P5519" s="25"/>
      <c r="Q5519" s="25"/>
      <c r="R5519" s="25"/>
      <c r="S5519" s="25"/>
      <c r="T5519" s="141"/>
      <c r="U5519" s="28"/>
    </row>
    <row r="5520" ht="15.75" customHeight="1">
      <c r="P5520" s="25"/>
      <c r="Q5520" s="25"/>
      <c r="R5520" s="25"/>
      <c r="S5520" s="25"/>
      <c r="T5520" s="141"/>
      <c r="U5520" s="28"/>
    </row>
    <row r="5521" ht="15.75" customHeight="1">
      <c r="P5521" s="25"/>
      <c r="Q5521" s="25"/>
      <c r="R5521" s="25"/>
      <c r="S5521" s="25"/>
      <c r="T5521" s="141"/>
      <c r="U5521" s="28"/>
    </row>
    <row r="5522" ht="15.75" customHeight="1">
      <c r="P5522" s="25"/>
      <c r="Q5522" s="25"/>
      <c r="R5522" s="25"/>
      <c r="S5522" s="25"/>
      <c r="T5522" s="141"/>
      <c r="U5522" s="28"/>
    </row>
    <row r="5523" ht="15.75" customHeight="1">
      <c r="P5523" s="25"/>
      <c r="Q5523" s="25"/>
      <c r="R5523" s="25"/>
      <c r="S5523" s="25"/>
      <c r="T5523" s="141"/>
      <c r="U5523" s="28"/>
    </row>
    <row r="5524" ht="15.75" customHeight="1">
      <c r="P5524" s="25"/>
      <c r="Q5524" s="25"/>
      <c r="R5524" s="25"/>
      <c r="S5524" s="25"/>
      <c r="T5524" s="141"/>
      <c r="U5524" s="28"/>
    </row>
    <row r="5525" ht="15.75" customHeight="1">
      <c r="P5525" s="25"/>
      <c r="Q5525" s="25"/>
      <c r="R5525" s="25"/>
      <c r="S5525" s="25"/>
      <c r="T5525" s="141"/>
      <c r="U5525" s="28"/>
    </row>
    <row r="5526" ht="15.75" customHeight="1">
      <c r="P5526" s="25"/>
      <c r="Q5526" s="25"/>
      <c r="R5526" s="25"/>
      <c r="S5526" s="25"/>
      <c r="T5526" s="141"/>
      <c r="U5526" s="28"/>
    </row>
    <row r="5527" ht="15.75" customHeight="1">
      <c r="P5527" s="25"/>
      <c r="Q5527" s="25"/>
      <c r="R5527" s="25"/>
      <c r="S5527" s="25"/>
      <c r="T5527" s="141"/>
      <c r="U5527" s="28"/>
    </row>
    <row r="5528" ht="15.75" customHeight="1">
      <c r="P5528" s="25"/>
      <c r="Q5528" s="25"/>
      <c r="R5528" s="25"/>
      <c r="S5528" s="25"/>
      <c r="T5528" s="141"/>
      <c r="U5528" s="28"/>
    </row>
    <row r="5529" ht="15.75" customHeight="1">
      <c r="P5529" s="25"/>
      <c r="Q5529" s="25"/>
      <c r="R5529" s="25"/>
      <c r="S5529" s="25"/>
      <c r="T5529" s="141"/>
      <c r="U5529" s="28"/>
    </row>
    <row r="5530" ht="15.75" customHeight="1">
      <c r="P5530" s="25"/>
      <c r="Q5530" s="25"/>
      <c r="R5530" s="25"/>
      <c r="S5530" s="25"/>
      <c r="T5530" s="141"/>
      <c r="U5530" s="28"/>
    </row>
    <row r="5531" ht="15.75" customHeight="1">
      <c r="P5531" s="25"/>
      <c r="Q5531" s="25"/>
      <c r="R5531" s="25"/>
      <c r="S5531" s="25"/>
      <c r="T5531" s="141"/>
      <c r="U5531" s="28"/>
    </row>
    <row r="5532" ht="15.75" customHeight="1">
      <c r="P5532" s="25"/>
      <c r="Q5532" s="25"/>
      <c r="R5532" s="25"/>
      <c r="S5532" s="25"/>
      <c r="T5532" s="141"/>
      <c r="U5532" s="28"/>
    </row>
    <row r="5533" ht="15.75" customHeight="1">
      <c r="P5533" s="25"/>
      <c r="Q5533" s="25"/>
      <c r="R5533" s="25"/>
      <c r="S5533" s="25"/>
      <c r="T5533" s="141"/>
      <c r="U5533" s="28"/>
    </row>
    <row r="5534" ht="15.75" customHeight="1">
      <c r="P5534" s="25"/>
      <c r="Q5534" s="25"/>
      <c r="R5534" s="25"/>
      <c r="S5534" s="25"/>
      <c r="T5534" s="141"/>
      <c r="U5534" s="28"/>
    </row>
    <row r="5535" ht="15.75" customHeight="1">
      <c r="P5535" s="25"/>
      <c r="Q5535" s="25"/>
      <c r="R5535" s="25"/>
      <c r="S5535" s="25"/>
      <c r="T5535" s="141"/>
      <c r="U5535" s="28"/>
    </row>
    <row r="5536" ht="15.75" customHeight="1">
      <c r="P5536" s="25"/>
      <c r="Q5536" s="25"/>
      <c r="R5536" s="25"/>
      <c r="S5536" s="25"/>
      <c r="T5536" s="141"/>
      <c r="U5536" s="28"/>
    </row>
    <row r="5537" ht="15.75" customHeight="1">
      <c r="P5537" s="25"/>
      <c r="Q5537" s="25"/>
      <c r="R5537" s="25"/>
      <c r="S5537" s="25"/>
      <c r="T5537" s="141"/>
      <c r="U5537" s="28"/>
    </row>
    <row r="5538" ht="15.75" customHeight="1">
      <c r="P5538" s="25"/>
      <c r="Q5538" s="25"/>
      <c r="R5538" s="25"/>
      <c r="S5538" s="25"/>
      <c r="T5538" s="141"/>
      <c r="U5538" s="28"/>
    </row>
    <row r="5539" ht="15.75" customHeight="1">
      <c r="P5539" s="25"/>
      <c r="Q5539" s="25"/>
      <c r="R5539" s="25"/>
      <c r="S5539" s="25"/>
      <c r="T5539" s="141"/>
      <c r="U5539" s="28"/>
    </row>
    <row r="5540" ht="15.75" customHeight="1">
      <c r="P5540" s="25"/>
      <c r="Q5540" s="25"/>
      <c r="R5540" s="25"/>
      <c r="S5540" s="25"/>
      <c r="T5540" s="141"/>
      <c r="U5540" s="28"/>
    </row>
    <row r="5541" ht="15.75" customHeight="1">
      <c r="P5541" s="25"/>
      <c r="Q5541" s="25"/>
      <c r="R5541" s="25"/>
      <c r="S5541" s="25"/>
      <c r="T5541" s="141"/>
      <c r="U5541" s="28"/>
    </row>
    <row r="5542" ht="15.75" customHeight="1">
      <c r="P5542" s="25"/>
      <c r="Q5542" s="25"/>
      <c r="R5542" s="25"/>
      <c r="S5542" s="25"/>
      <c r="T5542" s="141"/>
      <c r="U5542" s="28"/>
    </row>
    <row r="5543" ht="15.75" customHeight="1">
      <c r="P5543" s="25"/>
      <c r="Q5543" s="25"/>
      <c r="R5543" s="25"/>
      <c r="S5543" s="25"/>
      <c r="T5543" s="141"/>
      <c r="U5543" s="28"/>
    </row>
    <row r="5544" ht="15.75" customHeight="1">
      <c r="P5544" s="25"/>
      <c r="Q5544" s="25"/>
      <c r="R5544" s="25"/>
      <c r="S5544" s="25"/>
      <c r="T5544" s="141"/>
      <c r="U5544" s="28"/>
    </row>
    <row r="5545" ht="15.75" customHeight="1">
      <c r="P5545" s="25"/>
      <c r="Q5545" s="25"/>
      <c r="R5545" s="25"/>
      <c r="S5545" s="25"/>
      <c r="T5545" s="141"/>
      <c r="U5545" s="28"/>
    </row>
    <row r="5546" ht="15.75" customHeight="1">
      <c r="P5546" s="25"/>
      <c r="Q5546" s="25"/>
      <c r="R5546" s="25"/>
      <c r="S5546" s="25"/>
      <c r="T5546" s="141"/>
      <c r="U5546" s="28"/>
    </row>
    <row r="5547" ht="15.75" customHeight="1">
      <c r="P5547" s="25"/>
      <c r="Q5547" s="25"/>
      <c r="R5547" s="25"/>
      <c r="S5547" s="25"/>
      <c r="T5547" s="141"/>
      <c r="U5547" s="28"/>
    </row>
    <row r="5548" ht="15.75" customHeight="1">
      <c r="P5548" s="25"/>
      <c r="Q5548" s="25"/>
      <c r="R5548" s="25"/>
      <c r="S5548" s="25"/>
      <c r="T5548" s="141"/>
      <c r="U5548" s="28"/>
    </row>
    <row r="5549" ht="15.75" customHeight="1">
      <c r="P5549" s="25"/>
      <c r="Q5549" s="25"/>
      <c r="R5549" s="25"/>
      <c r="S5549" s="25"/>
      <c r="T5549" s="141"/>
      <c r="U5549" s="28"/>
    </row>
    <row r="5550" ht="15.75" customHeight="1">
      <c r="P5550" s="25"/>
      <c r="Q5550" s="25"/>
      <c r="R5550" s="25"/>
      <c r="S5550" s="25"/>
      <c r="T5550" s="141"/>
      <c r="U5550" s="28"/>
    </row>
    <row r="5551" ht="15.75" customHeight="1">
      <c r="P5551" s="25"/>
      <c r="Q5551" s="25"/>
      <c r="R5551" s="25"/>
      <c r="S5551" s="25"/>
      <c r="T5551" s="141"/>
      <c r="U5551" s="28"/>
    </row>
    <row r="5552" ht="15.75" customHeight="1">
      <c r="P5552" s="25"/>
      <c r="Q5552" s="25"/>
      <c r="R5552" s="25"/>
      <c r="S5552" s="25"/>
      <c r="T5552" s="141"/>
      <c r="U5552" s="28"/>
    </row>
    <row r="5553" ht="15.75" customHeight="1">
      <c r="P5553" s="25"/>
      <c r="Q5553" s="25"/>
      <c r="R5553" s="25"/>
      <c r="S5553" s="25"/>
      <c r="T5553" s="141"/>
      <c r="U5553" s="28"/>
    </row>
    <row r="5554" ht="15.75" customHeight="1">
      <c r="P5554" s="25"/>
      <c r="Q5554" s="25"/>
      <c r="R5554" s="25"/>
      <c r="S5554" s="25"/>
      <c r="T5554" s="141"/>
      <c r="U5554" s="28"/>
    </row>
    <row r="5555" ht="15.75" customHeight="1">
      <c r="P5555" s="25"/>
      <c r="Q5555" s="25"/>
      <c r="R5555" s="25"/>
      <c r="S5555" s="25"/>
      <c r="T5555" s="141"/>
      <c r="U5555" s="28"/>
    </row>
    <row r="5556" ht="15.75" customHeight="1">
      <c r="P5556" s="25"/>
      <c r="Q5556" s="25"/>
      <c r="R5556" s="25"/>
      <c r="S5556" s="25"/>
      <c r="T5556" s="141"/>
      <c r="U5556" s="28"/>
    </row>
    <row r="5557" ht="15.75" customHeight="1">
      <c r="P5557" s="25"/>
      <c r="Q5557" s="25"/>
      <c r="R5557" s="25"/>
      <c r="S5557" s="25"/>
      <c r="T5557" s="141"/>
      <c r="U5557" s="28"/>
    </row>
    <row r="5558" ht="15.75" customHeight="1">
      <c r="P5558" s="25"/>
      <c r="Q5558" s="25"/>
      <c r="R5558" s="25"/>
      <c r="S5558" s="25"/>
      <c r="T5558" s="141"/>
      <c r="U5558" s="28"/>
    </row>
    <row r="5559" ht="15.75" customHeight="1">
      <c r="P5559" s="25"/>
      <c r="Q5559" s="25"/>
      <c r="R5559" s="25"/>
      <c r="S5559" s="25"/>
      <c r="T5559" s="141"/>
      <c r="U5559" s="28"/>
    </row>
    <row r="5560" ht="15.75" customHeight="1">
      <c r="P5560" s="25"/>
      <c r="Q5560" s="25"/>
      <c r="R5560" s="25"/>
      <c r="S5560" s="25"/>
      <c r="T5560" s="141"/>
      <c r="U5560" s="28"/>
    </row>
    <row r="5561" ht="15.75" customHeight="1">
      <c r="P5561" s="25"/>
      <c r="Q5561" s="25"/>
      <c r="R5561" s="25"/>
      <c r="S5561" s="25"/>
      <c r="T5561" s="141"/>
      <c r="U5561" s="28"/>
    </row>
    <row r="5562" ht="15.75" customHeight="1">
      <c r="P5562" s="25"/>
      <c r="Q5562" s="25"/>
      <c r="R5562" s="25"/>
      <c r="S5562" s="25"/>
      <c r="T5562" s="141"/>
      <c r="U5562" s="28"/>
    </row>
    <row r="5563" ht="15.75" customHeight="1">
      <c r="P5563" s="25"/>
      <c r="Q5563" s="25"/>
      <c r="R5563" s="25"/>
      <c r="S5563" s="25"/>
      <c r="T5563" s="141"/>
      <c r="U5563" s="28"/>
    </row>
    <row r="5564" ht="15.75" customHeight="1">
      <c r="P5564" s="25"/>
      <c r="Q5564" s="25"/>
      <c r="R5564" s="25"/>
      <c r="S5564" s="25"/>
      <c r="T5564" s="141"/>
      <c r="U5564" s="28"/>
    </row>
    <row r="5565" ht="15.75" customHeight="1">
      <c r="P5565" s="25"/>
      <c r="Q5565" s="25"/>
      <c r="R5565" s="25"/>
      <c r="S5565" s="25"/>
      <c r="T5565" s="141"/>
      <c r="U5565" s="28"/>
    </row>
    <row r="5566" ht="15.75" customHeight="1">
      <c r="P5566" s="25"/>
      <c r="Q5566" s="25"/>
      <c r="R5566" s="25"/>
      <c r="S5566" s="25"/>
      <c r="T5566" s="141"/>
      <c r="U5566" s="28"/>
    </row>
    <row r="5567" ht="15.75" customHeight="1">
      <c r="P5567" s="25"/>
      <c r="Q5567" s="25"/>
      <c r="R5567" s="25"/>
      <c r="S5567" s="25"/>
      <c r="T5567" s="141"/>
      <c r="U5567" s="28"/>
    </row>
    <row r="5568" ht="15.75" customHeight="1">
      <c r="P5568" s="25"/>
      <c r="Q5568" s="25"/>
      <c r="R5568" s="25"/>
      <c r="S5568" s="25"/>
      <c r="T5568" s="141"/>
      <c r="U5568" s="28"/>
    </row>
    <row r="5569" ht="15.75" customHeight="1">
      <c r="P5569" s="25"/>
      <c r="Q5569" s="25"/>
      <c r="R5569" s="25"/>
      <c r="S5569" s="25"/>
      <c r="T5569" s="141"/>
      <c r="U5569" s="28"/>
    </row>
    <row r="5570" ht="15.75" customHeight="1">
      <c r="P5570" s="25"/>
      <c r="Q5570" s="25"/>
      <c r="R5570" s="25"/>
      <c r="S5570" s="25"/>
      <c r="T5570" s="141"/>
      <c r="U5570" s="28"/>
    </row>
    <row r="5571" ht="15.75" customHeight="1">
      <c r="P5571" s="25"/>
      <c r="Q5571" s="25"/>
      <c r="R5571" s="25"/>
      <c r="S5571" s="25"/>
      <c r="T5571" s="141"/>
      <c r="U5571" s="28"/>
    </row>
    <row r="5572" ht="15.75" customHeight="1">
      <c r="P5572" s="25"/>
      <c r="Q5572" s="25"/>
      <c r="R5572" s="25"/>
      <c r="S5572" s="25"/>
      <c r="T5572" s="141"/>
      <c r="U5572" s="28"/>
    </row>
    <row r="5573" ht="15.75" customHeight="1">
      <c r="P5573" s="25"/>
      <c r="Q5573" s="25"/>
      <c r="R5573" s="25"/>
      <c r="S5573" s="25"/>
      <c r="T5573" s="141"/>
      <c r="U5573" s="28"/>
    </row>
    <row r="5574" ht="15.75" customHeight="1">
      <c r="P5574" s="25"/>
      <c r="Q5574" s="25"/>
      <c r="R5574" s="25"/>
      <c r="S5574" s="25"/>
      <c r="T5574" s="141"/>
      <c r="U5574" s="28"/>
    </row>
    <row r="5575" ht="15.75" customHeight="1">
      <c r="P5575" s="25"/>
      <c r="Q5575" s="25"/>
      <c r="R5575" s="25"/>
      <c r="S5575" s="25"/>
      <c r="T5575" s="141"/>
      <c r="U5575" s="28"/>
    </row>
    <row r="5576" ht="15.75" customHeight="1">
      <c r="P5576" s="25"/>
      <c r="Q5576" s="25"/>
      <c r="R5576" s="25"/>
      <c r="S5576" s="25"/>
      <c r="T5576" s="141"/>
      <c r="U5576" s="28"/>
    </row>
    <row r="5577" ht="15.75" customHeight="1">
      <c r="P5577" s="25"/>
      <c r="Q5577" s="25"/>
      <c r="R5577" s="25"/>
      <c r="S5577" s="25"/>
      <c r="T5577" s="141"/>
      <c r="U5577" s="28"/>
    </row>
    <row r="5578" ht="15.75" customHeight="1">
      <c r="P5578" s="25"/>
      <c r="Q5578" s="25"/>
      <c r="R5578" s="25"/>
      <c r="S5578" s="25"/>
      <c r="T5578" s="141"/>
      <c r="U5578" s="28"/>
    </row>
    <row r="5579" ht="15.75" customHeight="1">
      <c r="P5579" s="25"/>
      <c r="Q5579" s="25"/>
      <c r="R5579" s="25"/>
      <c r="S5579" s="25"/>
      <c r="T5579" s="141"/>
      <c r="U5579" s="28"/>
    </row>
    <row r="5580" ht="15.75" customHeight="1">
      <c r="P5580" s="25"/>
      <c r="Q5580" s="25"/>
      <c r="R5580" s="25"/>
      <c r="S5580" s="25"/>
      <c r="T5580" s="141"/>
      <c r="U5580" s="28"/>
    </row>
    <row r="5581" ht="15.75" customHeight="1">
      <c r="P5581" s="25"/>
      <c r="Q5581" s="25"/>
      <c r="R5581" s="25"/>
      <c r="S5581" s="25"/>
      <c r="T5581" s="141"/>
      <c r="U5581" s="28"/>
    </row>
    <row r="5582" ht="15.75" customHeight="1">
      <c r="P5582" s="25"/>
      <c r="Q5582" s="25"/>
      <c r="R5582" s="25"/>
      <c r="S5582" s="25"/>
      <c r="T5582" s="141"/>
      <c r="U5582" s="28"/>
    </row>
    <row r="5583" ht="15.75" customHeight="1">
      <c r="P5583" s="25"/>
      <c r="Q5583" s="25"/>
      <c r="R5583" s="25"/>
      <c r="S5583" s="25"/>
      <c r="T5583" s="141"/>
      <c r="U5583" s="28"/>
    </row>
    <row r="5584" ht="15.75" customHeight="1">
      <c r="P5584" s="25"/>
      <c r="Q5584" s="25"/>
      <c r="R5584" s="25"/>
      <c r="S5584" s="25"/>
      <c r="T5584" s="141"/>
      <c r="U5584" s="28"/>
    </row>
    <row r="5585" ht="15.75" customHeight="1">
      <c r="P5585" s="25"/>
      <c r="Q5585" s="25"/>
      <c r="R5585" s="25"/>
      <c r="S5585" s="25"/>
      <c r="T5585" s="141"/>
      <c r="U5585" s="28"/>
    </row>
    <row r="5586" ht="15.75" customHeight="1">
      <c r="P5586" s="25"/>
      <c r="Q5586" s="25"/>
      <c r="R5586" s="25"/>
      <c r="S5586" s="25"/>
      <c r="T5586" s="141"/>
      <c r="U5586" s="28"/>
    </row>
    <row r="5587" ht="15.75" customHeight="1">
      <c r="P5587" s="25"/>
      <c r="Q5587" s="25"/>
      <c r="R5587" s="25"/>
      <c r="S5587" s="25"/>
      <c r="T5587" s="141"/>
      <c r="U5587" s="28"/>
    </row>
    <row r="5588" ht="15.75" customHeight="1">
      <c r="P5588" s="25"/>
      <c r="Q5588" s="25"/>
      <c r="R5588" s="25"/>
      <c r="S5588" s="25"/>
      <c r="T5588" s="141"/>
      <c r="U5588" s="28"/>
    </row>
    <row r="5589" ht="15.75" customHeight="1">
      <c r="P5589" s="25"/>
      <c r="Q5589" s="25"/>
      <c r="R5589" s="25"/>
      <c r="S5589" s="25"/>
      <c r="T5589" s="141"/>
      <c r="U5589" s="28"/>
    </row>
    <row r="5590" ht="15.75" customHeight="1">
      <c r="P5590" s="25"/>
      <c r="Q5590" s="25"/>
      <c r="R5590" s="25"/>
      <c r="S5590" s="25"/>
      <c r="T5590" s="141"/>
      <c r="U5590" s="28"/>
    </row>
    <row r="5591" ht="15.75" customHeight="1">
      <c r="P5591" s="25"/>
      <c r="Q5591" s="25"/>
      <c r="R5591" s="25"/>
      <c r="S5591" s="25"/>
      <c r="T5591" s="141"/>
      <c r="U5591" s="28"/>
    </row>
    <row r="5592" ht="15.75" customHeight="1">
      <c r="P5592" s="25"/>
      <c r="Q5592" s="25"/>
      <c r="R5592" s="25"/>
      <c r="S5592" s="25"/>
      <c r="T5592" s="141"/>
      <c r="U5592" s="28"/>
    </row>
    <row r="5593" ht="15.75" customHeight="1">
      <c r="P5593" s="25"/>
      <c r="Q5593" s="25"/>
      <c r="R5593" s="25"/>
      <c r="S5593" s="25"/>
      <c r="T5593" s="141"/>
      <c r="U5593" s="28"/>
    </row>
    <row r="5594" ht="15.75" customHeight="1">
      <c r="P5594" s="25"/>
      <c r="Q5594" s="25"/>
      <c r="R5594" s="25"/>
      <c r="S5594" s="25"/>
      <c r="T5594" s="141"/>
      <c r="U5594" s="28"/>
    </row>
    <row r="5595" ht="15.75" customHeight="1">
      <c r="P5595" s="25"/>
      <c r="Q5595" s="25"/>
      <c r="R5595" s="25"/>
      <c r="S5595" s="25"/>
      <c r="T5595" s="141"/>
      <c r="U5595" s="28"/>
    </row>
    <row r="5596" ht="15.75" customHeight="1">
      <c r="P5596" s="25"/>
      <c r="Q5596" s="25"/>
      <c r="R5596" s="25"/>
      <c r="S5596" s="25"/>
      <c r="T5596" s="141"/>
      <c r="U5596" s="28"/>
    </row>
    <row r="5597" ht="15.75" customHeight="1">
      <c r="P5597" s="25"/>
      <c r="Q5597" s="25"/>
      <c r="R5597" s="25"/>
      <c r="S5597" s="25"/>
      <c r="T5597" s="141"/>
      <c r="U5597" s="28"/>
    </row>
    <row r="5598" ht="15.75" customHeight="1">
      <c r="P5598" s="25"/>
      <c r="Q5598" s="25"/>
      <c r="R5598" s="25"/>
      <c r="S5598" s="25"/>
      <c r="T5598" s="141"/>
      <c r="U5598" s="28"/>
    </row>
    <row r="5599" ht="15.75" customHeight="1">
      <c r="P5599" s="25"/>
      <c r="Q5599" s="25"/>
      <c r="R5599" s="25"/>
      <c r="S5599" s="25"/>
      <c r="T5599" s="141"/>
      <c r="U5599" s="28"/>
    </row>
    <row r="5600" ht="15.75" customHeight="1">
      <c r="P5600" s="25"/>
      <c r="Q5600" s="25"/>
      <c r="R5600" s="25"/>
      <c r="S5600" s="25"/>
      <c r="T5600" s="141"/>
      <c r="U5600" s="28"/>
    </row>
    <row r="5601" ht="15.75" customHeight="1">
      <c r="P5601" s="25"/>
      <c r="Q5601" s="25"/>
      <c r="R5601" s="25"/>
      <c r="S5601" s="25"/>
      <c r="T5601" s="141"/>
      <c r="U5601" s="28"/>
    </row>
    <row r="5602" ht="15.75" customHeight="1">
      <c r="P5602" s="25"/>
      <c r="Q5602" s="25"/>
      <c r="R5602" s="25"/>
      <c r="S5602" s="25"/>
      <c r="T5602" s="141"/>
      <c r="U5602" s="28"/>
    </row>
    <row r="5603" ht="15.75" customHeight="1">
      <c r="P5603" s="25"/>
      <c r="Q5603" s="25"/>
      <c r="R5603" s="25"/>
      <c r="S5603" s="25"/>
      <c r="T5603" s="141"/>
      <c r="U5603" s="28"/>
    </row>
    <row r="5604" ht="15.75" customHeight="1">
      <c r="P5604" s="25"/>
      <c r="Q5604" s="25"/>
      <c r="R5604" s="25"/>
      <c r="S5604" s="25"/>
      <c r="T5604" s="141"/>
      <c r="U5604" s="28"/>
    </row>
    <row r="5605" ht="15.75" customHeight="1">
      <c r="P5605" s="25"/>
      <c r="Q5605" s="25"/>
      <c r="R5605" s="25"/>
      <c r="S5605" s="25"/>
      <c r="T5605" s="141"/>
      <c r="U5605" s="28"/>
    </row>
    <row r="5606" ht="15.75" customHeight="1">
      <c r="P5606" s="25"/>
      <c r="Q5606" s="25"/>
      <c r="R5606" s="25"/>
      <c r="S5606" s="25"/>
      <c r="T5606" s="141"/>
      <c r="U5606" s="28"/>
    </row>
    <row r="5607" ht="15.75" customHeight="1">
      <c r="P5607" s="25"/>
      <c r="Q5607" s="25"/>
      <c r="R5607" s="25"/>
      <c r="S5607" s="25"/>
      <c r="T5607" s="141"/>
      <c r="U5607" s="28"/>
    </row>
    <row r="5608" ht="15.75" customHeight="1">
      <c r="P5608" s="25"/>
      <c r="Q5608" s="25"/>
      <c r="R5608" s="25"/>
      <c r="S5608" s="25"/>
      <c r="T5608" s="141"/>
      <c r="U5608" s="28"/>
    </row>
    <row r="5609" ht="15.75" customHeight="1">
      <c r="P5609" s="25"/>
      <c r="Q5609" s="25"/>
      <c r="R5609" s="25"/>
      <c r="S5609" s="25"/>
      <c r="T5609" s="141"/>
      <c r="U5609" s="28"/>
    </row>
    <row r="5610" ht="15.75" customHeight="1">
      <c r="P5610" s="25"/>
      <c r="Q5610" s="25"/>
      <c r="R5610" s="25"/>
      <c r="S5610" s="25"/>
      <c r="T5610" s="141"/>
      <c r="U5610" s="28"/>
    </row>
    <row r="5611" ht="15.75" customHeight="1">
      <c r="P5611" s="25"/>
      <c r="Q5611" s="25"/>
      <c r="R5611" s="25"/>
      <c r="S5611" s="25"/>
      <c r="T5611" s="141"/>
      <c r="U5611" s="28"/>
    </row>
    <row r="5612" ht="15.75" customHeight="1">
      <c r="P5612" s="25"/>
      <c r="Q5612" s="25"/>
      <c r="R5612" s="25"/>
      <c r="S5612" s="25"/>
      <c r="T5612" s="141"/>
      <c r="U5612" s="28"/>
    </row>
    <row r="5613" ht="15.75" customHeight="1">
      <c r="P5613" s="25"/>
      <c r="Q5613" s="25"/>
      <c r="R5613" s="25"/>
      <c r="S5613" s="25"/>
      <c r="T5613" s="141"/>
      <c r="U5613" s="28"/>
    </row>
    <row r="5614" ht="15.75" customHeight="1">
      <c r="P5614" s="25"/>
      <c r="Q5614" s="25"/>
      <c r="R5614" s="25"/>
      <c r="S5614" s="25"/>
      <c r="T5614" s="141"/>
      <c r="U5614" s="28"/>
    </row>
    <row r="5615" ht="15.75" customHeight="1">
      <c r="P5615" s="25"/>
      <c r="Q5615" s="25"/>
      <c r="R5615" s="25"/>
      <c r="S5615" s="25"/>
      <c r="T5615" s="141"/>
      <c r="U5615" s="28"/>
    </row>
    <row r="5616" ht="15.75" customHeight="1">
      <c r="P5616" s="25"/>
      <c r="Q5616" s="25"/>
      <c r="R5616" s="25"/>
      <c r="S5616" s="25"/>
      <c r="T5616" s="141"/>
      <c r="U5616" s="28"/>
    </row>
    <row r="5617" ht="15.75" customHeight="1">
      <c r="P5617" s="25"/>
      <c r="Q5617" s="25"/>
      <c r="R5617" s="25"/>
      <c r="S5617" s="25"/>
      <c r="T5617" s="141"/>
      <c r="U5617" s="28"/>
    </row>
    <row r="5618" ht="15.75" customHeight="1">
      <c r="P5618" s="25"/>
      <c r="Q5618" s="25"/>
      <c r="R5618" s="25"/>
      <c r="S5618" s="25"/>
      <c r="T5618" s="141"/>
      <c r="U5618" s="28"/>
    </row>
    <row r="5619" ht="15.75" customHeight="1">
      <c r="P5619" s="25"/>
      <c r="Q5619" s="25"/>
      <c r="R5619" s="25"/>
      <c r="S5619" s="25"/>
      <c r="T5619" s="141"/>
      <c r="U5619" s="28"/>
    </row>
    <row r="5620" ht="15.75" customHeight="1">
      <c r="P5620" s="25"/>
      <c r="Q5620" s="25"/>
      <c r="R5620" s="25"/>
      <c r="S5620" s="25"/>
      <c r="T5620" s="141"/>
      <c r="U5620" s="28"/>
    </row>
    <row r="5621" ht="15.75" customHeight="1">
      <c r="P5621" s="25"/>
      <c r="Q5621" s="25"/>
      <c r="R5621" s="25"/>
      <c r="S5621" s="25"/>
      <c r="T5621" s="141"/>
      <c r="U5621" s="28"/>
    </row>
    <row r="5622" ht="15.75" customHeight="1">
      <c r="P5622" s="25"/>
      <c r="Q5622" s="25"/>
      <c r="R5622" s="25"/>
      <c r="S5622" s="25"/>
      <c r="T5622" s="141"/>
      <c r="U5622" s="28"/>
    </row>
    <row r="5623" ht="15.75" customHeight="1">
      <c r="P5623" s="25"/>
      <c r="Q5623" s="25"/>
      <c r="R5623" s="25"/>
      <c r="S5623" s="25"/>
      <c r="T5623" s="141"/>
      <c r="U5623" s="28"/>
    </row>
    <row r="5624" ht="15.75" customHeight="1">
      <c r="P5624" s="25"/>
      <c r="Q5624" s="25"/>
      <c r="R5624" s="25"/>
      <c r="S5624" s="25"/>
      <c r="T5624" s="141"/>
      <c r="U5624" s="28"/>
    </row>
    <row r="5625" ht="15.75" customHeight="1">
      <c r="P5625" s="25"/>
      <c r="Q5625" s="25"/>
      <c r="R5625" s="25"/>
      <c r="S5625" s="25"/>
      <c r="T5625" s="141"/>
      <c r="U5625" s="28"/>
    </row>
    <row r="5626" ht="15.75" customHeight="1">
      <c r="P5626" s="25"/>
      <c r="Q5626" s="25"/>
      <c r="R5626" s="25"/>
      <c r="S5626" s="25"/>
      <c r="T5626" s="141"/>
      <c r="U5626" s="28"/>
    </row>
    <row r="5627" ht="15.75" customHeight="1">
      <c r="P5627" s="25"/>
      <c r="Q5627" s="25"/>
      <c r="R5627" s="25"/>
      <c r="S5627" s="25"/>
      <c r="T5627" s="141"/>
      <c r="U5627" s="28"/>
    </row>
    <row r="5628" ht="15.75" customHeight="1">
      <c r="P5628" s="25"/>
      <c r="Q5628" s="25"/>
      <c r="R5628" s="25"/>
      <c r="S5628" s="25"/>
      <c r="T5628" s="141"/>
      <c r="U5628" s="28"/>
    </row>
    <row r="5629" ht="15.75" customHeight="1">
      <c r="P5629" s="25"/>
      <c r="Q5629" s="25"/>
      <c r="R5629" s="25"/>
      <c r="S5629" s="25"/>
      <c r="T5629" s="141"/>
      <c r="U5629" s="28"/>
    </row>
    <row r="5630" ht="15.75" customHeight="1">
      <c r="P5630" s="25"/>
      <c r="Q5630" s="25"/>
      <c r="R5630" s="25"/>
      <c r="S5630" s="25"/>
      <c r="T5630" s="141"/>
      <c r="U5630" s="28"/>
    </row>
    <row r="5631" ht="15.75" customHeight="1">
      <c r="P5631" s="25"/>
      <c r="Q5631" s="25"/>
      <c r="R5631" s="25"/>
      <c r="S5631" s="25"/>
      <c r="T5631" s="141"/>
      <c r="U5631" s="28"/>
    </row>
    <row r="5632" ht="15.75" customHeight="1">
      <c r="P5632" s="25"/>
      <c r="Q5632" s="25"/>
      <c r="R5632" s="25"/>
      <c r="S5632" s="25"/>
      <c r="T5632" s="141"/>
      <c r="U5632" s="28"/>
    </row>
    <row r="5633" ht="15.75" customHeight="1">
      <c r="P5633" s="25"/>
      <c r="Q5633" s="25"/>
      <c r="R5633" s="25"/>
      <c r="S5633" s="25"/>
      <c r="T5633" s="141"/>
      <c r="U5633" s="28"/>
    </row>
    <row r="5634" ht="15.75" customHeight="1">
      <c r="P5634" s="25"/>
      <c r="Q5634" s="25"/>
      <c r="R5634" s="25"/>
      <c r="S5634" s="25"/>
      <c r="T5634" s="141"/>
      <c r="U5634" s="28"/>
    </row>
    <row r="5635" ht="15.75" customHeight="1">
      <c r="P5635" s="25"/>
      <c r="Q5635" s="25"/>
      <c r="R5635" s="25"/>
      <c r="S5635" s="25"/>
      <c r="T5635" s="141"/>
      <c r="U5635" s="28"/>
    </row>
    <row r="5636" ht="15.75" customHeight="1">
      <c r="P5636" s="25"/>
      <c r="Q5636" s="25"/>
      <c r="R5636" s="25"/>
      <c r="S5636" s="25"/>
      <c r="T5636" s="141"/>
      <c r="U5636" s="28"/>
    </row>
    <row r="5637" ht="15.75" customHeight="1">
      <c r="P5637" s="25"/>
      <c r="Q5637" s="25"/>
      <c r="R5637" s="25"/>
      <c r="S5637" s="25"/>
      <c r="T5637" s="141"/>
      <c r="U5637" s="28"/>
    </row>
    <row r="5638" ht="15.75" customHeight="1">
      <c r="P5638" s="25"/>
      <c r="Q5638" s="25"/>
      <c r="R5638" s="25"/>
      <c r="S5638" s="25"/>
      <c r="T5638" s="141"/>
      <c r="U5638" s="28"/>
    </row>
    <row r="5639" ht="15.75" customHeight="1">
      <c r="P5639" s="25"/>
      <c r="Q5639" s="25"/>
      <c r="R5639" s="25"/>
      <c r="S5639" s="25"/>
      <c r="T5639" s="141"/>
      <c r="U5639" s="28"/>
    </row>
    <row r="5640" ht="15.75" customHeight="1">
      <c r="P5640" s="25"/>
      <c r="Q5640" s="25"/>
      <c r="R5640" s="25"/>
      <c r="S5640" s="25"/>
      <c r="T5640" s="141"/>
      <c r="U5640" s="28"/>
    </row>
    <row r="5641" ht="15.75" customHeight="1">
      <c r="P5641" s="25"/>
      <c r="Q5641" s="25"/>
      <c r="R5641" s="25"/>
      <c r="S5641" s="25"/>
      <c r="T5641" s="141"/>
      <c r="U5641" s="28"/>
    </row>
    <row r="5642" ht="15.75" customHeight="1">
      <c r="P5642" s="25"/>
      <c r="Q5642" s="25"/>
      <c r="R5642" s="25"/>
      <c r="S5642" s="25"/>
      <c r="T5642" s="141"/>
      <c r="U5642" s="28"/>
    </row>
    <row r="5643" ht="15.75" customHeight="1">
      <c r="P5643" s="25"/>
      <c r="Q5643" s="25"/>
      <c r="R5643" s="25"/>
      <c r="S5643" s="25"/>
      <c r="T5643" s="141"/>
      <c r="U5643" s="28"/>
    </row>
    <row r="5644" ht="15.75" customHeight="1">
      <c r="P5644" s="25"/>
      <c r="Q5644" s="25"/>
      <c r="R5644" s="25"/>
      <c r="S5644" s="25"/>
      <c r="T5644" s="141"/>
      <c r="U5644" s="28"/>
    </row>
    <row r="5645" ht="15.75" customHeight="1">
      <c r="P5645" s="25"/>
      <c r="Q5645" s="25"/>
      <c r="R5645" s="25"/>
      <c r="S5645" s="25"/>
      <c r="T5645" s="141"/>
      <c r="U5645" s="28"/>
    </row>
    <row r="5646" ht="15.75" customHeight="1">
      <c r="P5646" s="25"/>
      <c r="Q5646" s="25"/>
      <c r="R5646" s="25"/>
      <c r="S5646" s="25"/>
      <c r="T5646" s="141"/>
      <c r="U5646" s="28"/>
    </row>
    <row r="5647" ht="15.75" customHeight="1">
      <c r="P5647" s="25"/>
      <c r="Q5647" s="25"/>
      <c r="R5647" s="25"/>
      <c r="S5647" s="25"/>
      <c r="T5647" s="141"/>
      <c r="U5647" s="28"/>
    </row>
    <row r="5648" ht="15.75" customHeight="1">
      <c r="P5648" s="25"/>
      <c r="Q5648" s="25"/>
      <c r="R5648" s="25"/>
      <c r="S5648" s="25"/>
      <c r="T5648" s="141"/>
      <c r="U5648" s="28"/>
    </row>
    <row r="5649" ht="15.75" customHeight="1">
      <c r="P5649" s="25"/>
      <c r="Q5649" s="25"/>
      <c r="R5649" s="25"/>
      <c r="S5649" s="25"/>
      <c r="T5649" s="141"/>
      <c r="U5649" s="28"/>
    </row>
    <row r="5650" ht="15.75" customHeight="1">
      <c r="P5650" s="25"/>
      <c r="Q5650" s="25"/>
      <c r="R5650" s="25"/>
      <c r="S5650" s="25"/>
      <c r="T5650" s="141"/>
      <c r="U5650" s="28"/>
    </row>
    <row r="5651" ht="15.75" customHeight="1">
      <c r="P5651" s="25"/>
      <c r="Q5651" s="25"/>
      <c r="R5651" s="25"/>
      <c r="S5651" s="25"/>
      <c r="T5651" s="141"/>
      <c r="U5651" s="28"/>
    </row>
    <row r="5652" ht="15.75" customHeight="1">
      <c r="P5652" s="25"/>
      <c r="Q5652" s="25"/>
      <c r="R5652" s="25"/>
      <c r="S5652" s="25"/>
      <c r="T5652" s="141"/>
      <c r="U5652" s="28"/>
    </row>
    <row r="5653" ht="15.75" customHeight="1">
      <c r="P5653" s="25"/>
      <c r="Q5653" s="25"/>
      <c r="R5653" s="25"/>
      <c r="S5653" s="25"/>
      <c r="T5653" s="141"/>
      <c r="U5653" s="28"/>
    </row>
    <row r="5654" ht="15.75" customHeight="1">
      <c r="P5654" s="25"/>
      <c r="Q5654" s="25"/>
      <c r="R5654" s="25"/>
      <c r="S5654" s="25"/>
      <c r="T5654" s="141"/>
      <c r="U5654" s="28"/>
    </row>
    <row r="5655" ht="15.75" customHeight="1">
      <c r="P5655" s="25"/>
      <c r="Q5655" s="25"/>
      <c r="R5655" s="25"/>
      <c r="S5655" s="25"/>
      <c r="T5655" s="141"/>
      <c r="U5655" s="28"/>
    </row>
    <row r="5656" ht="15.75" customHeight="1">
      <c r="P5656" s="25"/>
      <c r="Q5656" s="25"/>
      <c r="R5656" s="25"/>
      <c r="S5656" s="25"/>
      <c r="T5656" s="141"/>
      <c r="U5656" s="28"/>
    </row>
    <row r="5657" ht="15.75" customHeight="1">
      <c r="P5657" s="25"/>
      <c r="Q5657" s="25"/>
      <c r="R5657" s="25"/>
      <c r="S5657" s="25"/>
      <c r="T5657" s="141"/>
      <c r="U5657" s="28"/>
    </row>
    <row r="5658" ht="15.75" customHeight="1">
      <c r="P5658" s="25"/>
      <c r="Q5658" s="25"/>
      <c r="R5658" s="25"/>
      <c r="S5658" s="25"/>
      <c r="T5658" s="141"/>
      <c r="U5658" s="28"/>
    </row>
    <row r="5659" ht="15.75" customHeight="1">
      <c r="P5659" s="25"/>
      <c r="Q5659" s="25"/>
      <c r="R5659" s="25"/>
      <c r="S5659" s="25"/>
      <c r="T5659" s="141"/>
      <c r="U5659" s="28"/>
    </row>
    <row r="5660" ht="15.75" customHeight="1">
      <c r="P5660" s="25"/>
      <c r="Q5660" s="25"/>
      <c r="R5660" s="25"/>
      <c r="S5660" s="25"/>
      <c r="T5660" s="141"/>
      <c r="U5660" s="28"/>
    </row>
    <row r="5661" ht="15.75" customHeight="1">
      <c r="P5661" s="25"/>
      <c r="Q5661" s="25"/>
      <c r="R5661" s="25"/>
      <c r="S5661" s="25"/>
      <c r="T5661" s="141"/>
      <c r="U5661" s="28"/>
    </row>
    <row r="5662" ht="15.75" customHeight="1">
      <c r="P5662" s="25"/>
      <c r="Q5662" s="25"/>
      <c r="R5662" s="25"/>
      <c r="S5662" s="25"/>
      <c r="T5662" s="141"/>
      <c r="U5662" s="28"/>
    </row>
    <row r="5663" ht="15.75" customHeight="1">
      <c r="P5663" s="25"/>
      <c r="Q5663" s="25"/>
      <c r="R5663" s="25"/>
      <c r="S5663" s="25"/>
      <c r="T5663" s="141"/>
      <c r="U5663" s="28"/>
    </row>
    <row r="5664" ht="15.75" customHeight="1">
      <c r="P5664" s="25"/>
      <c r="Q5664" s="25"/>
      <c r="R5664" s="25"/>
      <c r="S5664" s="25"/>
      <c r="T5664" s="141"/>
      <c r="U5664" s="28"/>
    </row>
    <row r="5665" ht="15.75" customHeight="1">
      <c r="P5665" s="25"/>
      <c r="Q5665" s="25"/>
      <c r="R5665" s="25"/>
      <c r="S5665" s="25"/>
      <c r="T5665" s="141"/>
      <c r="U5665" s="28"/>
    </row>
    <row r="5666" ht="15.75" customHeight="1">
      <c r="P5666" s="25"/>
      <c r="Q5666" s="25"/>
      <c r="R5666" s="25"/>
      <c r="S5666" s="25"/>
      <c r="T5666" s="141"/>
      <c r="U5666" s="28"/>
    </row>
    <row r="5667" ht="15.75" customHeight="1">
      <c r="P5667" s="25"/>
      <c r="Q5667" s="25"/>
      <c r="R5667" s="25"/>
      <c r="S5667" s="25"/>
      <c r="T5667" s="141"/>
      <c r="U5667" s="28"/>
    </row>
    <row r="5668" ht="15.75" customHeight="1">
      <c r="P5668" s="25"/>
      <c r="Q5668" s="25"/>
      <c r="R5668" s="25"/>
      <c r="S5668" s="25"/>
      <c r="T5668" s="141"/>
      <c r="U5668" s="28"/>
    </row>
    <row r="5669" ht="15.75" customHeight="1">
      <c r="P5669" s="25"/>
      <c r="Q5669" s="25"/>
      <c r="R5669" s="25"/>
      <c r="S5669" s="25"/>
      <c r="T5669" s="141"/>
      <c r="U5669" s="28"/>
    </row>
    <row r="5670" ht="15.75" customHeight="1">
      <c r="P5670" s="25"/>
      <c r="Q5670" s="25"/>
      <c r="R5670" s="25"/>
      <c r="S5670" s="25"/>
      <c r="T5670" s="141"/>
      <c r="U5670" s="28"/>
    </row>
    <row r="5671" ht="15.75" customHeight="1">
      <c r="P5671" s="25"/>
      <c r="Q5671" s="25"/>
      <c r="R5671" s="25"/>
      <c r="S5671" s="25"/>
      <c r="T5671" s="141"/>
      <c r="U5671" s="28"/>
    </row>
    <row r="5672" ht="15.75" customHeight="1">
      <c r="P5672" s="25"/>
      <c r="Q5672" s="25"/>
      <c r="R5672" s="25"/>
      <c r="S5672" s="25"/>
      <c r="T5672" s="141"/>
      <c r="U5672" s="28"/>
    </row>
    <row r="5673" ht="15.75" customHeight="1">
      <c r="P5673" s="25"/>
      <c r="Q5673" s="25"/>
      <c r="R5673" s="25"/>
      <c r="S5673" s="25"/>
      <c r="T5673" s="141"/>
      <c r="U5673" s="28"/>
    </row>
    <row r="5674" ht="15.75" customHeight="1">
      <c r="P5674" s="25"/>
      <c r="Q5674" s="25"/>
      <c r="R5674" s="25"/>
      <c r="S5674" s="25"/>
      <c r="T5674" s="141"/>
      <c r="U5674" s="28"/>
    </row>
    <row r="5675" ht="15.75" customHeight="1">
      <c r="P5675" s="25"/>
      <c r="Q5675" s="25"/>
      <c r="R5675" s="25"/>
      <c r="S5675" s="25"/>
      <c r="T5675" s="141"/>
      <c r="U5675" s="28"/>
    </row>
    <row r="5676" ht="15.75" customHeight="1">
      <c r="P5676" s="25"/>
      <c r="Q5676" s="25"/>
      <c r="R5676" s="25"/>
      <c r="S5676" s="25"/>
      <c r="T5676" s="141"/>
      <c r="U5676" s="28"/>
    </row>
    <row r="5677" ht="15.75" customHeight="1">
      <c r="P5677" s="25"/>
      <c r="Q5677" s="25"/>
      <c r="R5677" s="25"/>
      <c r="S5677" s="25"/>
      <c r="T5677" s="141"/>
      <c r="U5677" s="28"/>
    </row>
    <row r="5678" ht="15.75" customHeight="1">
      <c r="P5678" s="25"/>
      <c r="Q5678" s="25"/>
      <c r="R5678" s="25"/>
      <c r="S5678" s="25"/>
      <c r="T5678" s="141"/>
      <c r="U5678" s="28"/>
    </row>
    <row r="5679" ht="15.75" customHeight="1">
      <c r="P5679" s="25"/>
      <c r="Q5679" s="25"/>
      <c r="R5679" s="25"/>
      <c r="S5679" s="25"/>
      <c r="T5679" s="141"/>
      <c r="U5679" s="28"/>
    </row>
    <row r="5680" ht="15.75" customHeight="1">
      <c r="P5680" s="25"/>
      <c r="Q5680" s="25"/>
      <c r="R5680" s="25"/>
      <c r="S5680" s="25"/>
      <c r="T5680" s="141"/>
      <c r="U5680" s="28"/>
    </row>
    <row r="5681" ht="15.75" customHeight="1">
      <c r="P5681" s="25"/>
      <c r="Q5681" s="25"/>
      <c r="R5681" s="25"/>
      <c r="S5681" s="25"/>
      <c r="T5681" s="141"/>
      <c r="U5681" s="28"/>
    </row>
    <row r="5682" ht="15.75" customHeight="1">
      <c r="P5682" s="25"/>
      <c r="Q5682" s="25"/>
      <c r="R5682" s="25"/>
      <c r="S5682" s="25"/>
      <c r="T5682" s="141"/>
      <c r="U5682" s="28"/>
    </row>
    <row r="5683" ht="15.75" customHeight="1">
      <c r="P5683" s="25"/>
      <c r="Q5683" s="25"/>
      <c r="R5683" s="25"/>
      <c r="S5683" s="25"/>
      <c r="T5683" s="141"/>
      <c r="U5683" s="28"/>
    </row>
    <row r="5684" ht="15.75" customHeight="1">
      <c r="P5684" s="25"/>
      <c r="Q5684" s="25"/>
      <c r="R5684" s="25"/>
      <c r="S5684" s="25"/>
      <c r="T5684" s="141"/>
      <c r="U5684" s="28"/>
    </row>
    <row r="5685" ht="15.75" customHeight="1">
      <c r="P5685" s="25"/>
      <c r="Q5685" s="25"/>
      <c r="R5685" s="25"/>
      <c r="S5685" s="25"/>
      <c r="T5685" s="141"/>
      <c r="U5685" s="28"/>
    </row>
    <row r="5686" ht="15.75" customHeight="1">
      <c r="P5686" s="25"/>
      <c r="Q5686" s="25"/>
      <c r="R5686" s="25"/>
      <c r="S5686" s="25"/>
      <c r="T5686" s="141"/>
      <c r="U5686" s="28"/>
    </row>
    <row r="5687" ht="15.75" customHeight="1">
      <c r="P5687" s="25"/>
      <c r="Q5687" s="25"/>
      <c r="R5687" s="25"/>
      <c r="S5687" s="25"/>
      <c r="T5687" s="141"/>
      <c r="U5687" s="28"/>
    </row>
    <row r="5688" ht="15.75" customHeight="1">
      <c r="P5688" s="25"/>
      <c r="Q5688" s="25"/>
      <c r="R5688" s="25"/>
      <c r="S5688" s="25"/>
      <c r="T5688" s="141"/>
      <c r="U5688" s="28"/>
    </row>
    <row r="5689" ht="15.75" customHeight="1">
      <c r="P5689" s="25"/>
      <c r="Q5689" s="25"/>
      <c r="R5689" s="25"/>
      <c r="S5689" s="25"/>
      <c r="T5689" s="141"/>
      <c r="U5689" s="28"/>
    </row>
    <row r="5690" ht="15.75" customHeight="1">
      <c r="P5690" s="25"/>
      <c r="Q5690" s="25"/>
      <c r="R5690" s="25"/>
      <c r="S5690" s="25"/>
      <c r="T5690" s="141"/>
      <c r="U5690" s="28"/>
    </row>
    <row r="5691" ht="15.75" customHeight="1">
      <c r="P5691" s="25"/>
      <c r="Q5691" s="25"/>
      <c r="R5691" s="25"/>
      <c r="S5691" s="25"/>
      <c r="T5691" s="141"/>
      <c r="U5691" s="28"/>
    </row>
    <row r="5692" ht="15.75" customHeight="1">
      <c r="P5692" s="25"/>
      <c r="Q5692" s="25"/>
      <c r="R5692" s="25"/>
      <c r="S5692" s="25"/>
      <c r="T5692" s="141"/>
      <c r="U5692" s="28"/>
    </row>
    <row r="5693" ht="15.75" customHeight="1">
      <c r="P5693" s="25"/>
      <c r="Q5693" s="25"/>
      <c r="R5693" s="25"/>
      <c r="S5693" s="25"/>
      <c r="T5693" s="141"/>
      <c r="U5693" s="28"/>
    </row>
    <row r="5694" ht="15.75" customHeight="1">
      <c r="P5694" s="25"/>
      <c r="Q5694" s="25"/>
      <c r="R5694" s="25"/>
      <c r="S5694" s="25"/>
      <c r="T5694" s="141"/>
      <c r="U5694" s="28"/>
    </row>
    <row r="5695" ht="15.75" customHeight="1">
      <c r="P5695" s="25"/>
      <c r="Q5695" s="25"/>
      <c r="R5695" s="25"/>
      <c r="S5695" s="25"/>
      <c r="T5695" s="141"/>
      <c r="U5695" s="28"/>
    </row>
    <row r="5696" ht="15.75" customHeight="1">
      <c r="P5696" s="25"/>
      <c r="Q5696" s="25"/>
      <c r="R5696" s="25"/>
      <c r="S5696" s="25"/>
      <c r="T5696" s="141"/>
      <c r="U5696" s="28"/>
    </row>
    <row r="5697" ht="15.75" customHeight="1">
      <c r="P5697" s="25"/>
      <c r="Q5697" s="25"/>
      <c r="R5697" s="25"/>
      <c r="S5697" s="25"/>
      <c r="T5697" s="141"/>
      <c r="U5697" s="28"/>
    </row>
    <row r="5698" ht="15.75" customHeight="1">
      <c r="P5698" s="25"/>
      <c r="Q5698" s="25"/>
      <c r="R5698" s="25"/>
      <c r="S5698" s="25"/>
      <c r="T5698" s="141"/>
      <c r="U5698" s="28"/>
    </row>
    <row r="5699" ht="15.75" customHeight="1">
      <c r="P5699" s="25"/>
      <c r="Q5699" s="25"/>
      <c r="R5699" s="25"/>
      <c r="S5699" s="25"/>
      <c r="T5699" s="141"/>
      <c r="U5699" s="28"/>
    </row>
    <row r="5700" ht="15.75" customHeight="1">
      <c r="P5700" s="25"/>
      <c r="Q5700" s="25"/>
      <c r="R5700" s="25"/>
      <c r="S5700" s="25"/>
      <c r="T5700" s="141"/>
      <c r="U5700" s="28"/>
    </row>
    <row r="5701" ht="15.75" customHeight="1">
      <c r="P5701" s="25"/>
      <c r="Q5701" s="25"/>
      <c r="R5701" s="25"/>
      <c r="S5701" s="25"/>
      <c r="T5701" s="141"/>
      <c r="U5701" s="28"/>
    </row>
    <row r="5702" ht="15.75" customHeight="1">
      <c r="P5702" s="25"/>
      <c r="Q5702" s="25"/>
      <c r="R5702" s="25"/>
      <c r="S5702" s="25"/>
      <c r="T5702" s="141"/>
      <c r="U5702" s="28"/>
    </row>
    <row r="5703" ht="15.75" customHeight="1">
      <c r="P5703" s="25"/>
      <c r="Q5703" s="25"/>
      <c r="R5703" s="25"/>
      <c r="S5703" s="25"/>
      <c r="T5703" s="141"/>
      <c r="U5703" s="28"/>
    </row>
    <row r="5704" ht="15.75" customHeight="1">
      <c r="P5704" s="25"/>
      <c r="Q5704" s="25"/>
      <c r="R5704" s="25"/>
      <c r="S5704" s="25"/>
      <c r="T5704" s="141"/>
      <c r="U5704" s="28"/>
    </row>
    <row r="5705" ht="15.75" customHeight="1">
      <c r="P5705" s="25"/>
      <c r="Q5705" s="25"/>
      <c r="R5705" s="25"/>
      <c r="S5705" s="25"/>
      <c r="T5705" s="141"/>
      <c r="U5705" s="28"/>
    </row>
    <row r="5706" ht="15.75" customHeight="1">
      <c r="P5706" s="25"/>
      <c r="Q5706" s="25"/>
      <c r="R5706" s="25"/>
      <c r="S5706" s="25"/>
      <c r="T5706" s="141"/>
      <c r="U5706" s="28"/>
    </row>
    <row r="5707" ht="15.75" customHeight="1">
      <c r="P5707" s="25"/>
      <c r="Q5707" s="25"/>
      <c r="R5707" s="25"/>
      <c r="S5707" s="25"/>
      <c r="T5707" s="141"/>
      <c r="U5707" s="28"/>
    </row>
    <row r="5708" ht="15.75" customHeight="1">
      <c r="P5708" s="25"/>
      <c r="Q5708" s="25"/>
      <c r="R5708" s="25"/>
      <c r="S5708" s="25"/>
      <c r="T5708" s="141"/>
      <c r="U5708" s="28"/>
    </row>
    <row r="5709" ht="15.75" customHeight="1">
      <c r="P5709" s="25"/>
      <c r="Q5709" s="25"/>
      <c r="R5709" s="25"/>
      <c r="S5709" s="25"/>
      <c r="T5709" s="141"/>
      <c r="U5709" s="28"/>
    </row>
    <row r="5710" ht="15.75" customHeight="1">
      <c r="P5710" s="25"/>
      <c r="Q5710" s="25"/>
      <c r="R5710" s="25"/>
      <c r="S5710" s="25"/>
      <c r="T5710" s="141"/>
      <c r="U5710" s="28"/>
    </row>
    <row r="5711" ht="15.75" customHeight="1">
      <c r="P5711" s="25"/>
      <c r="Q5711" s="25"/>
      <c r="R5711" s="25"/>
      <c r="S5711" s="25"/>
      <c r="T5711" s="141"/>
      <c r="U5711" s="28"/>
    </row>
    <row r="5712" ht="15.75" customHeight="1">
      <c r="P5712" s="25"/>
      <c r="Q5712" s="25"/>
      <c r="R5712" s="25"/>
      <c r="S5712" s="25"/>
      <c r="T5712" s="141"/>
      <c r="U5712" s="28"/>
    </row>
    <row r="5713" ht="15.75" customHeight="1">
      <c r="P5713" s="25"/>
      <c r="Q5713" s="25"/>
      <c r="R5713" s="25"/>
      <c r="S5713" s="25"/>
      <c r="T5713" s="141"/>
      <c r="U5713" s="28"/>
    </row>
    <row r="5714" ht="15.75" customHeight="1">
      <c r="P5714" s="25"/>
      <c r="Q5714" s="25"/>
      <c r="R5714" s="25"/>
      <c r="S5714" s="25"/>
      <c r="T5714" s="141"/>
      <c r="U5714" s="28"/>
    </row>
    <row r="5715" ht="15.75" customHeight="1">
      <c r="P5715" s="25"/>
      <c r="Q5715" s="25"/>
      <c r="R5715" s="25"/>
      <c r="S5715" s="25"/>
      <c r="T5715" s="141"/>
      <c r="U5715" s="28"/>
    </row>
    <row r="5716" ht="15.75" customHeight="1">
      <c r="P5716" s="25"/>
      <c r="Q5716" s="25"/>
      <c r="R5716" s="25"/>
      <c r="S5716" s="25"/>
      <c r="T5716" s="141"/>
      <c r="U5716" s="28"/>
    </row>
    <row r="5717" ht="15.75" customHeight="1">
      <c r="P5717" s="25"/>
      <c r="Q5717" s="25"/>
      <c r="R5717" s="25"/>
      <c r="S5717" s="25"/>
      <c r="T5717" s="141"/>
      <c r="U5717" s="28"/>
    </row>
    <row r="5718" ht="15.75" customHeight="1">
      <c r="P5718" s="25"/>
      <c r="Q5718" s="25"/>
      <c r="R5718" s="25"/>
      <c r="S5718" s="25"/>
      <c r="T5718" s="141"/>
      <c r="U5718" s="28"/>
    </row>
    <row r="5719" ht="15.75" customHeight="1">
      <c r="P5719" s="25"/>
      <c r="Q5719" s="25"/>
      <c r="R5719" s="25"/>
      <c r="S5719" s="25"/>
      <c r="T5719" s="141"/>
      <c r="U5719" s="28"/>
    </row>
    <row r="5720" ht="15.75" customHeight="1">
      <c r="P5720" s="25"/>
      <c r="Q5720" s="25"/>
      <c r="R5720" s="25"/>
      <c r="S5720" s="25"/>
      <c r="T5720" s="141"/>
      <c r="U5720" s="28"/>
    </row>
    <row r="5721" ht="15.75" customHeight="1">
      <c r="P5721" s="25"/>
      <c r="Q5721" s="25"/>
      <c r="R5721" s="25"/>
      <c r="S5721" s="25"/>
      <c r="T5721" s="141"/>
      <c r="U5721" s="28"/>
    </row>
    <row r="5722" ht="15.75" customHeight="1">
      <c r="P5722" s="25"/>
      <c r="Q5722" s="25"/>
      <c r="R5722" s="25"/>
      <c r="S5722" s="25"/>
      <c r="T5722" s="141"/>
      <c r="U5722" s="28"/>
    </row>
    <row r="5723" ht="15.75" customHeight="1">
      <c r="P5723" s="25"/>
      <c r="Q5723" s="25"/>
      <c r="R5723" s="25"/>
      <c r="S5723" s="25"/>
      <c r="T5723" s="141"/>
      <c r="U5723" s="28"/>
    </row>
    <row r="5724" ht="15.75" customHeight="1">
      <c r="P5724" s="25"/>
      <c r="Q5724" s="25"/>
      <c r="R5724" s="25"/>
      <c r="S5724" s="25"/>
      <c r="T5724" s="141"/>
      <c r="U5724" s="28"/>
    </row>
    <row r="5725" ht="15.75" customHeight="1">
      <c r="P5725" s="25"/>
      <c r="Q5725" s="25"/>
      <c r="R5725" s="25"/>
      <c r="S5725" s="25"/>
      <c r="T5725" s="141"/>
      <c r="U5725" s="28"/>
    </row>
    <row r="5726" ht="15.75" customHeight="1">
      <c r="P5726" s="25"/>
      <c r="Q5726" s="25"/>
      <c r="R5726" s="25"/>
      <c r="S5726" s="25"/>
      <c r="T5726" s="141"/>
      <c r="U5726" s="28"/>
    </row>
    <row r="5727" ht="15.75" customHeight="1">
      <c r="P5727" s="25"/>
      <c r="Q5727" s="25"/>
      <c r="R5727" s="25"/>
      <c r="S5727" s="25"/>
      <c r="T5727" s="141"/>
      <c r="U5727" s="28"/>
    </row>
    <row r="5728" ht="15.75" customHeight="1">
      <c r="P5728" s="25"/>
      <c r="Q5728" s="25"/>
      <c r="R5728" s="25"/>
      <c r="S5728" s="25"/>
      <c r="T5728" s="141"/>
      <c r="U5728" s="28"/>
    </row>
    <row r="5729" ht="15.75" customHeight="1">
      <c r="P5729" s="25"/>
      <c r="Q5729" s="25"/>
      <c r="R5729" s="25"/>
      <c r="S5729" s="25"/>
      <c r="T5729" s="141"/>
      <c r="U5729" s="28"/>
    </row>
    <row r="5730" ht="15.75" customHeight="1">
      <c r="P5730" s="25"/>
      <c r="Q5730" s="25"/>
      <c r="R5730" s="25"/>
      <c r="S5730" s="25"/>
      <c r="T5730" s="141"/>
      <c r="U5730" s="28"/>
    </row>
    <row r="5731" ht="15.75" customHeight="1">
      <c r="P5731" s="25"/>
      <c r="Q5731" s="25"/>
      <c r="R5731" s="25"/>
      <c r="S5731" s="25"/>
      <c r="T5731" s="141"/>
      <c r="U5731" s="28"/>
    </row>
    <row r="5732" ht="15.75" customHeight="1">
      <c r="P5732" s="25"/>
      <c r="Q5732" s="25"/>
      <c r="R5732" s="25"/>
      <c r="S5732" s="25"/>
      <c r="T5732" s="141"/>
      <c r="U5732" s="28"/>
    </row>
    <row r="5733" ht="15.75" customHeight="1">
      <c r="P5733" s="25"/>
      <c r="Q5733" s="25"/>
      <c r="R5733" s="25"/>
      <c r="S5733" s="25"/>
      <c r="T5733" s="141"/>
      <c r="U5733" s="28"/>
    </row>
    <row r="5734" ht="15.75" customHeight="1">
      <c r="P5734" s="25"/>
      <c r="Q5734" s="25"/>
      <c r="R5734" s="25"/>
      <c r="S5734" s="25"/>
      <c r="T5734" s="141"/>
      <c r="U5734" s="28"/>
    </row>
    <row r="5735" ht="15.75" customHeight="1">
      <c r="P5735" s="25"/>
      <c r="Q5735" s="25"/>
      <c r="R5735" s="25"/>
      <c r="S5735" s="25"/>
      <c r="T5735" s="141"/>
      <c r="U5735" s="28"/>
    </row>
    <row r="5736" ht="15.75" customHeight="1">
      <c r="P5736" s="25"/>
      <c r="Q5736" s="25"/>
      <c r="R5736" s="25"/>
      <c r="S5736" s="25"/>
      <c r="T5736" s="141"/>
      <c r="U5736" s="28"/>
    </row>
    <row r="5737" ht="15.75" customHeight="1">
      <c r="P5737" s="25"/>
      <c r="Q5737" s="25"/>
      <c r="R5737" s="25"/>
      <c r="S5737" s="25"/>
      <c r="T5737" s="141"/>
      <c r="U5737" s="28"/>
    </row>
    <row r="5738" ht="15.75" customHeight="1">
      <c r="P5738" s="25"/>
      <c r="Q5738" s="25"/>
      <c r="R5738" s="25"/>
      <c r="S5738" s="25"/>
      <c r="T5738" s="141"/>
      <c r="U5738" s="28"/>
    </row>
    <row r="5739" ht="15.75" customHeight="1">
      <c r="P5739" s="25"/>
      <c r="Q5739" s="25"/>
      <c r="R5739" s="25"/>
      <c r="S5739" s="25"/>
      <c r="T5739" s="141"/>
      <c r="U5739" s="28"/>
    </row>
    <row r="5740" ht="15.75" customHeight="1">
      <c r="P5740" s="25"/>
      <c r="Q5740" s="25"/>
      <c r="R5740" s="25"/>
      <c r="S5740" s="25"/>
      <c r="T5740" s="141"/>
      <c r="U5740" s="28"/>
    </row>
    <row r="5741" ht="15.75" customHeight="1">
      <c r="P5741" s="25"/>
      <c r="Q5741" s="25"/>
      <c r="R5741" s="25"/>
      <c r="S5741" s="25"/>
      <c r="T5741" s="141"/>
      <c r="U5741" s="28"/>
    </row>
    <row r="5742" ht="15.75" customHeight="1">
      <c r="P5742" s="25"/>
      <c r="Q5742" s="25"/>
      <c r="R5742" s="25"/>
      <c r="S5742" s="25"/>
      <c r="T5742" s="141"/>
      <c r="U5742" s="28"/>
    </row>
    <row r="5743" ht="15.75" customHeight="1">
      <c r="P5743" s="25"/>
      <c r="Q5743" s="25"/>
      <c r="R5743" s="25"/>
      <c r="S5743" s="25"/>
      <c r="T5743" s="141"/>
      <c r="U5743" s="28"/>
    </row>
    <row r="5744" ht="15.75" customHeight="1">
      <c r="P5744" s="25"/>
      <c r="Q5744" s="25"/>
      <c r="R5744" s="25"/>
      <c r="S5744" s="25"/>
      <c r="T5744" s="141"/>
      <c r="U5744" s="28"/>
    </row>
    <row r="5745" ht="15.75" customHeight="1">
      <c r="P5745" s="25"/>
      <c r="Q5745" s="25"/>
      <c r="R5745" s="25"/>
      <c r="S5745" s="25"/>
      <c r="T5745" s="141"/>
      <c r="U5745" s="28"/>
    </row>
    <row r="5746" ht="15.75" customHeight="1">
      <c r="P5746" s="25"/>
      <c r="Q5746" s="25"/>
      <c r="R5746" s="25"/>
      <c r="S5746" s="25"/>
      <c r="T5746" s="141"/>
      <c r="U5746" s="28"/>
    </row>
    <row r="5747" ht="15.75" customHeight="1">
      <c r="P5747" s="25"/>
      <c r="Q5747" s="25"/>
      <c r="R5747" s="25"/>
      <c r="S5747" s="25"/>
      <c r="T5747" s="141"/>
      <c r="U5747" s="28"/>
    </row>
    <row r="5748" ht="15.75" customHeight="1">
      <c r="P5748" s="25"/>
      <c r="Q5748" s="25"/>
      <c r="R5748" s="25"/>
      <c r="S5748" s="25"/>
      <c r="T5748" s="141"/>
      <c r="U5748" s="28"/>
    </row>
    <row r="5749" ht="15.75" customHeight="1">
      <c r="P5749" s="25"/>
      <c r="Q5749" s="25"/>
      <c r="R5749" s="25"/>
      <c r="S5749" s="25"/>
      <c r="T5749" s="141"/>
      <c r="U5749" s="28"/>
    </row>
    <row r="5750" ht="15.75" customHeight="1">
      <c r="P5750" s="25"/>
      <c r="Q5750" s="25"/>
      <c r="R5750" s="25"/>
      <c r="S5750" s="25"/>
      <c r="T5750" s="141"/>
      <c r="U5750" s="28"/>
    </row>
    <row r="5751" ht="15.75" customHeight="1">
      <c r="P5751" s="25"/>
      <c r="Q5751" s="25"/>
      <c r="R5751" s="25"/>
      <c r="S5751" s="25"/>
      <c r="T5751" s="141"/>
      <c r="U5751" s="28"/>
    </row>
    <row r="5752" ht="15.75" customHeight="1">
      <c r="P5752" s="25"/>
      <c r="Q5752" s="25"/>
      <c r="R5752" s="25"/>
      <c r="S5752" s="25"/>
      <c r="T5752" s="141"/>
      <c r="U5752" s="28"/>
    </row>
    <row r="5753" ht="15.75" customHeight="1">
      <c r="P5753" s="25"/>
      <c r="Q5753" s="25"/>
      <c r="R5753" s="25"/>
      <c r="S5753" s="25"/>
      <c r="T5753" s="141"/>
      <c r="U5753" s="28"/>
    </row>
    <row r="5754" ht="15.75" customHeight="1">
      <c r="P5754" s="25"/>
      <c r="Q5754" s="25"/>
      <c r="R5754" s="25"/>
      <c r="S5754" s="25"/>
      <c r="T5754" s="141"/>
      <c r="U5754" s="28"/>
    </row>
    <row r="5755" ht="15.75" customHeight="1">
      <c r="P5755" s="25"/>
      <c r="Q5755" s="25"/>
      <c r="R5755" s="25"/>
      <c r="S5755" s="25"/>
      <c r="T5755" s="141"/>
      <c r="U5755" s="28"/>
    </row>
    <row r="5756" ht="15.75" customHeight="1">
      <c r="P5756" s="25"/>
      <c r="Q5756" s="25"/>
      <c r="R5756" s="25"/>
      <c r="S5756" s="25"/>
      <c r="T5756" s="141"/>
      <c r="U5756" s="28"/>
    </row>
    <row r="5757" ht="15.75" customHeight="1">
      <c r="P5757" s="25"/>
      <c r="Q5757" s="25"/>
      <c r="R5757" s="25"/>
      <c r="S5757" s="25"/>
      <c r="T5757" s="141"/>
      <c r="U5757" s="28"/>
    </row>
    <row r="5758" ht="15.75" customHeight="1">
      <c r="P5758" s="25"/>
      <c r="Q5758" s="25"/>
      <c r="R5758" s="25"/>
      <c r="S5758" s="25"/>
      <c r="T5758" s="141"/>
      <c r="U5758" s="28"/>
    </row>
    <row r="5759" ht="15.75" customHeight="1">
      <c r="P5759" s="25"/>
      <c r="Q5759" s="25"/>
      <c r="R5759" s="25"/>
      <c r="S5759" s="25"/>
      <c r="T5759" s="141"/>
      <c r="U5759" s="28"/>
    </row>
    <row r="5760" ht="15.75" customHeight="1">
      <c r="P5760" s="25"/>
      <c r="Q5760" s="25"/>
      <c r="R5760" s="25"/>
      <c r="S5760" s="25"/>
      <c r="T5760" s="141"/>
      <c r="U5760" s="28"/>
    </row>
    <row r="5761" ht="15.75" customHeight="1">
      <c r="P5761" s="25"/>
      <c r="Q5761" s="25"/>
      <c r="R5761" s="25"/>
      <c r="S5761" s="25"/>
      <c r="T5761" s="141"/>
      <c r="U5761" s="28"/>
    </row>
    <row r="5762" ht="15.75" customHeight="1">
      <c r="P5762" s="25"/>
      <c r="Q5762" s="25"/>
      <c r="R5762" s="25"/>
      <c r="S5762" s="25"/>
      <c r="T5762" s="141"/>
      <c r="U5762" s="28"/>
    </row>
    <row r="5763" ht="15.75" customHeight="1">
      <c r="P5763" s="25"/>
      <c r="Q5763" s="25"/>
      <c r="R5763" s="25"/>
      <c r="S5763" s="25"/>
      <c r="T5763" s="141"/>
      <c r="U5763" s="28"/>
    </row>
    <row r="5764" ht="15.75" customHeight="1">
      <c r="P5764" s="25"/>
      <c r="Q5764" s="25"/>
      <c r="R5764" s="25"/>
      <c r="S5764" s="25"/>
      <c r="T5764" s="141"/>
      <c r="U5764" s="28"/>
    </row>
    <row r="5765" ht="15.75" customHeight="1">
      <c r="P5765" s="25"/>
      <c r="Q5765" s="25"/>
      <c r="R5765" s="25"/>
      <c r="S5765" s="25"/>
      <c r="T5765" s="141"/>
      <c r="U5765" s="28"/>
    </row>
    <row r="5766" ht="15.75" customHeight="1">
      <c r="P5766" s="25"/>
      <c r="Q5766" s="25"/>
      <c r="R5766" s="25"/>
      <c r="S5766" s="25"/>
      <c r="T5766" s="141"/>
      <c r="U5766" s="28"/>
    </row>
    <row r="5767" ht="15.75" customHeight="1">
      <c r="P5767" s="25"/>
      <c r="Q5767" s="25"/>
      <c r="R5767" s="25"/>
      <c r="S5767" s="25"/>
      <c r="T5767" s="141"/>
      <c r="U5767" s="28"/>
    </row>
    <row r="5768" ht="15.75" customHeight="1">
      <c r="P5768" s="25"/>
      <c r="Q5768" s="25"/>
      <c r="R5768" s="25"/>
      <c r="S5768" s="25"/>
      <c r="T5768" s="141"/>
      <c r="U5768" s="28"/>
    </row>
    <row r="5769" ht="15.75" customHeight="1">
      <c r="P5769" s="25"/>
      <c r="Q5769" s="25"/>
      <c r="R5769" s="25"/>
      <c r="S5769" s="25"/>
      <c r="T5769" s="141"/>
      <c r="U5769" s="28"/>
    </row>
    <row r="5770" ht="15.75" customHeight="1">
      <c r="P5770" s="25"/>
      <c r="Q5770" s="25"/>
      <c r="R5770" s="25"/>
      <c r="S5770" s="25"/>
      <c r="T5770" s="141"/>
      <c r="U5770" s="28"/>
    </row>
    <row r="5771" ht="15.75" customHeight="1">
      <c r="P5771" s="25"/>
      <c r="Q5771" s="25"/>
      <c r="R5771" s="25"/>
      <c r="S5771" s="25"/>
      <c r="T5771" s="141"/>
      <c r="U5771" s="28"/>
    </row>
    <row r="5772" ht="15.75" customHeight="1">
      <c r="P5772" s="25"/>
      <c r="Q5772" s="25"/>
      <c r="R5772" s="25"/>
      <c r="S5772" s="25"/>
      <c r="T5772" s="141"/>
      <c r="U5772" s="28"/>
    </row>
    <row r="5773" ht="15.75" customHeight="1">
      <c r="P5773" s="25"/>
      <c r="Q5773" s="25"/>
      <c r="R5773" s="25"/>
      <c r="S5773" s="25"/>
      <c r="T5773" s="141"/>
      <c r="U5773" s="28"/>
    </row>
    <row r="5774" ht="15.75" customHeight="1">
      <c r="P5774" s="25"/>
      <c r="Q5774" s="25"/>
      <c r="R5774" s="25"/>
      <c r="S5774" s="25"/>
      <c r="T5774" s="141"/>
      <c r="U5774" s="28"/>
    </row>
    <row r="5775" ht="15.75" customHeight="1">
      <c r="P5775" s="25"/>
      <c r="Q5775" s="25"/>
      <c r="R5775" s="25"/>
      <c r="S5775" s="25"/>
      <c r="T5775" s="141"/>
      <c r="U5775" s="28"/>
    </row>
    <row r="5776" ht="15.75" customHeight="1">
      <c r="P5776" s="25"/>
      <c r="Q5776" s="25"/>
      <c r="R5776" s="25"/>
      <c r="S5776" s="25"/>
      <c r="T5776" s="141"/>
      <c r="U5776" s="28"/>
    </row>
    <row r="5777" ht="15.75" customHeight="1">
      <c r="P5777" s="25"/>
      <c r="Q5777" s="25"/>
      <c r="R5777" s="25"/>
      <c r="S5777" s="25"/>
      <c r="T5777" s="141"/>
      <c r="U5777" s="28"/>
    </row>
    <row r="5778" ht="15.75" customHeight="1">
      <c r="P5778" s="25"/>
      <c r="Q5778" s="25"/>
      <c r="R5778" s="25"/>
      <c r="S5778" s="25"/>
      <c r="T5778" s="141"/>
      <c r="U5778" s="28"/>
    </row>
    <row r="5779" ht="15.75" customHeight="1">
      <c r="P5779" s="25"/>
      <c r="Q5779" s="25"/>
      <c r="R5779" s="25"/>
      <c r="S5779" s="25"/>
      <c r="T5779" s="141"/>
      <c r="U5779" s="28"/>
    </row>
    <row r="5780" ht="15.75" customHeight="1">
      <c r="P5780" s="25"/>
      <c r="Q5780" s="25"/>
      <c r="R5780" s="25"/>
      <c r="S5780" s="25"/>
      <c r="T5780" s="141"/>
      <c r="U5780" s="28"/>
    </row>
    <row r="5781" ht="15.75" customHeight="1">
      <c r="P5781" s="25"/>
      <c r="Q5781" s="25"/>
      <c r="R5781" s="25"/>
      <c r="S5781" s="25"/>
      <c r="T5781" s="141"/>
      <c r="U5781" s="28"/>
    </row>
    <row r="5782" ht="15.75" customHeight="1">
      <c r="P5782" s="25"/>
      <c r="Q5782" s="25"/>
      <c r="R5782" s="25"/>
      <c r="S5782" s="25"/>
      <c r="T5782" s="141"/>
      <c r="U5782" s="28"/>
    </row>
    <row r="5783" ht="15.75" customHeight="1">
      <c r="P5783" s="25"/>
      <c r="Q5783" s="25"/>
      <c r="R5783" s="25"/>
      <c r="S5783" s="25"/>
      <c r="T5783" s="141"/>
      <c r="U5783" s="28"/>
    </row>
    <row r="5784" ht="15.75" customHeight="1">
      <c r="P5784" s="25"/>
      <c r="Q5784" s="25"/>
      <c r="R5784" s="25"/>
      <c r="S5784" s="25"/>
      <c r="T5784" s="141"/>
      <c r="U5784" s="28"/>
    </row>
    <row r="5785" ht="15.75" customHeight="1">
      <c r="P5785" s="25"/>
      <c r="Q5785" s="25"/>
      <c r="R5785" s="25"/>
      <c r="S5785" s="25"/>
      <c r="T5785" s="141"/>
      <c r="U5785" s="28"/>
    </row>
    <row r="5786" ht="15.75" customHeight="1">
      <c r="P5786" s="25"/>
      <c r="Q5786" s="25"/>
      <c r="R5786" s="25"/>
      <c r="S5786" s="25"/>
      <c r="T5786" s="141"/>
      <c r="U5786" s="28"/>
    </row>
    <row r="5787" ht="15.75" customHeight="1">
      <c r="P5787" s="25"/>
      <c r="Q5787" s="25"/>
      <c r="R5787" s="25"/>
      <c r="S5787" s="25"/>
      <c r="T5787" s="141"/>
      <c r="U5787" s="28"/>
    </row>
    <row r="5788" ht="15.75" customHeight="1">
      <c r="P5788" s="25"/>
      <c r="Q5788" s="25"/>
      <c r="R5788" s="25"/>
      <c r="S5788" s="25"/>
      <c r="T5788" s="141"/>
      <c r="U5788" s="28"/>
    </row>
    <row r="5789" ht="15.75" customHeight="1">
      <c r="P5789" s="25"/>
      <c r="Q5789" s="25"/>
      <c r="R5789" s="25"/>
      <c r="S5789" s="25"/>
      <c r="T5789" s="141"/>
      <c r="U5789" s="28"/>
    </row>
    <row r="5790" ht="15.75" customHeight="1">
      <c r="P5790" s="25"/>
      <c r="Q5790" s="25"/>
      <c r="R5790" s="25"/>
      <c r="S5790" s="25"/>
      <c r="T5790" s="141"/>
      <c r="U5790" s="28"/>
    </row>
    <row r="5791" ht="15.75" customHeight="1">
      <c r="P5791" s="25"/>
      <c r="Q5791" s="25"/>
      <c r="R5791" s="25"/>
      <c r="S5791" s="25"/>
      <c r="T5791" s="141"/>
      <c r="U5791" s="28"/>
    </row>
    <row r="5792" ht="15.75" customHeight="1">
      <c r="P5792" s="25"/>
      <c r="Q5792" s="25"/>
      <c r="R5792" s="25"/>
      <c r="S5792" s="25"/>
      <c r="T5792" s="141"/>
      <c r="U5792" s="28"/>
    </row>
    <row r="5793" ht="15.75" customHeight="1">
      <c r="P5793" s="25"/>
      <c r="Q5793" s="25"/>
      <c r="R5793" s="25"/>
      <c r="S5793" s="25"/>
      <c r="T5793" s="141"/>
      <c r="U5793" s="28"/>
    </row>
    <row r="5794" ht="15.75" customHeight="1">
      <c r="P5794" s="25"/>
      <c r="Q5794" s="25"/>
      <c r="R5794" s="25"/>
      <c r="S5794" s="25"/>
      <c r="T5794" s="141"/>
      <c r="U5794" s="28"/>
    </row>
    <row r="5795" ht="15.75" customHeight="1">
      <c r="P5795" s="25"/>
      <c r="Q5795" s="25"/>
      <c r="R5795" s="25"/>
      <c r="S5795" s="25"/>
      <c r="T5795" s="141"/>
      <c r="U5795" s="28"/>
    </row>
    <row r="5796" ht="15.75" customHeight="1">
      <c r="P5796" s="25"/>
      <c r="Q5796" s="25"/>
      <c r="R5796" s="25"/>
      <c r="S5796" s="25"/>
      <c r="T5796" s="141"/>
      <c r="U5796" s="28"/>
    </row>
    <row r="5797" ht="15.75" customHeight="1">
      <c r="P5797" s="25"/>
      <c r="Q5797" s="25"/>
      <c r="R5797" s="25"/>
      <c r="S5797" s="25"/>
      <c r="T5797" s="141"/>
      <c r="U5797" s="28"/>
    </row>
    <row r="5798" ht="15.75" customHeight="1">
      <c r="P5798" s="25"/>
      <c r="Q5798" s="25"/>
      <c r="R5798" s="25"/>
      <c r="S5798" s="25"/>
      <c r="T5798" s="141"/>
      <c r="U5798" s="28"/>
    </row>
    <row r="5799" ht="15.75" customHeight="1">
      <c r="P5799" s="25"/>
      <c r="Q5799" s="25"/>
      <c r="R5799" s="25"/>
      <c r="S5799" s="25"/>
      <c r="T5799" s="141"/>
      <c r="U5799" s="28"/>
    </row>
    <row r="5800" ht="15.75" customHeight="1">
      <c r="P5800" s="25"/>
      <c r="Q5800" s="25"/>
      <c r="R5800" s="25"/>
      <c r="S5800" s="25"/>
      <c r="T5800" s="141"/>
      <c r="U5800" s="28"/>
    </row>
    <row r="5801" ht="15.75" customHeight="1">
      <c r="P5801" s="25"/>
      <c r="Q5801" s="25"/>
      <c r="R5801" s="25"/>
      <c r="S5801" s="25"/>
      <c r="T5801" s="141"/>
      <c r="U5801" s="28"/>
    </row>
    <row r="5802" ht="15.75" customHeight="1">
      <c r="P5802" s="25"/>
      <c r="Q5802" s="25"/>
      <c r="R5802" s="25"/>
      <c r="S5802" s="25"/>
      <c r="T5802" s="141"/>
      <c r="U5802" s="28"/>
    </row>
    <row r="5803" ht="15.75" customHeight="1">
      <c r="P5803" s="25"/>
      <c r="Q5803" s="25"/>
      <c r="R5803" s="25"/>
      <c r="S5803" s="25"/>
      <c r="T5803" s="141"/>
      <c r="U5803" s="28"/>
    </row>
    <row r="5804" ht="15.75" customHeight="1">
      <c r="P5804" s="25"/>
      <c r="Q5804" s="25"/>
      <c r="R5804" s="25"/>
      <c r="S5804" s="25"/>
      <c r="T5804" s="141"/>
      <c r="U5804" s="28"/>
    </row>
    <row r="5805" ht="15.75" customHeight="1">
      <c r="P5805" s="25"/>
      <c r="Q5805" s="25"/>
      <c r="R5805" s="25"/>
      <c r="S5805" s="25"/>
      <c r="T5805" s="141"/>
      <c r="U5805" s="28"/>
    </row>
    <row r="5806" ht="15.75" customHeight="1">
      <c r="P5806" s="25"/>
      <c r="Q5806" s="25"/>
      <c r="R5806" s="25"/>
      <c r="S5806" s="25"/>
      <c r="T5806" s="141"/>
      <c r="U5806" s="28"/>
    </row>
    <row r="5807" ht="15.75" customHeight="1">
      <c r="P5807" s="25"/>
      <c r="Q5807" s="25"/>
      <c r="R5807" s="25"/>
      <c r="S5807" s="25"/>
      <c r="T5807" s="141"/>
      <c r="U5807" s="28"/>
    </row>
    <row r="5808" ht="15.75" customHeight="1">
      <c r="P5808" s="25"/>
      <c r="Q5808" s="25"/>
      <c r="R5808" s="25"/>
      <c r="S5808" s="25"/>
      <c r="T5808" s="141"/>
      <c r="U5808" s="28"/>
    </row>
    <row r="5809" ht="15.75" customHeight="1">
      <c r="P5809" s="25"/>
      <c r="Q5809" s="25"/>
      <c r="R5809" s="25"/>
      <c r="S5809" s="25"/>
      <c r="T5809" s="141"/>
      <c r="U5809" s="28"/>
    </row>
    <row r="5810" ht="15.75" customHeight="1">
      <c r="P5810" s="25"/>
      <c r="Q5810" s="25"/>
      <c r="R5810" s="25"/>
      <c r="S5810" s="25"/>
      <c r="T5810" s="141"/>
      <c r="U5810" s="28"/>
    </row>
    <row r="5811" ht="15.75" customHeight="1">
      <c r="P5811" s="25"/>
      <c r="Q5811" s="25"/>
      <c r="R5811" s="25"/>
      <c r="S5811" s="25"/>
      <c r="T5811" s="141"/>
      <c r="U5811" s="28"/>
    </row>
    <row r="5812" ht="15.75" customHeight="1">
      <c r="P5812" s="25"/>
      <c r="Q5812" s="25"/>
      <c r="R5812" s="25"/>
      <c r="S5812" s="25"/>
      <c r="T5812" s="141"/>
      <c r="U5812" s="28"/>
    </row>
    <row r="5813" ht="15.75" customHeight="1">
      <c r="P5813" s="25"/>
      <c r="Q5813" s="25"/>
      <c r="R5813" s="25"/>
      <c r="S5813" s="25"/>
      <c r="T5813" s="141"/>
      <c r="U5813" s="28"/>
    </row>
    <row r="5814" ht="15.75" customHeight="1">
      <c r="P5814" s="25"/>
      <c r="Q5814" s="25"/>
      <c r="R5814" s="25"/>
      <c r="S5814" s="25"/>
      <c r="T5814" s="141"/>
      <c r="U5814" s="28"/>
    </row>
    <row r="5815" ht="15.75" customHeight="1">
      <c r="P5815" s="25"/>
      <c r="Q5815" s="25"/>
      <c r="R5815" s="25"/>
      <c r="S5815" s="25"/>
      <c r="T5815" s="141"/>
      <c r="U5815" s="28"/>
    </row>
    <row r="5816" ht="15.75" customHeight="1">
      <c r="P5816" s="25"/>
      <c r="Q5816" s="25"/>
      <c r="R5816" s="25"/>
      <c r="S5816" s="25"/>
      <c r="T5816" s="141"/>
      <c r="U5816" s="28"/>
    </row>
    <row r="5817" ht="15.75" customHeight="1">
      <c r="P5817" s="25"/>
      <c r="Q5817" s="25"/>
      <c r="R5817" s="25"/>
      <c r="S5817" s="25"/>
      <c r="T5817" s="141"/>
      <c r="U5817" s="28"/>
    </row>
    <row r="5818" ht="15.75" customHeight="1">
      <c r="P5818" s="25"/>
      <c r="Q5818" s="25"/>
      <c r="R5818" s="25"/>
      <c r="S5818" s="25"/>
      <c r="T5818" s="141"/>
      <c r="U5818" s="28"/>
    </row>
    <row r="5819" ht="15.75" customHeight="1">
      <c r="P5819" s="25"/>
      <c r="Q5819" s="25"/>
      <c r="R5819" s="25"/>
      <c r="S5819" s="25"/>
      <c r="T5819" s="141"/>
      <c r="U5819" s="28"/>
    </row>
    <row r="5820" ht="15.75" customHeight="1">
      <c r="P5820" s="25"/>
      <c r="Q5820" s="25"/>
      <c r="R5820" s="25"/>
      <c r="S5820" s="25"/>
      <c r="T5820" s="141"/>
      <c r="U5820" s="28"/>
    </row>
    <row r="5821" ht="15.75" customHeight="1">
      <c r="P5821" s="25"/>
      <c r="Q5821" s="25"/>
      <c r="R5821" s="25"/>
      <c r="S5821" s="25"/>
      <c r="T5821" s="141"/>
      <c r="U5821" s="28"/>
    </row>
    <row r="5822" ht="15.75" customHeight="1">
      <c r="P5822" s="25"/>
      <c r="Q5822" s="25"/>
      <c r="R5822" s="25"/>
      <c r="S5822" s="25"/>
      <c r="T5822" s="141"/>
      <c r="U5822" s="28"/>
    </row>
    <row r="5823" ht="15.75" customHeight="1">
      <c r="P5823" s="25"/>
      <c r="Q5823" s="25"/>
      <c r="R5823" s="25"/>
      <c r="S5823" s="25"/>
      <c r="T5823" s="141"/>
      <c r="U5823" s="28"/>
    </row>
    <row r="5824" ht="15.75" customHeight="1">
      <c r="P5824" s="25"/>
      <c r="Q5824" s="25"/>
      <c r="R5824" s="25"/>
      <c r="S5824" s="25"/>
      <c r="T5824" s="141"/>
      <c r="U5824" s="28"/>
    </row>
    <row r="5825" ht="15.75" customHeight="1">
      <c r="P5825" s="25"/>
      <c r="Q5825" s="25"/>
      <c r="R5825" s="25"/>
      <c r="S5825" s="25"/>
      <c r="T5825" s="141"/>
      <c r="U5825" s="28"/>
    </row>
    <row r="5826" ht="15.75" customHeight="1">
      <c r="P5826" s="25"/>
      <c r="Q5826" s="25"/>
      <c r="R5826" s="25"/>
      <c r="S5826" s="25"/>
      <c r="T5826" s="141"/>
      <c r="U5826" s="28"/>
    </row>
    <row r="5827" ht="15.75" customHeight="1">
      <c r="P5827" s="25"/>
      <c r="Q5827" s="25"/>
      <c r="R5827" s="25"/>
      <c r="S5827" s="25"/>
      <c r="T5827" s="141"/>
      <c r="U5827" s="28"/>
    </row>
    <row r="5828" ht="15.75" customHeight="1">
      <c r="P5828" s="25"/>
      <c r="Q5828" s="25"/>
      <c r="R5828" s="25"/>
      <c r="S5828" s="25"/>
      <c r="T5828" s="141"/>
      <c r="U5828" s="28"/>
    </row>
    <row r="5829" ht="15.75" customHeight="1">
      <c r="P5829" s="25"/>
      <c r="Q5829" s="25"/>
      <c r="R5829" s="25"/>
      <c r="S5829" s="25"/>
      <c r="T5829" s="141"/>
      <c r="U5829" s="28"/>
    </row>
    <row r="5830" ht="15.75" customHeight="1">
      <c r="P5830" s="25"/>
      <c r="Q5830" s="25"/>
      <c r="R5830" s="25"/>
      <c r="S5830" s="25"/>
      <c r="T5830" s="141"/>
      <c r="U5830" s="28"/>
    </row>
    <row r="5831" ht="15.75" customHeight="1">
      <c r="P5831" s="25"/>
      <c r="Q5831" s="25"/>
      <c r="R5831" s="25"/>
      <c r="S5831" s="25"/>
      <c r="T5831" s="141"/>
      <c r="U5831" s="28"/>
    </row>
    <row r="5832" ht="15.75" customHeight="1">
      <c r="P5832" s="25"/>
      <c r="Q5832" s="25"/>
      <c r="R5832" s="25"/>
      <c r="S5832" s="25"/>
      <c r="T5832" s="141"/>
      <c r="U5832" s="28"/>
    </row>
    <row r="5833" ht="15.75" customHeight="1">
      <c r="P5833" s="25"/>
      <c r="Q5833" s="25"/>
      <c r="R5833" s="25"/>
      <c r="S5833" s="25"/>
      <c r="T5833" s="141"/>
      <c r="U5833" s="28"/>
    </row>
    <row r="5834" ht="15.75" customHeight="1">
      <c r="P5834" s="25"/>
      <c r="Q5834" s="25"/>
      <c r="R5834" s="25"/>
      <c r="S5834" s="25"/>
      <c r="T5834" s="141"/>
      <c r="U5834" s="28"/>
    </row>
    <row r="5835" ht="15.75" customHeight="1">
      <c r="P5835" s="25"/>
      <c r="Q5835" s="25"/>
      <c r="R5835" s="25"/>
      <c r="S5835" s="25"/>
      <c r="T5835" s="141"/>
      <c r="U5835" s="28"/>
    </row>
    <row r="5836" ht="15.75" customHeight="1">
      <c r="P5836" s="25"/>
      <c r="Q5836" s="25"/>
      <c r="R5836" s="25"/>
      <c r="S5836" s="25"/>
      <c r="T5836" s="141"/>
      <c r="U5836" s="28"/>
    </row>
    <row r="5837" ht="15.75" customHeight="1">
      <c r="P5837" s="25"/>
      <c r="Q5837" s="25"/>
      <c r="R5837" s="25"/>
      <c r="S5837" s="25"/>
      <c r="T5837" s="141"/>
      <c r="U5837" s="28"/>
    </row>
    <row r="5838" ht="15.75" customHeight="1">
      <c r="P5838" s="25"/>
      <c r="Q5838" s="25"/>
      <c r="R5838" s="25"/>
      <c r="S5838" s="25"/>
      <c r="T5838" s="141"/>
      <c r="U5838" s="28"/>
    </row>
    <row r="5839" ht="15.75" customHeight="1">
      <c r="P5839" s="25"/>
      <c r="Q5839" s="25"/>
      <c r="R5839" s="25"/>
      <c r="S5839" s="25"/>
      <c r="T5839" s="141"/>
      <c r="U5839" s="28"/>
    </row>
    <row r="5840" ht="15.75" customHeight="1">
      <c r="P5840" s="25"/>
      <c r="Q5840" s="25"/>
      <c r="R5840" s="25"/>
      <c r="S5840" s="25"/>
      <c r="T5840" s="141"/>
      <c r="U5840" s="28"/>
    </row>
    <row r="5841" ht="15.75" customHeight="1">
      <c r="P5841" s="25"/>
      <c r="Q5841" s="25"/>
      <c r="R5841" s="25"/>
      <c r="S5841" s="25"/>
      <c r="T5841" s="141"/>
      <c r="U5841" s="28"/>
    </row>
    <row r="5842" ht="15.75" customHeight="1">
      <c r="P5842" s="25"/>
      <c r="Q5842" s="25"/>
      <c r="R5842" s="25"/>
      <c r="S5842" s="25"/>
      <c r="T5842" s="141"/>
      <c r="U5842" s="28"/>
    </row>
    <row r="5843" ht="15.75" customHeight="1">
      <c r="P5843" s="25"/>
      <c r="Q5843" s="25"/>
      <c r="R5843" s="25"/>
      <c r="S5843" s="25"/>
      <c r="T5843" s="141"/>
      <c r="U5843" s="28"/>
    </row>
    <row r="5844" ht="15.75" customHeight="1">
      <c r="P5844" s="25"/>
      <c r="Q5844" s="25"/>
      <c r="R5844" s="25"/>
      <c r="S5844" s="25"/>
      <c r="T5844" s="141"/>
      <c r="U5844" s="28"/>
    </row>
    <row r="5845" ht="15.75" customHeight="1">
      <c r="P5845" s="25"/>
      <c r="Q5845" s="25"/>
      <c r="R5845" s="25"/>
      <c r="S5845" s="25"/>
      <c r="T5845" s="141"/>
      <c r="U5845" s="28"/>
    </row>
    <row r="5846" ht="15.75" customHeight="1">
      <c r="P5846" s="25"/>
      <c r="Q5846" s="25"/>
      <c r="R5846" s="25"/>
      <c r="S5846" s="25"/>
      <c r="T5846" s="141"/>
      <c r="U5846" s="28"/>
    </row>
    <row r="5847" ht="15.75" customHeight="1">
      <c r="P5847" s="25"/>
      <c r="Q5847" s="25"/>
      <c r="R5847" s="25"/>
      <c r="S5847" s="25"/>
      <c r="T5847" s="141"/>
      <c r="U5847" s="28"/>
    </row>
    <row r="5848" ht="15.75" customHeight="1">
      <c r="P5848" s="25"/>
      <c r="Q5848" s="25"/>
      <c r="R5848" s="25"/>
      <c r="S5848" s="25"/>
      <c r="T5848" s="141"/>
      <c r="U5848" s="28"/>
    </row>
    <row r="5849" ht="15.75" customHeight="1">
      <c r="P5849" s="25"/>
      <c r="Q5849" s="25"/>
      <c r="R5849" s="25"/>
      <c r="S5849" s="25"/>
      <c r="T5849" s="141"/>
      <c r="U5849" s="28"/>
    </row>
    <row r="5850" ht="15.75" customHeight="1">
      <c r="P5850" s="25"/>
      <c r="Q5850" s="25"/>
      <c r="R5850" s="25"/>
      <c r="S5850" s="25"/>
      <c r="T5850" s="141"/>
      <c r="U5850" s="28"/>
    </row>
    <row r="5851" ht="15.75" customHeight="1">
      <c r="P5851" s="25"/>
      <c r="Q5851" s="25"/>
      <c r="R5851" s="25"/>
      <c r="S5851" s="25"/>
      <c r="T5851" s="141"/>
      <c r="U5851" s="28"/>
    </row>
    <row r="5852" ht="15.75" customHeight="1">
      <c r="P5852" s="25"/>
      <c r="Q5852" s="25"/>
      <c r="R5852" s="25"/>
      <c r="S5852" s="25"/>
      <c r="T5852" s="141"/>
      <c r="U5852" s="28"/>
    </row>
    <row r="5853" ht="15.75" customHeight="1">
      <c r="P5853" s="25"/>
      <c r="Q5853" s="25"/>
      <c r="R5853" s="25"/>
      <c r="S5853" s="25"/>
      <c r="T5853" s="141"/>
      <c r="U5853" s="28"/>
    </row>
    <row r="5854" ht="15.75" customHeight="1">
      <c r="P5854" s="25"/>
      <c r="Q5854" s="25"/>
      <c r="R5854" s="25"/>
      <c r="S5854" s="25"/>
      <c r="T5854" s="141"/>
      <c r="U5854" s="28"/>
    </row>
    <row r="5855" ht="15.75" customHeight="1">
      <c r="P5855" s="25"/>
      <c r="Q5855" s="25"/>
      <c r="R5855" s="25"/>
      <c r="S5855" s="25"/>
      <c r="T5855" s="141"/>
      <c r="U5855" s="28"/>
    </row>
    <row r="5856" ht="15.75" customHeight="1">
      <c r="P5856" s="25"/>
      <c r="Q5856" s="25"/>
      <c r="R5856" s="25"/>
      <c r="S5856" s="25"/>
      <c r="T5856" s="141"/>
      <c r="U5856" s="28"/>
    </row>
    <row r="5857" ht="15.75" customHeight="1">
      <c r="P5857" s="25"/>
      <c r="Q5857" s="25"/>
      <c r="R5857" s="25"/>
      <c r="S5857" s="25"/>
      <c r="T5857" s="141"/>
      <c r="U5857" s="28"/>
    </row>
    <row r="5858" ht="15.75" customHeight="1">
      <c r="P5858" s="25"/>
      <c r="Q5858" s="25"/>
      <c r="R5858" s="25"/>
      <c r="S5858" s="25"/>
      <c r="T5858" s="141"/>
      <c r="U5858" s="28"/>
    </row>
    <row r="5859" ht="15.75" customHeight="1">
      <c r="P5859" s="25"/>
      <c r="Q5859" s="25"/>
      <c r="R5859" s="25"/>
      <c r="S5859" s="25"/>
      <c r="T5859" s="141"/>
      <c r="U5859" s="28"/>
    </row>
    <row r="5860" ht="15.75" customHeight="1">
      <c r="P5860" s="25"/>
      <c r="Q5860" s="25"/>
      <c r="R5860" s="25"/>
      <c r="S5860" s="25"/>
      <c r="T5860" s="141"/>
      <c r="U5860" s="28"/>
    </row>
    <row r="5861" ht="15.75" customHeight="1">
      <c r="P5861" s="25"/>
      <c r="Q5861" s="25"/>
      <c r="R5861" s="25"/>
      <c r="S5861" s="25"/>
      <c r="T5861" s="141"/>
      <c r="U5861" s="28"/>
    </row>
    <row r="5862" ht="15.75" customHeight="1">
      <c r="P5862" s="25"/>
      <c r="Q5862" s="25"/>
      <c r="R5862" s="25"/>
      <c r="S5862" s="25"/>
      <c r="T5862" s="141"/>
      <c r="U5862" s="28"/>
    </row>
    <row r="5863" ht="15.75" customHeight="1">
      <c r="P5863" s="25"/>
      <c r="Q5863" s="25"/>
      <c r="R5863" s="25"/>
      <c r="S5863" s="25"/>
      <c r="T5863" s="141"/>
      <c r="U5863" s="28"/>
    </row>
    <row r="5864" ht="15.75" customHeight="1">
      <c r="P5864" s="25"/>
      <c r="Q5864" s="25"/>
      <c r="R5864" s="25"/>
      <c r="S5864" s="25"/>
      <c r="T5864" s="141"/>
      <c r="U5864" s="28"/>
    </row>
    <row r="5865" ht="15.75" customHeight="1">
      <c r="P5865" s="25"/>
      <c r="Q5865" s="25"/>
      <c r="R5865" s="25"/>
      <c r="S5865" s="25"/>
      <c r="T5865" s="141"/>
      <c r="U5865" s="28"/>
    </row>
    <row r="5866" ht="15.75" customHeight="1">
      <c r="P5866" s="25"/>
      <c r="Q5866" s="25"/>
      <c r="R5866" s="25"/>
      <c r="S5866" s="25"/>
      <c r="T5866" s="141"/>
      <c r="U5866" s="28"/>
    </row>
    <row r="5867" ht="15.75" customHeight="1">
      <c r="P5867" s="25"/>
      <c r="Q5867" s="25"/>
      <c r="R5867" s="25"/>
      <c r="S5867" s="25"/>
      <c r="T5867" s="141"/>
      <c r="U5867" s="28"/>
    </row>
    <row r="5868" ht="15.75" customHeight="1">
      <c r="P5868" s="25"/>
      <c r="Q5868" s="25"/>
      <c r="R5868" s="25"/>
      <c r="S5868" s="25"/>
      <c r="T5868" s="141"/>
      <c r="U5868" s="28"/>
    </row>
    <row r="5869" ht="15.75" customHeight="1">
      <c r="P5869" s="25"/>
      <c r="Q5869" s="25"/>
      <c r="R5869" s="25"/>
      <c r="S5869" s="25"/>
      <c r="T5869" s="141"/>
      <c r="U5869" s="28"/>
    </row>
    <row r="5870" ht="15.75" customHeight="1">
      <c r="P5870" s="25"/>
      <c r="Q5870" s="25"/>
      <c r="R5870" s="25"/>
      <c r="S5870" s="25"/>
      <c r="T5870" s="141"/>
      <c r="U5870" s="28"/>
    </row>
    <row r="5871" ht="15.75" customHeight="1">
      <c r="P5871" s="25"/>
      <c r="Q5871" s="25"/>
      <c r="R5871" s="25"/>
      <c r="S5871" s="25"/>
      <c r="T5871" s="141"/>
      <c r="U5871" s="28"/>
    </row>
    <row r="5872" ht="15.75" customHeight="1">
      <c r="P5872" s="25"/>
      <c r="Q5872" s="25"/>
      <c r="R5872" s="25"/>
      <c r="S5872" s="25"/>
      <c r="T5872" s="141"/>
      <c r="U5872" s="28"/>
    </row>
    <row r="5873" ht="15.75" customHeight="1">
      <c r="P5873" s="25"/>
      <c r="Q5873" s="25"/>
      <c r="R5873" s="25"/>
      <c r="S5873" s="25"/>
      <c r="T5873" s="141"/>
      <c r="U5873" s="28"/>
    </row>
    <row r="5874" ht="15.75" customHeight="1">
      <c r="P5874" s="25"/>
      <c r="Q5874" s="25"/>
      <c r="R5874" s="25"/>
      <c r="S5874" s="25"/>
      <c r="T5874" s="141"/>
      <c r="U5874" s="28"/>
    </row>
    <row r="5875" ht="15.75" customHeight="1">
      <c r="P5875" s="25"/>
      <c r="Q5875" s="25"/>
      <c r="R5875" s="25"/>
      <c r="S5875" s="25"/>
      <c r="T5875" s="141"/>
      <c r="U5875" s="28"/>
    </row>
    <row r="5876" ht="15.75" customHeight="1">
      <c r="P5876" s="25"/>
      <c r="Q5876" s="25"/>
      <c r="R5876" s="25"/>
      <c r="S5876" s="25"/>
      <c r="T5876" s="141"/>
      <c r="U5876" s="28"/>
    </row>
    <row r="5877" ht="15.75" customHeight="1">
      <c r="P5877" s="25"/>
      <c r="Q5877" s="25"/>
      <c r="R5877" s="25"/>
      <c r="S5877" s="25"/>
      <c r="T5877" s="141"/>
      <c r="U5877" s="28"/>
    </row>
    <row r="5878" ht="15.75" customHeight="1">
      <c r="P5878" s="25"/>
      <c r="Q5878" s="25"/>
      <c r="R5878" s="25"/>
      <c r="S5878" s="25"/>
      <c r="T5878" s="141"/>
      <c r="U5878" s="28"/>
    </row>
    <row r="5879" ht="15.75" customHeight="1">
      <c r="P5879" s="25"/>
      <c r="Q5879" s="25"/>
      <c r="R5879" s="25"/>
      <c r="S5879" s="25"/>
      <c r="T5879" s="141"/>
      <c r="U5879" s="28"/>
    </row>
    <row r="5880" ht="15.75" customHeight="1">
      <c r="P5880" s="25"/>
      <c r="Q5880" s="25"/>
      <c r="R5880" s="25"/>
      <c r="S5880" s="25"/>
      <c r="T5880" s="141"/>
      <c r="U5880" s="28"/>
    </row>
    <row r="5881" ht="15.75" customHeight="1">
      <c r="P5881" s="25"/>
      <c r="Q5881" s="25"/>
      <c r="R5881" s="25"/>
      <c r="S5881" s="25"/>
      <c r="T5881" s="141"/>
      <c r="U5881" s="28"/>
    </row>
    <row r="5882" ht="15.75" customHeight="1">
      <c r="P5882" s="25"/>
      <c r="Q5882" s="25"/>
      <c r="R5882" s="25"/>
      <c r="S5882" s="25"/>
      <c r="T5882" s="141"/>
      <c r="U5882" s="28"/>
    </row>
    <row r="5883" ht="15.75" customHeight="1">
      <c r="P5883" s="25"/>
      <c r="Q5883" s="25"/>
      <c r="R5883" s="25"/>
      <c r="S5883" s="25"/>
      <c r="T5883" s="141"/>
      <c r="U5883" s="28"/>
    </row>
    <row r="5884" ht="15.75" customHeight="1">
      <c r="P5884" s="25"/>
      <c r="Q5884" s="25"/>
      <c r="R5884" s="25"/>
      <c r="S5884" s="25"/>
      <c r="T5884" s="141"/>
      <c r="U5884" s="28"/>
    </row>
    <row r="5885" ht="15.75" customHeight="1">
      <c r="P5885" s="25"/>
      <c r="Q5885" s="25"/>
      <c r="R5885" s="25"/>
      <c r="S5885" s="25"/>
      <c r="T5885" s="141"/>
      <c r="U5885" s="28"/>
    </row>
    <row r="5886" ht="15.75" customHeight="1">
      <c r="P5886" s="25"/>
      <c r="Q5886" s="25"/>
      <c r="R5886" s="25"/>
      <c r="S5886" s="25"/>
      <c r="T5886" s="141"/>
      <c r="U5886" s="28"/>
    </row>
    <row r="5887" ht="15.75" customHeight="1">
      <c r="P5887" s="25"/>
      <c r="Q5887" s="25"/>
      <c r="R5887" s="25"/>
      <c r="S5887" s="25"/>
      <c r="T5887" s="141"/>
      <c r="U5887" s="28"/>
    </row>
    <row r="5888" ht="15.75" customHeight="1">
      <c r="P5888" s="25"/>
      <c r="Q5888" s="25"/>
      <c r="R5888" s="25"/>
      <c r="S5888" s="25"/>
      <c r="T5888" s="141"/>
      <c r="U5888" s="28"/>
    </row>
    <row r="5889" ht="15.75" customHeight="1">
      <c r="P5889" s="25"/>
      <c r="Q5889" s="25"/>
      <c r="R5889" s="25"/>
      <c r="S5889" s="25"/>
      <c r="T5889" s="141"/>
      <c r="U5889" s="28"/>
    </row>
    <row r="5890" ht="15.75" customHeight="1">
      <c r="P5890" s="25"/>
      <c r="Q5890" s="25"/>
      <c r="R5890" s="25"/>
      <c r="S5890" s="25"/>
      <c r="T5890" s="141"/>
      <c r="U5890" s="28"/>
    </row>
    <row r="5891" ht="15.75" customHeight="1">
      <c r="P5891" s="25"/>
      <c r="Q5891" s="25"/>
      <c r="R5891" s="25"/>
      <c r="S5891" s="25"/>
      <c r="T5891" s="141"/>
      <c r="U5891" s="28"/>
    </row>
    <row r="5892" ht="15.75" customHeight="1">
      <c r="P5892" s="25"/>
      <c r="Q5892" s="25"/>
      <c r="R5892" s="25"/>
      <c r="S5892" s="25"/>
      <c r="T5892" s="141"/>
      <c r="U5892" s="28"/>
    </row>
    <row r="5893" ht="15.75" customHeight="1">
      <c r="P5893" s="25"/>
      <c r="Q5893" s="25"/>
      <c r="R5893" s="25"/>
      <c r="S5893" s="25"/>
      <c r="T5893" s="141"/>
      <c r="U5893" s="28"/>
    </row>
    <row r="5894" ht="15.75" customHeight="1">
      <c r="P5894" s="25"/>
      <c r="Q5894" s="25"/>
      <c r="R5894" s="25"/>
      <c r="S5894" s="25"/>
      <c r="T5894" s="141"/>
      <c r="U5894" s="28"/>
    </row>
    <row r="5895" ht="15.75" customHeight="1">
      <c r="P5895" s="25"/>
      <c r="Q5895" s="25"/>
      <c r="R5895" s="25"/>
      <c r="S5895" s="25"/>
      <c r="T5895" s="141"/>
      <c r="U5895" s="28"/>
    </row>
    <row r="5896" ht="15.75" customHeight="1">
      <c r="P5896" s="25"/>
      <c r="Q5896" s="25"/>
      <c r="R5896" s="25"/>
      <c r="S5896" s="25"/>
      <c r="T5896" s="141"/>
      <c r="U5896" s="28"/>
    </row>
    <row r="5897" ht="15.75" customHeight="1">
      <c r="P5897" s="25"/>
      <c r="Q5897" s="25"/>
      <c r="R5897" s="25"/>
      <c r="S5897" s="25"/>
      <c r="T5897" s="141"/>
      <c r="U5897" s="28"/>
    </row>
    <row r="5898" ht="15.75" customHeight="1">
      <c r="P5898" s="25"/>
      <c r="Q5898" s="25"/>
      <c r="R5898" s="25"/>
      <c r="S5898" s="25"/>
      <c r="T5898" s="141"/>
      <c r="U5898" s="28"/>
    </row>
    <row r="5899" ht="15.75" customHeight="1">
      <c r="P5899" s="25"/>
      <c r="Q5899" s="25"/>
      <c r="R5899" s="25"/>
      <c r="S5899" s="25"/>
      <c r="T5899" s="141"/>
      <c r="U5899" s="28"/>
    </row>
    <row r="5900" ht="15.75" customHeight="1">
      <c r="P5900" s="25"/>
      <c r="Q5900" s="25"/>
      <c r="R5900" s="25"/>
      <c r="S5900" s="25"/>
      <c r="T5900" s="141"/>
      <c r="U5900" s="28"/>
    </row>
    <row r="5901" ht="15.75" customHeight="1">
      <c r="P5901" s="25"/>
      <c r="Q5901" s="25"/>
      <c r="R5901" s="25"/>
      <c r="S5901" s="25"/>
      <c r="T5901" s="141"/>
      <c r="U5901" s="28"/>
    </row>
    <row r="5902" ht="15.75" customHeight="1">
      <c r="P5902" s="25"/>
      <c r="Q5902" s="25"/>
      <c r="R5902" s="25"/>
      <c r="S5902" s="25"/>
      <c r="T5902" s="141"/>
      <c r="U5902" s="28"/>
    </row>
    <row r="5903" ht="15.75" customHeight="1">
      <c r="P5903" s="25"/>
      <c r="Q5903" s="25"/>
      <c r="R5903" s="25"/>
      <c r="S5903" s="25"/>
      <c r="T5903" s="141"/>
      <c r="U5903" s="28"/>
    </row>
    <row r="5904" ht="15.75" customHeight="1">
      <c r="P5904" s="25"/>
      <c r="Q5904" s="25"/>
      <c r="R5904" s="25"/>
      <c r="S5904" s="25"/>
      <c r="T5904" s="141"/>
      <c r="U5904" s="28"/>
    </row>
    <row r="5905" ht="15.75" customHeight="1">
      <c r="P5905" s="25"/>
      <c r="Q5905" s="25"/>
      <c r="R5905" s="25"/>
      <c r="S5905" s="25"/>
      <c r="T5905" s="141"/>
      <c r="U5905" s="28"/>
    </row>
    <row r="5906" ht="15.75" customHeight="1">
      <c r="P5906" s="25"/>
      <c r="Q5906" s="25"/>
      <c r="R5906" s="25"/>
      <c r="S5906" s="25"/>
      <c r="T5906" s="141"/>
      <c r="U5906" s="28"/>
    </row>
    <row r="5907" ht="15.75" customHeight="1">
      <c r="P5907" s="25"/>
      <c r="Q5907" s="25"/>
      <c r="R5907" s="25"/>
      <c r="S5907" s="25"/>
      <c r="T5907" s="141"/>
      <c r="U5907" s="28"/>
    </row>
    <row r="5908" ht="15.75" customHeight="1">
      <c r="P5908" s="25"/>
      <c r="Q5908" s="25"/>
      <c r="R5908" s="25"/>
      <c r="S5908" s="25"/>
      <c r="T5908" s="141"/>
      <c r="U5908" s="28"/>
    </row>
    <row r="5909" ht="15.75" customHeight="1">
      <c r="P5909" s="25"/>
      <c r="Q5909" s="25"/>
      <c r="R5909" s="25"/>
      <c r="S5909" s="25"/>
      <c r="T5909" s="141"/>
      <c r="U5909" s="28"/>
    </row>
    <row r="5910" ht="15.75" customHeight="1">
      <c r="P5910" s="25"/>
      <c r="Q5910" s="25"/>
      <c r="R5910" s="25"/>
      <c r="S5910" s="25"/>
      <c r="T5910" s="141"/>
      <c r="U5910" s="28"/>
    </row>
    <row r="5911" ht="15.75" customHeight="1">
      <c r="P5911" s="25"/>
      <c r="Q5911" s="25"/>
      <c r="R5911" s="25"/>
      <c r="S5911" s="25"/>
      <c r="T5911" s="141"/>
      <c r="U5911" s="28"/>
    </row>
    <row r="5912" ht="15.75" customHeight="1">
      <c r="P5912" s="25"/>
      <c r="Q5912" s="25"/>
      <c r="R5912" s="25"/>
      <c r="S5912" s="25"/>
      <c r="T5912" s="141"/>
      <c r="U5912" s="28"/>
    </row>
    <row r="5913" ht="15.75" customHeight="1">
      <c r="P5913" s="25"/>
      <c r="Q5913" s="25"/>
      <c r="R5913" s="25"/>
      <c r="S5913" s="25"/>
      <c r="T5913" s="141"/>
      <c r="U5913" s="28"/>
    </row>
    <row r="5914" ht="15.75" customHeight="1">
      <c r="P5914" s="25"/>
      <c r="Q5914" s="25"/>
      <c r="R5914" s="25"/>
      <c r="S5914" s="25"/>
      <c r="T5914" s="141"/>
      <c r="U5914" s="28"/>
    </row>
    <row r="5915" ht="15.75" customHeight="1">
      <c r="P5915" s="25"/>
      <c r="Q5915" s="25"/>
      <c r="R5915" s="25"/>
      <c r="S5915" s="25"/>
      <c r="T5915" s="141"/>
      <c r="U5915" s="28"/>
    </row>
    <row r="5916" ht="15.75" customHeight="1">
      <c r="P5916" s="25"/>
      <c r="Q5916" s="25"/>
      <c r="R5916" s="25"/>
      <c r="S5916" s="25"/>
      <c r="T5916" s="141"/>
      <c r="U5916" s="28"/>
    </row>
    <row r="5917" ht="15.75" customHeight="1">
      <c r="P5917" s="25"/>
      <c r="Q5917" s="25"/>
      <c r="R5917" s="25"/>
      <c r="S5917" s="25"/>
      <c r="T5917" s="141"/>
      <c r="U5917" s="28"/>
    </row>
    <row r="5918" ht="15.75" customHeight="1">
      <c r="P5918" s="25"/>
      <c r="Q5918" s="25"/>
      <c r="R5918" s="25"/>
      <c r="S5918" s="25"/>
      <c r="T5918" s="141"/>
      <c r="U5918" s="28"/>
    </row>
    <row r="5919" ht="15.75" customHeight="1">
      <c r="P5919" s="25"/>
      <c r="Q5919" s="25"/>
      <c r="R5919" s="25"/>
      <c r="S5919" s="25"/>
      <c r="T5919" s="141"/>
      <c r="U5919" s="28"/>
    </row>
    <row r="5920" ht="15.75" customHeight="1">
      <c r="P5920" s="25"/>
      <c r="Q5920" s="25"/>
      <c r="R5920" s="25"/>
      <c r="S5920" s="25"/>
      <c r="T5920" s="141"/>
      <c r="U5920" s="28"/>
    </row>
    <row r="5921" ht="15.75" customHeight="1">
      <c r="P5921" s="25"/>
      <c r="Q5921" s="25"/>
      <c r="R5921" s="25"/>
      <c r="S5921" s="25"/>
      <c r="T5921" s="141"/>
      <c r="U5921" s="28"/>
    </row>
    <row r="5922" ht="15.75" customHeight="1">
      <c r="P5922" s="25"/>
      <c r="Q5922" s="25"/>
      <c r="R5922" s="25"/>
      <c r="S5922" s="25"/>
      <c r="T5922" s="141"/>
      <c r="U5922" s="28"/>
    </row>
    <row r="5923" ht="15.75" customHeight="1">
      <c r="P5923" s="25"/>
      <c r="Q5923" s="25"/>
      <c r="R5923" s="25"/>
      <c r="S5923" s="25"/>
      <c r="T5923" s="141"/>
      <c r="U5923" s="28"/>
    </row>
    <row r="5924" ht="15.75" customHeight="1">
      <c r="P5924" s="25"/>
      <c r="Q5924" s="25"/>
      <c r="R5924" s="25"/>
      <c r="S5924" s="25"/>
      <c r="T5924" s="141"/>
      <c r="U5924" s="28"/>
    </row>
    <row r="5925" ht="15.75" customHeight="1">
      <c r="P5925" s="25"/>
      <c r="Q5925" s="25"/>
      <c r="R5925" s="25"/>
      <c r="S5925" s="25"/>
      <c r="T5925" s="141"/>
      <c r="U5925" s="28"/>
    </row>
    <row r="5926" ht="15.75" customHeight="1">
      <c r="P5926" s="25"/>
      <c r="Q5926" s="25"/>
      <c r="R5926" s="25"/>
      <c r="S5926" s="25"/>
      <c r="T5926" s="141"/>
      <c r="U5926" s="28"/>
    </row>
    <row r="5927" ht="15.75" customHeight="1">
      <c r="P5927" s="25"/>
      <c r="Q5927" s="25"/>
      <c r="R5927" s="25"/>
      <c r="S5927" s="25"/>
      <c r="T5927" s="141"/>
      <c r="U5927" s="28"/>
    </row>
    <row r="5928" ht="15.75" customHeight="1">
      <c r="P5928" s="25"/>
      <c r="Q5928" s="25"/>
      <c r="R5928" s="25"/>
      <c r="S5928" s="25"/>
      <c r="T5928" s="141"/>
      <c r="U5928" s="28"/>
    </row>
    <row r="5929" ht="15.75" customHeight="1">
      <c r="P5929" s="25"/>
      <c r="Q5929" s="25"/>
      <c r="R5929" s="25"/>
      <c r="S5929" s="25"/>
      <c r="T5929" s="141"/>
      <c r="U5929" s="28"/>
    </row>
    <row r="5930" ht="15.75" customHeight="1">
      <c r="P5930" s="25"/>
      <c r="Q5930" s="25"/>
      <c r="R5930" s="25"/>
      <c r="S5930" s="25"/>
      <c r="T5930" s="141"/>
      <c r="U5930" s="28"/>
    </row>
    <row r="5931" ht="15.75" customHeight="1">
      <c r="P5931" s="25"/>
      <c r="Q5931" s="25"/>
      <c r="R5931" s="25"/>
      <c r="S5931" s="25"/>
      <c r="T5931" s="141"/>
      <c r="U5931" s="28"/>
    </row>
    <row r="5932" ht="15.75" customHeight="1">
      <c r="P5932" s="25"/>
      <c r="Q5932" s="25"/>
      <c r="R5932" s="25"/>
      <c r="S5932" s="25"/>
      <c r="T5932" s="141"/>
      <c r="U5932" s="28"/>
    </row>
    <row r="5933" ht="15.75" customHeight="1">
      <c r="P5933" s="25"/>
      <c r="Q5933" s="25"/>
      <c r="R5933" s="25"/>
      <c r="S5933" s="25"/>
      <c r="T5933" s="141"/>
      <c r="U5933" s="28"/>
    </row>
    <row r="5934" ht="15.75" customHeight="1">
      <c r="P5934" s="25"/>
      <c r="Q5934" s="25"/>
      <c r="R5934" s="25"/>
      <c r="S5934" s="25"/>
      <c r="T5934" s="141"/>
      <c r="U5934" s="28"/>
    </row>
    <row r="5935" ht="15.75" customHeight="1">
      <c r="P5935" s="25"/>
      <c r="Q5935" s="25"/>
      <c r="R5935" s="25"/>
      <c r="S5935" s="25"/>
      <c r="T5935" s="141"/>
      <c r="U5935" s="28"/>
    </row>
    <row r="5936" ht="15.75" customHeight="1">
      <c r="P5936" s="25"/>
      <c r="Q5936" s="25"/>
      <c r="R5936" s="25"/>
      <c r="S5936" s="25"/>
      <c r="T5936" s="141"/>
      <c r="U5936" s="28"/>
    </row>
    <row r="5937" ht="15.75" customHeight="1">
      <c r="P5937" s="25"/>
      <c r="Q5937" s="25"/>
      <c r="R5937" s="25"/>
      <c r="S5937" s="25"/>
      <c r="T5937" s="141"/>
      <c r="U5937" s="28"/>
    </row>
    <row r="5938" ht="15.75" customHeight="1">
      <c r="P5938" s="25"/>
      <c r="Q5938" s="25"/>
      <c r="R5938" s="25"/>
      <c r="S5938" s="25"/>
      <c r="T5938" s="141"/>
      <c r="U5938" s="28"/>
    </row>
    <row r="5939" ht="15.75" customHeight="1">
      <c r="P5939" s="25"/>
      <c r="Q5939" s="25"/>
      <c r="R5939" s="25"/>
      <c r="S5939" s="25"/>
      <c r="T5939" s="141"/>
      <c r="U5939" s="28"/>
    </row>
    <row r="5940" ht="15.75" customHeight="1">
      <c r="P5940" s="25"/>
      <c r="Q5940" s="25"/>
      <c r="R5940" s="25"/>
      <c r="S5940" s="25"/>
      <c r="T5940" s="141"/>
      <c r="U5940" s="28"/>
    </row>
    <row r="5941" ht="15.75" customHeight="1">
      <c r="P5941" s="25"/>
      <c r="Q5941" s="25"/>
      <c r="R5941" s="25"/>
      <c r="S5941" s="25"/>
      <c r="T5941" s="141"/>
      <c r="U5941" s="28"/>
    </row>
    <row r="5942" ht="15.75" customHeight="1">
      <c r="P5942" s="25"/>
      <c r="Q5942" s="25"/>
      <c r="R5942" s="25"/>
      <c r="S5942" s="25"/>
      <c r="T5942" s="141"/>
      <c r="U5942" s="28"/>
    </row>
    <row r="5943" ht="15.75" customHeight="1">
      <c r="P5943" s="25"/>
      <c r="Q5943" s="25"/>
      <c r="R5943" s="25"/>
      <c r="S5943" s="25"/>
      <c r="T5943" s="141"/>
      <c r="U5943" s="28"/>
    </row>
    <row r="5944" ht="15.75" customHeight="1">
      <c r="P5944" s="25"/>
      <c r="Q5944" s="25"/>
      <c r="R5944" s="25"/>
      <c r="S5944" s="25"/>
      <c r="T5944" s="141"/>
      <c r="U5944" s="28"/>
    </row>
    <row r="5945" ht="15.75" customHeight="1">
      <c r="P5945" s="25"/>
      <c r="Q5945" s="25"/>
      <c r="R5945" s="25"/>
      <c r="S5945" s="25"/>
      <c r="T5945" s="141"/>
      <c r="U5945" s="28"/>
    </row>
    <row r="5946" ht="15.75" customHeight="1">
      <c r="P5946" s="25"/>
      <c r="Q5946" s="25"/>
      <c r="R5946" s="25"/>
      <c r="S5946" s="25"/>
      <c r="T5946" s="141"/>
      <c r="U5946" s="28"/>
    </row>
    <row r="5947" ht="15.75" customHeight="1">
      <c r="P5947" s="25"/>
      <c r="Q5947" s="25"/>
      <c r="R5947" s="25"/>
      <c r="S5947" s="25"/>
      <c r="T5947" s="141"/>
      <c r="U5947" s="28"/>
    </row>
    <row r="5948" ht="15.75" customHeight="1">
      <c r="P5948" s="25"/>
      <c r="Q5948" s="25"/>
      <c r="R5948" s="25"/>
      <c r="S5948" s="25"/>
      <c r="T5948" s="141"/>
      <c r="U5948" s="28"/>
    </row>
    <row r="5949" ht="15.75" customHeight="1">
      <c r="P5949" s="25"/>
      <c r="Q5949" s="25"/>
      <c r="R5949" s="25"/>
      <c r="S5949" s="25"/>
      <c r="T5949" s="141"/>
      <c r="U5949" s="28"/>
    </row>
    <row r="5950" ht="15.75" customHeight="1">
      <c r="P5950" s="25"/>
      <c r="Q5950" s="25"/>
      <c r="R5950" s="25"/>
      <c r="S5950" s="25"/>
      <c r="T5950" s="141"/>
      <c r="U5950" s="28"/>
    </row>
    <row r="5951" ht="15.75" customHeight="1">
      <c r="P5951" s="25"/>
      <c r="Q5951" s="25"/>
      <c r="R5951" s="25"/>
      <c r="S5951" s="25"/>
      <c r="T5951" s="141"/>
      <c r="U5951" s="28"/>
    </row>
    <row r="5952" ht="15.75" customHeight="1">
      <c r="P5952" s="25"/>
      <c r="Q5952" s="25"/>
      <c r="R5952" s="25"/>
      <c r="S5952" s="25"/>
      <c r="T5952" s="141"/>
      <c r="U5952" s="28"/>
    </row>
    <row r="5953" ht="15.75" customHeight="1">
      <c r="P5953" s="25"/>
      <c r="Q5953" s="25"/>
      <c r="R5953" s="25"/>
      <c r="S5953" s="25"/>
      <c r="T5953" s="141"/>
      <c r="U5953" s="28"/>
    </row>
    <row r="5954" ht="15.75" customHeight="1">
      <c r="P5954" s="25"/>
      <c r="Q5954" s="25"/>
      <c r="R5954" s="25"/>
      <c r="S5954" s="25"/>
      <c r="T5954" s="141"/>
      <c r="U5954" s="28"/>
    </row>
    <row r="5955" ht="15.75" customHeight="1">
      <c r="P5955" s="25"/>
      <c r="Q5955" s="25"/>
      <c r="R5955" s="25"/>
      <c r="S5955" s="25"/>
      <c r="T5955" s="141"/>
      <c r="U5955" s="28"/>
    </row>
    <row r="5956" ht="15.75" customHeight="1">
      <c r="P5956" s="25"/>
      <c r="Q5956" s="25"/>
      <c r="R5956" s="25"/>
      <c r="S5956" s="25"/>
      <c r="T5956" s="141"/>
      <c r="U5956" s="28"/>
    </row>
    <row r="5957" ht="15.75" customHeight="1">
      <c r="P5957" s="25"/>
      <c r="Q5957" s="25"/>
      <c r="R5957" s="25"/>
      <c r="S5957" s="25"/>
      <c r="T5957" s="141"/>
      <c r="U5957" s="28"/>
    </row>
    <row r="5958" ht="15.75" customHeight="1">
      <c r="P5958" s="25"/>
      <c r="Q5958" s="25"/>
      <c r="R5958" s="25"/>
      <c r="S5958" s="25"/>
      <c r="T5958" s="141"/>
      <c r="U5958" s="28"/>
    </row>
    <row r="5959" ht="15.75" customHeight="1">
      <c r="P5959" s="25"/>
      <c r="Q5959" s="25"/>
      <c r="R5959" s="25"/>
      <c r="S5959" s="25"/>
      <c r="T5959" s="141"/>
      <c r="U5959" s="28"/>
    </row>
    <row r="5960" ht="15.75" customHeight="1">
      <c r="P5960" s="25"/>
      <c r="Q5960" s="25"/>
      <c r="R5960" s="25"/>
      <c r="S5960" s="25"/>
      <c r="T5960" s="141"/>
      <c r="U5960" s="28"/>
    </row>
    <row r="5961" ht="15.75" customHeight="1">
      <c r="P5961" s="25"/>
      <c r="Q5961" s="25"/>
      <c r="R5961" s="25"/>
      <c r="S5961" s="25"/>
      <c r="T5961" s="141"/>
      <c r="U5961" s="28"/>
    </row>
    <row r="5962" ht="15.75" customHeight="1">
      <c r="P5962" s="25"/>
      <c r="Q5962" s="25"/>
      <c r="R5962" s="25"/>
      <c r="S5962" s="25"/>
      <c r="T5962" s="141"/>
      <c r="U5962" s="28"/>
    </row>
    <row r="5963" ht="15.75" customHeight="1">
      <c r="P5963" s="25"/>
      <c r="Q5963" s="25"/>
      <c r="R5963" s="25"/>
      <c r="S5963" s="25"/>
      <c r="T5963" s="141"/>
      <c r="U5963" s="28"/>
    </row>
    <row r="5964" ht="15.75" customHeight="1">
      <c r="P5964" s="25"/>
      <c r="Q5964" s="25"/>
      <c r="R5964" s="25"/>
      <c r="S5964" s="25"/>
      <c r="T5964" s="141"/>
      <c r="U5964" s="28"/>
    </row>
    <row r="5965" ht="15.75" customHeight="1">
      <c r="P5965" s="25"/>
      <c r="Q5965" s="25"/>
      <c r="R5965" s="25"/>
      <c r="S5965" s="25"/>
      <c r="T5965" s="141"/>
      <c r="U5965" s="28"/>
    </row>
    <row r="5966" ht="15.75" customHeight="1">
      <c r="P5966" s="25"/>
      <c r="Q5966" s="25"/>
      <c r="R5966" s="25"/>
      <c r="S5966" s="25"/>
      <c r="T5966" s="141"/>
      <c r="U5966" s="28"/>
    </row>
    <row r="5967" ht="15.75" customHeight="1">
      <c r="P5967" s="25"/>
      <c r="Q5967" s="25"/>
      <c r="R5967" s="25"/>
      <c r="S5967" s="25"/>
      <c r="T5967" s="141"/>
      <c r="U5967" s="28"/>
    </row>
    <row r="5968" ht="15.75" customHeight="1">
      <c r="P5968" s="25"/>
      <c r="Q5968" s="25"/>
      <c r="R5968" s="25"/>
      <c r="S5968" s="25"/>
      <c r="T5968" s="141"/>
      <c r="U5968" s="28"/>
    </row>
    <row r="5969" ht="15.75" customHeight="1">
      <c r="P5969" s="25"/>
      <c r="Q5969" s="25"/>
      <c r="R5969" s="25"/>
      <c r="S5969" s="25"/>
      <c r="T5969" s="141"/>
      <c r="U5969" s="28"/>
    </row>
    <row r="5970" ht="15.75" customHeight="1">
      <c r="P5970" s="25"/>
      <c r="Q5970" s="25"/>
      <c r="R5970" s="25"/>
      <c r="S5970" s="25"/>
      <c r="T5970" s="141"/>
      <c r="U5970" s="28"/>
    </row>
    <row r="5971" ht="15.75" customHeight="1">
      <c r="P5971" s="25"/>
      <c r="Q5971" s="25"/>
      <c r="R5971" s="25"/>
      <c r="S5971" s="25"/>
      <c r="T5971" s="141"/>
      <c r="U5971" s="28"/>
    </row>
    <row r="5972" ht="15.75" customHeight="1">
      <c r="P5972" s="25"/>
      <c r="Q5972" s="25"/>
      <c r="R5972" s="25"/>
      <c r="S5972" s="25"/>
      <c r="T5972" s="141"/>
      <c r="U5972" s="28"/>
    </row>
    <row r="5973" ht="15.75" customHeight="1">
      <c r="P5973" s="25"/>
      <c r="Q5973" s="25"/>
      <c r="R5973" s="25"/>
      <c r="S5973" s="25"/>
      <c r="T5973" s="141"/>
      <c r="U5973" s="28"/>
    </row>
    <row r="5974" ht="15.75" customHeight="1">
      <c r="P5974" s="25"/>
      <c r="Q5974" s="25"/>
      <c r="R5974" s="25"/>
      <c r="S5974" s="25"/>
      <c r="T5974" s="141"/>
      <c r="U5974" s="28"/>
    </row>
    <row r="5975" ht="15.75" customHeight="1">
      <c r="P5975" s="25"/>
      <c r="Q5975" s="25"/>
      <c r="R5975" s="25"/>
      <c r="S5975" s="25"/>
      <c r="T5975" s="141"/>
      <c r="U5975" s="28"/>
    </row>
    <row r="5976" ht="15.75" customHeight="1">
      <c r="P5976" s="25"/>
      <c r="Q5976" s="25"/>
      <c r="R5976" s="25"/>
      <c r="S5976" s="25"/>
      <c r="T5976" s="141"/>
      <c r="U5976" s="28"/>
    </row>
    <row r="5977" ht="15.75" customHeight="1">
      <c r="P5977" s="25"/>
      <c r="Q5977" s="25"/>
      <c r="R5977" s="25"/>
      <c r="S5977" s="25"/>
      <c r="T5977" s="141"/>
      <c r="U5977" s="28"/>
    </row>
    <row r="5978" ht="15.75" customHeight="1">
      <c r="P5978" s="25"/>
      <c r="Q5978" s="25"/>
      <c r="R5978" s="25"/>
      <c r="S5978" s="25"/>
      <c r="T5978" s="141"/>
      <c r="U5978" s="28"/>
    </row>
    <row r="5979" ht="15.75" customHeight="1">
      <c r="P5979" s="25"/>
      <c r="Q5979" s="25"/>
      <c r="R5979" s="25"/>
      <c r="S5979" s="25"/>
      <c r="T5979" s="141"/>
      <c r="U5979" s="28"/>
    </row>
    <row r="5980" ht="15.75" customHeight="1">
      <c r="P5980" s="25"/>
      <c r="Q5980" s="25"/>
      <c r="R5980" s="25"/>
      <c r="S5980" s="25"/>
      <c r="T5980" s="141"/>
      <c r="U5980" s="28"/>
    </row>
    <row r="5981" ht="15.75" customHeight="1">
      <c r="P5981" s="25"/>
      <c r="Q5981" s="25"/>
      <c r="R5981" s="25"/>
      <c r="S5981" s="25"/>
      <c r="T5981" s="141"/>
      <c r="U5981" s="28"/>
    </row>
    <row r="5982" ht="15.75" customHeight="1">
      <c r="P5982" s="25"/>
      <c r="Q5982" s="25"/>
      <c r="R5982" s="25"/>
      <c r="S5982" s="25"/>
      <c r="T5982" s="141"/>
      <c r="U5982" s="28"/>
    </row>
    <row r="5983" ht="15.75" customHeight="1">
      <c r="P5983" s="25"/>
      <c r="Q5983" s="25"/>
      <c r="R5983" s="25"/>
      <c r="S5983" s="25"/>
      <c r="T5983" s="141"/>
      <c r="U5983" s="28"/>
    </row>
    <row r="5984" ht="15.75" customHeight="1">
      <c r="P5984" s="25"/>
      <c r="Q5984" s="25"/>
      <c r="R5984" s="25"/>
      <c r="S5984" s="25"/>
      <c r="T5984" s="141"/>
      <c r="U5984" s="28"/>
    </row>
    <row r="5985" ht="15.75" customHeight="1">
      <c r="P5985" s="25"/>
      <c r="Q5985" s="25"/>
      <c r="R5985" s="25"/>
      <c r="S5985" s="25"/>
      <c r="T5985" s="141"/>
      <c r="U5985" s="28"/>
    </row>
    <row r="5986" ht="15.75" customHeight="1">
      <c r="P5986" s="25"/>
      <c r="Q5986" s="25"/>
      <c r="R5986" s="25"/>
      <c r="S5986" s="25"/>
      <c r="T5986" s="141"/>
      <c r="U5986" s="28"/>
    </row>
    <row r="5987" ht="15.75" customHeight="1">
      <c r="P5987" s="25"/>
      <c r="Q5987" s="25"/>
      <c r="R5987" s="25"/>
      <c r="S5987" s="25"/>
      <c r="T5987" s="141"/>
      <c r="U5987" s="28"/>
    </row>
    <row r="5988" ht="15.75" customHeight="1">
      <c r="P5988" s="25"/>
      <c r="Q5988" s="25"/>
      <c r="R5988" s="25"/>
      <c r="S5988" s="25"/>
      <c r="T5988" s="141"/>
      <c r="U5988" s="28"/>
    </row>
    <row r="5989" ht="15.75" customHeight="1">
      <c r="P5989" s="25"/>
      <c r="Q5989" s="25"/>
      <c r="R5989" s="25"/>
      <c r="S5989" s="25"/>
      <c r="T5989" s="141"/>
      <c r="U5989" s="28"/>
    </row>
    <row r="5990" ht="15.75" customHeight="1">
      <c r="P5990" s="25"/>
      <c r="Q5990" s="25"/>
      <c r="R5990" s="25"/>
      <c r="S5990" s="25"/>
      <c r="T5990" s="141"/>
      <c r="U5990" s="28"/>
    </row>
    <row r="5991" ht="15.75" customHeight="1">
      <c r="P5991" s="25"/>
      <c r="Q5991" s="25"/>
      <c r="R5991" s="25"/>
      <c r="S5991" s="25"/>
      <c r="T5991" s="141"/>
      <c r="U5991" s="28"/>
    </row>
    <row r="5992" ht="15.75" customHeight="1">
      <c r="P5992" s="25"/>
      <c r="Q5992" s="25"/>
      <c r="R5992" s="25"/>
      <c r="S5992" s="25"/>
      <c r="T5992" s="141"/>
      <c r="U5992" s="28"/>
    </row>
    <row r="5993" ht="15.75" customHeight="1">
      <c r="P5993" s="25"/>
      <c r="Q5993" s="25"/>
      <c r="R5993" s="25"/>
      <c r="S5993" s="25"/>
      <c r="T5993" s="141"/>
      <c r="U5993" s="28"/>
    </row>
    <row r="5994" ht="15.75" customHeight="1">
      <c r="P5994" s="25"/>
      <c r="Q5994" s="25"/>
      <c r="R5994" s="25"/>
      <c r="S5994" s="25"/>
      <c r="T5994" s="141"/>
      <c r="U5994" s="28"/>
    </row>
    <row r="5995" ht="15.75" customHeight="1">
      <c r="P5995" s="25"/>
      <c r="Q5995" s="25"/>
      <c r="R5995" s="25"/>
      <c r="S5995" s="25"/>
      <c r="T5995" s="141"/>
      <c r="U5995" s="28"/>
    </row>
    <row r="5996" ht="15.75" customHeight="1">
      <c r="P5996" s="25"/>
      <c r="Q5996" s="25"/>
      <c r="R5996" s="25"/>
      <c r="S5996" s="25"/>
      <c r="T5996" s="141"/>
      <c r="U5996" s="28"/>
    </row>
    <row r="5997" ht="15.75" customHeight="1">
      <c r="P5997" s="25"/>
      <c r="Q5997" s="25"/>
      <c r="R5997" s="25"/>
      <c r="S5997" s="25"/>
      <c r="T5997" s="141"/>
      <c r="U5997" s="28"/>
    </row>
    <row r="5998" ht="15.75" customHeight="1">
      <c r="P5998" s="25"/>
      <c r="Q5998" s="25"/>
      <c r="R5998" s="25"/>
      <c r="S5998" s="25"/>
      <c r="T5998" s="141"/>
      <c r="U5998" s="28"/>
    </row>
    <row r="5999" ht="15.75" customHeight="1">
      <c r="P5999" s="25"/>
      <c r="Q5999" s="25"/>
      <c r="R5999" s="25"/>
      <c r="S5999" s="25"/>
      <c r="T5999" s="141"/>
      <c r="U5999" s="28"/>
    </row>
    <row r="6000" ht="15.75" customHeight="1">
      <c r="P6000" s="25"/>
      <c r="Q6000" s="25"/>
      <c r="R6000" s="25"/>
      <c r="S6000" s="25"/>
      <c r="T6000" s="141"/>
      <c r="U6000" s="28"/>
    </row>
    <row r="6001" ht="15.75" customHeight="1">
      <c r="P6001" s="25"/>
      <c r="Q6001" s="25"/>
      <c r="R6001" s="25"/>
      <c r="S6001" s="25"/>
      <c r="T6001" s="141"/>
      <c r="U6001" s="28"/>
    </row>
    <row r="6002" ht="15.75" customHeight="1">
      <c r="P6002" s="25"/>
      <c r="Q6002" s="25"/>
      <c r="R6002" s="25"/>
      <c r="S6002" s="25"/>
      <c r="T6002" s="141"/>
      <c r="U6002" s="28"/>
    </row>
    <row r="6003" ht="15.75" customHeight="1">
      <c r="P6003" s="25"/>
      <c r="Q6003" s="25"/>
      <c r="R6003" s="25"/>
      <c r="S6003" s="25"/>
      <c r="T6003" s="141"/>
      <c r="U6003" s="28"/>
    </row>
    <row r="6004" ht="15.75" customHeight="1">
      <c r="P6004" s="25"/>
      <c r="Q6004" s="25"/>
      <c r="R6004" s="25"/>
      <c r="S6004" s="25"/>
      <c r="T6004" s="141"/>
      <c r="U6004" s="28"/>
    </row>
    <row r="6005" ht="15.75" customHeight="1">
      <c r="P6005" s="25"/>
      <c r="Q6005" s="25"/>
      <c r="R6005" s="25"/>
      <c r="S6005" s="25"/>
      <c r="T6005" s="141"/>
      <c r="U6005" s="28"/>
    </row>
    <row r="6006" ht="15.75" customHeight="1">
      <c r="P6006" s="25"/>
      <c r="Q6006" s="25"/>
      <c r="R6006" s="25"/>
      <c r="S6006" s="25"/>
      <c r="T6006" s="141"/>
      <c r="U6006" s="28"/>
    </row>
    <row r="6007" ht="15.75" customHeight="1">
      <c r="P6007" s="25"/>
      <c r="Q6007" s="25"/>
      <c r="R6007" s="25"/>
      <c r="S6007" s="25"/>
      <c r="T6007" s="141"/>
      <c r="U6007" s="28"/>
    </row>
    <row r="6008" ht="15.75" customHeight="1">
      <c r="P6008" s="25"/>
      <c r="Q6008" s="25"/>
      <c r="R6008" s="25"/>
      <c r="S6008" s="25"/>
      <c r="T6008" s="141"/>
      <c r="U6008" s="28"/>
    </row>
    <row r="6009" ht="15.75" customHeight="1">
      <c r="P6009" s="25"/>
      <c r="Q6009" s="25"/>
      <c r="R6009" s="25"/>
      <c r="S6009" s="25"/>
      <c r="T6009" s="141"/>
      <c r="U6009" s="28"/>
    </row>
    <row r="6010" ht="15.75" customHeight="1">
      <c r="P6010" s="25"/>
      <c r="Q6010" s="25"/>
      <c r="R6010" s="25"/>
      <c r="S6010" s="25"/>
      <c r="T6010" s="141"/>
      <c r="U6010" s="28"/>
    </row>
    <row r="6011" ht="15.75" customHeight="1">
      <c r="P6011" s="25"/>
      <c r="Q6011" s="25"/>
      <c r="R6011" s="25"/>
      <c r="S6011" s="25"/>
      <c r="T6011" s="141"/>
      <c r="U6011" s="28"/>
    </row>
    <row r="6012" ht="15.75" customHeight="1">
      <c r="P6012" s="25"/>
      <c r="Q6012" s="25"/>
      <c r="R6012" s="25"/>
      <c r="S6012" s="25"/>
      <c r="T6012" s="141"/>
      <c r="U6012" s="28"/>
    </row>
    <row r="6013" ht="15.75" customHeight="1">
      <c r="P6013" s="25"/>
      <c r="Q6013" s="25"/>
      <c r="R6013" s="25"/>
      <c r="S6013" s="25"/>
      <c r="T6013" s="141"/>
      <c r="U6013" s="28"/>
    </row>
    <row r="6014" ht="15.75" customHeight="1">
      <c r="P6014" s="25"/>
      <c r="Q6014" s="25"/>
      <c r="R6014" s="25"/>
      <c r="S6014" s="25"/>
      <c r="T6014" s="141"/>
      <c r="U6014" s="28"/>
    </row>
    <row r="6015" ht="15.75" customHeight="1">
      <c r="P6015" s="25"/>
      <c r="Q6015" s="25"/>
      <c r="R6015" s="25"/>
      <c r="S6015" s="25"/>
      <c r="T6015" s="141"/>
      <c r="U6015" s="28"/>
    </row>
    <row r="6016" ht="15.75" customHeight="1">
      <c r="P6016" s="25"/>
      <c r="Q6016" s="25"/>
      <c r="R6016" s="25"/>
      <c r="S6016" s="25"/>
      <c r="T6016" s="141"/>
      <c r="U6016" s="28"/>
    </row>
    <row r="6017" ht="15.75" customHeight="1">
      <c r="P6017" s="25"/>
      <c r="Q6017" s="25"/>
      <c r="R6017" s="25"/>
      <c r="S6017" s="25"/>
      <c r="T6017" s="141"/>
      <c r="U6017" s="28"/>
    </row>
    <row r="6018" ht="15.75" customHeight="1">
      <c r="P6018" s="25"/>
      <c r="Q6018" s="25"/>
      <c r="R6018" s="25"/>
      <c r="S6018" s="25"/>
      <c r="T6018" s="141"/>
      <c r="U6018" s="28"/>
    </row>
    <row r="6019" ht="15.75" customHeight="1">
      <c r="P6019" s="25"/>
      <c r="Q6019" s="25"/>
      <c r="R6019" s="25"/>
      <c r="S6019" s="25"/>
      <c r="T6019" s="141"/>
      <c r="U6019" s="28"/>
    </row>
    <row r="6020" ht="15.75" customHeight="1">
      <c r="P6020" s="25"/>
      <c r="Q6020" s="25"/>
      <c r="R6020" s="25"/>
      <c r="S6020" s="25"/>
      <c r="T6020" s="141"/>
      <c r="U6020" s="28"/>
    </row>
    <row r="6021" ht="15.75" customHeight="1">
      <c r="P6021" s="25"/>
      <c r="Q6021" s="25"/>
      <c r="R6021" s="25"/>
      <c r="S6021" s="25"/>
      <c r="T6021" s="141"/>
      <c r="U6021" s="28"/>
    </row>
    <row r="6022" ht="15.75" customHeight="1">
      <c r="P6022" s="25"/>
      <c r="Q6022" s="25"/>
      <c r="R6022" s="25"/>
      <c r="S6022" s="25"/>
      <c r="T6022" s="141"/>
      <c r="U6022" s="28"/>
    </row>
    <row r="6023" ht="15.75" customHeight="1">
      <c r="P6023" s="25"/>
      <c r="Q6023" s="25"/>
      <c r="R6023" s="25"/>
      <c r="S6023" s="25"/>
      <c r="T6023" s="141"/>
      <c r="U6023" s="28"/>
    </row>
    <row r="6024" ht="15.75" customHeight="1">
      <c r="P6024" s="25"/>
      <c r="Q6024" s="25"/>
      <c r="R6024" s="25"/>
      <c r="S6024" s="25"/>
      <c r="T6024" s="141"/>
      <c r="U6024" s="28"/>
    </row>
    <row r="6025" ht="15.75" customHeight="1">
      <c r="P6025" s="25"/>
      <c r="Q6025" s="25"/>
      <c r="R6025" s="25"/>
      <c r="S6025" s="25"/>
      <c r="T6025" s="141"/>
      <c r="U6025" s="28"/>
    </row>
    <row r="6026" ht="15.75" customHeight="1">
      <c r="P6026" s="25"/>
      <c r="Q6026" s="25"/>
      <c r="R6026" s="25"/>
      <c r="S6026" s="25"/>
      <c r="T6026" s="141"/>
      <c r="U6026" s="28"/>
    </row>
    <row r="6027" ht="15.75" customHeight="1">
      <c r="P6027" s="25"/>
      <c r="Q6027" s="25"/>
      <c r="R6027" s="25"/>
      <c r="S6027" s="25"/>
      <c r="T6027" s="141"/>
      <c r="U6027" s="28"/>
    </row>
    <row r="6028" ht="15.75" customHeight="1">
      <c r="P6028" s="25"/>
      <c r="Q6028" s="25"/>
      <c r="R6028" s="25"/>
      <c r="S6028" s="25"/>
      <c r="T6028" s="141"/>
      <c r="U6028" s="28"/>
    </row>
    <row r="6029" ht="15.75" customHeight="1">
      <c r="P6029" s="25"/>
      <c r="Q6029" s="25"/>
      <c r="R6029" s="25"/>
      <c r="S6029" s="25"/>
      <c r="T6029" s="141"/>
      <c r="U6029" s="28"/>
    </row>
    <row r="6030" ht="15.75" customHeight="1">
      <c r="P6030" s="25"/>
      <c r="Q6030" s="25"/>
      <c r="R6030" s="25"/>
      <c r="S6030" s="25"/>
      <c r="T6030" s="141"/>
      <c r="U6030" s="28"/>
    </row>
    <row r="6031" ht="15.75" customHeight="1">
      <c r="P6031" s="25"/>
      <c r="Q6031" s="25"/>
      <c r="R6031" s="25"/>
      <c r="S6031" s="25"/>
      <c r="T6031" s="141"/>
      <c r="U6031" s="28"/>
    </row>
    <row r="6032" ht="15.75" customHeight="1">
      <c r="P6032" s="25"/>
      <c r="Q6032" s="25"/>
      <c r="R6032" s="25"/>
      <c r="S6032" s="25"/>
      <c r="T6032" s="141"/>
      <c r="U6032" s="28"/>
    </row>
    <row r="6033" ht="15.75" customHeight="1">
      <c r="P6033" s="25"/>
      <c r="Q6033" s="25"/>
      <c r="R6033" s="25"/>
      <c r="S6033" s="25"/>
      <c r="T6033" s="141"/>
      <c r="U6033" s="28"/>
    </row>
    <row r="6034" ht="15.75" customHeight="1">
      <c r="P6034" s="25"/>
      <c r="Q6034" s="25"/>
      <c r="R6034" s="25"/>
      <c r="S6034" s="25"/>
      <c r="T6034" s="141"/>
      <c r="U6034" s="28"/>
    </row>
    <row r="6035" ht="15.75" customHeight="1">
      <c r="P6035" s="25"/>
      <c r="Q6035" s="25"/>
      <c r="R6035" s="25"/>
      <c r="S6035" s="25"/>
      <c r="T6035" s="141"/>
      <c r="U6035" s="28"/>
    </row>
    <row r="6036" ht="15.75" customHeight="1">
      <c r="P6036" s="25"/>
      <c r="Q6036" s="25"/>
      <c r="R6036" s="25"/>
      <c r="S6036" s="25"/>
      <c r="T6036" s="141"/>
      <c r="U6036" s="28"/>
    </row>
    <row r="6037" ht="15.75" customHeight="1">
      <c r="P6037" s="25"/>
      <c r="Q6037" s="25"/>
      <c r="R6037" s="25"/>
      <c r="S6037" s="25"/>
      <c r="T6037" s="141"/>
      <c r="U6037" s="28"/>
    </row>
    <row r="6038" ht="15.75" customHeight="1">
      <c r="P6038" s="25"/>
      <c r="Q6038" s="25"/>
      <c r="R6038" s="25"/>
      <c r="S6038" s="25"/>
      <c r="T6038" s="141"/>
      <c r="U6038" s="28"/>
    </row>
    <row r="6039" ht="15.75" customHeight="1">
      <c r="P6039" s="25"/>
      <c r="Q6039" s="25"/>
      <c r="R6039" s="25"/>
      <c r="S6039" s="25"/>
      <c r="T6039" s="141"/>
      <c r="U6039" s="28"/>
    </row>
    <row r="6040" ht="15.75" customHeight="1">
      <c r="P6040" s="25"/>
      <c r="Q6040" s="25"/>
      <c r="R6040" s="25"/>
      <c r="S6040" s="25"/>
      <c r="T6040" s="141"/>
      <c r="U6040" s="28"/>
    </row>
    <row r="6041" ht="15.75" customHeight="1">
      <c r="P6041" s="25"/>
      <c r="Q6041" s="25"/>
      <c r="R6041" s="25"/>
      <c r="S6041" s="25"/>
      <c r="T6041" s="141"/>
      <c r="U6041" s="28"/>
    </row>
    <row r="6042" ht="15.75" customHeight="1">
      <c r="P6042" s="25"/>
      <c r="Q6042" s="25"/>
      <c r="R6042" s="25"/>
      <c r="S6042" s="25"/>
      <c r="T6042" s="141"/>
      <c r="U6042" s="28"/>
    </row>
    <row r="6043" ht="15.75" customHeight="1">
      <c r="P6043" s="25"/>
      <c r="Q6043" s="25"/>
      <c r="R6043" s="25"/>
      <c r="S6043" s="25"/>
      <c r="T6043" s="141"/>
      <c r="U6043" s="28"/>
    </row>
    <row r="6044" ht="15.75" customHeight="1">
      <c r="P6044" s="25"/>
      <c r="Q6044" s="25"/>
      <c r="R6044" s="25"/>
      <c r="S6044" s="25"/>
      <c r="T6044" s="141"/>
      <c r="U6044" s="28"/>
    </row>
    <row r="6045" ht="15.75" customHeight="1">
      <c r="P6045" s="25"/>
      <c r="Q6045" s="25"/>
      <c r="R6045" s="25"/>
      <c r="S6045" s="25"/>
      <c r="T6045" s="141"/>
      <c r="U6045" s="28"/>
    </row>
    <row r="6046" ht="15.75" customHeight="1">
      <c r="P6046" s="25"/>
      <c r="Q6046" s="25"/>
      <c r="R6046" s="25"/>
      <c r="S6046" s="25"/>
      <c r="T6046" s="141"/>
      <c r="U6046" s="28"/>
    </row>
    <row r="6047" ht="15.75" customHeight="1">
      <c r="P6047" s="25"/>
      <c r="Q6047" s="25"/>
      <c r="R6047" s="25"/>
      <c r="S6047" s="25"/>
      <c r="T6047" s="141"/>
      <c r="U6047" s="28"/>
    </row>
    <row r="6048" ht="15.75" customHeight="1">
      <c r="P6048" s="25"/>
      <c r="Q6048" s="25"/>
      <c r="R6048" s="25"/>
      <c r="S6048" s="25"/>
      <c r="T6048" s="141"/>
      <c r="U6048" s="28"/>
    </row>
    <row r="6049" ht="15.75" customHeight="1">
      <c r="P6049" s="25"/>
      <c r="Q6049" s="25"/>
      <c r="R6049" s="25"/>
      <c r="S6049" s="25"/>
      <c r="T6049" s="141"/>
      <c r="U6049" s="28"/>
    </row>
    <row r="6050" ht="15.75" customHeight="1">
      <c r="P6050" s="25"/>
      <c r="Q6050" s="25"/>
      <c r="R6050" s="25"/>
      <c r="S6050" s="25"/>
      <c r="T6050" s="141"/>
      <c r="U6050" s="28"/>
    </row>
    <row r="6051" ht="15.75" customHeight="1">
      <c r="P6051" s="25"/>
      <c r="Q6051" s="25"/>
      <c r="R6051" s="25"/>
      <c r="S6051" s="25"/>
      <c r="T6051" s="141"/>
      <c r="U6051" s="28"/>
    </row>
    <row r="6052" ht="15.75" customHeight="1">
      <c r="P6052" s="25"/>
      <c r="Q6052" s="25"/>
      <c r="R6052" s="25"/>
      <c r="S6052" s="25"/>
      <c r="T6052" s="141"/>
      <c r="U6052" s="28"/>
    </row>
    <row r="6053" ht="15.75" customHeight="1">
      <c r="P6053" s="25"/>
      <c r="Q6053" s="25"/>
      <c r="R6053" s="25"/>
      <c r="S6053" s="25"/>
      <c r="T6053" s="141"/>
      <c r="U6053" s="28"/>
    </row>
    <row r="6054" ht="15.75" customHeight="1">
      <c r="P6054" s="25"/>
      <c r="Q6054" s="25"/>
      <c r="R6054" s="25"/>
      <c r="S6054" s="25"/>
      <c r="T6054" s="141"/>
      <c r="U6054" s="28"/>
    </row>
    <row r="6055" ht="15.75" customHeight="1">
      <c r="P6055" s="25"/>
      <c r="Q6055" s="25"/>
      <c r="R6055" s="25"/>
      <c r="S6055" s="25"/>
      <c r="T6055" s="141"/>
      <c r="U6055" s="28"/>
    </row>
    <row r="6056" ht="15.75" customHeight="1">
      <c r="P6056" s="25"/>
      <c r="Q6056" s="25"/>
      <c r="R6056" s="25"/>
      <c r="S6056" s="25"/>
      <c r="T6056" s="141"/>
      <c r="U6056" s="28"/>
    </row>
    <row r="6057" ht="15.75" customHeight="1">
      <c r="P6057" s="25"/>
      <c r="Q6057" s="25"/>
      <c r="R6057" s="25"/>
      <c r="S6057" s="25"/>
      <c r="T6057" s="141"/>
      <c r="U6057" s="28"/>
    </row>
    <row r="6058" ht="15.75" customHeight="1">
      <c r="P6058" s="25"/>
      <c r="Q6058" s="25"/>
      <c r="R6058" s="25"/>
      <c r="S6058" s="25"/>
      <c r="T6058" s="141"/>
      <c r="U6058" s="28"/>
    </row>
    <row r="6059" ht="15.75" customHeight="1">
      <c r="P6059" s="25"/>
      <c r="Q6059" s="25"/>
      <c r="R6059" s="25"/>
      <c r="S6059" s="25"/>
      <c r="T6059" s="141"/>
      <c r="U6059" s="28"/>
    </row>
    <row r="6060" ht="15.75" customHeight="1">
      <c r="P6060" s="25"/>
      <c r="Q6060" s="25"/>
      <c r="R6060" s="25"/>
      <c r="S6060" s="25"/>
      <c r="T6060" s="141"/>
      <c r="U6060" s="28"/>
    </row>
    <row r="6061" ht="15.75" customHeight="1">
      <c r="P6061" s="25"/>
      <c r="Q6061" s="25"/>
      <c r="R6061" s="25"/>
      <c r="S6061" s="25"/>
      <c r="T6061" s="141"/>
      <c r="U6061" s="28"/>
    </row>
    <row r="6062" ht="15.75" customHeight="1">
      <c r="P6062" s="25"/>
      <c r="Q6062" s="25"/>
      <c r="R6062" s="25"/>
      <c r="S6062" s="25"/>
      <c r="T6062" s="141"/>
      <c r="U6062" s="28"/>
    </row>
    <row r="6063" ht="15.75" customHeight="1">
      <c r="P6063" s="25"/>
      <c r="Q6063" s="25"/>
      <c r="R6063" s="25"/>
      <c r="S6063" s="25"/>
      <c r="T6063" s="141"/>
      <c r="U6063" s="28"/>
    </row>
    <row r="6064" ht="15.75" customHeight="1">
      <c r="P6064" s="25"/>
      <c r="Q6064" s="25"/>
      <c r="R6064" s="25"/>
      <c r="S6064" s="25"/>
      <c r="T6064" s="141"/>
      <c r="U6064" s="28"/>
    </row>
    <row r="6065" ht="15.75" customHeight="1">
      <c r="P6065" s="25"/>
      <c r="Q6065" s="25"/>
      <c r="R6065" s="25"/>
      <c r="S6065" s="25"/>
      <c r="T6065" s="141"/>
      <c r="U6065" s="28"/>
    </row>
    <row r="6066" ht="15.75" customHeight="1">
      <c r="P6066" s="25"/>
      <c r="Q6066" s="25"/>
      <c r="R6066" s="25"/>
      <c r="S6066" s="25"/>
      <c r="T6066" s="141"/>
      <c r="U6066" s="28"/>
    </row>
    <row r="6067" ht="15.75" customHeight="1">
      <c r="P6067" s="25"/>
      <c r="Q6067" s="25"/>
      <c r="R6067" s="25"/>
      <c r="S6067" s="25"/>
      <c r="T6067" s="141"/>
      <c r="U6067" s="28"/>
    </row>
    <row r="6068" ht="15.75" customHeight="1">
      <c r="P6068" s="25"/>
      <c r="Q6068" s="25"/>
      <c r="R6068" s="25"/>
      <c r="S6068" s="25"/>
      <c r="T6068" s="141"/>
      <c r="U6068" s="28"/>
    </row>
    <row r="6069" ht="15.75" customHeight="1">
      <c r="P6069" s="25"/>
      <c r="Q6069" s="25"/>
      <c r="R6069" s="25"/>
      <c r="S6069" s="25"/>
      <c r="T6069" s="141"/>
      <c r="U6069" s="28"/>
    </row>
    <row r="6070" ht="15.75" customHeight="1">
      <c r="P6070" s="25"/>
      <c r="Q6070" s="25"/>
      <c r="R6070" s="25"/>
      <c r="S6070" s="25"/>
      <c r="T6070" s="141"/>
      <c r="U6070" s="28"/>
    </row>
    <row r="6071" ht="15.75" customHeight="1">
      <c r="P6071" s="25"/>
      <c r="Q6071" s="25"/>
      <c r="R6071" s="25"/>
      <c r="S6071" s="25"/>
      <c r="T6071" s="141"/>
      <c r="U6071" s="28"/>
    </row>
    <row r="6072" ht="15.75" customHeight="1">
      <c r="P6072" s="25"/>
      <c r="Q6072" s="25"/>
      <c r="R6072" s="25"/>
      <c r="S6072" s="25"/>
      <c r="T6072" s="141"/>
      <c r="U6072" s="28"/>
    </row>
    <row r="6073" ht="15.75" customHeight="1">
      <c r="P6073" s="25"/>
      <c r="Q6073" s="25"/>
      <c r="R6073" s="25"/>
      <c r="S6073" s="25"/>
      <c r="T6073" s="141"/>
      <c r="U6073" s="28"/>
    </row>
    <row r="6074" ht="15.75" customHeight="1">
      <c r="P6074" s="25"/>
      <c r="Q6074" s="25"/>
      <c r="R6074" s="25"/>
      <c r="S6074" s="25"/>
      <c r="T6074" s="141"/>
      <c r="U6074" s="28"/>
    </row>
    <row r="6075" ht="15.75" customHeight="1">
      <c r="P6075" s="25"/>
      <c r="Q6075" s="25"/>
      <c r="R6075" s="25"/>
      <c r="S6075" s="25"/>
      <c r="T6075" s="141"/>
      <c r="U6075" s="28"/>
    </row>
    <row r="6076" ht="15.75" customHeight="1">
      <c r="P6076" s="25"/>
      <c r="Q6076" s="25"/>
      <c r="R6076" s="25"/>
      <c r="S6076" s="25"/>
      <c r="T6076" s="141"/>
      <c r="U6076" s="28"/>
    </row>
    <row r="6077" ht="15.75" customHeight="1">
      <c r="P6077" s="25"/>
      <c r="Q6077" s="25"/>
      <c r="R6077" s="25"/>
      <c r="S6077" s="25"/>
      <c r="T6077" s="141"/>
      <c r="U6077" s="28"/>
    </row>
    <row r="6078" ht="15.75" customHeight="1">
      <c r="P6078" s="25"/>
      <c r="Q6078" s="25"/>
      <c r="R6078" s="25"/>
      <c r="S6078" s="25"/>
      <c r="T6078" s="141"/>
      <c r="U6078" s="28"/>
    </row>
    <row r="6079" ht="15.75" customHeight="1">
      <c r="P6079" s="25"/>
      <c r="Q6079" s="25"/>
      <c r="R6079" s="25"/>
      <c r="S6079" s="25"/>
      <c r="T6079" s="141"/>
      <c r="U6079" s="28"/>
    </row>
    <row r="6080" ht="15.75" customHeight="1">
      <c r="P6080" s="25"/>
      <c r="Q6080" s="25"/>
      <c r="R6080" s="25"/>
      <c r="S6080" s="25"/>
      <c r="T6080" s="141"/>
      <c r="U6080" s="28"/>
    </row>
    <row r="6081" ht="15.75" customHeight="1">
      <c r="P6081" s="25"/>
      <c r="Q6081" s="25"/>
      <c r="R6081" s="25"/>
      <c r="S6081" s="25"/>
      <c r="T6081" s="141"/>
      <c r="U6081" s="28"/>
    </row>
    <row r="6082" ht="15.75" customHeight="1">
      <c r="P6082" s="25"/>
      <c r="Q6082" s="25"/>
      <c r="R6082" s="25"/>
      <c r="S6082" s="25"/>
      <c r="T6082" s="141"/>
      <c r="U6082" s="28"/>
    </row>
    <row r="6083" ht="15.75" customHeight="1">
      <c r="P6083" s="25"/>
      <c r="Q6083" s="25"/>
      <c r="R6083" s="25"/>
      <c r="S6083" s="25"/>
      <c r="T6083" s="141"/>
      <c r="U6083" s="28"/>
    </row>
    <row r="6084" ht="15.75" customHeight="1">
      <c r="P6084" s="25"/>
      <c r="Q6084" s="25"/>
      <c r="R6084" s="25"/>
      <c r="S6084" s="25"/>
      <c r="T6084" s="141"/>
      <c r="U6084" s="28"/>
    </row>
    <row r="6085" ht="15.75" customHeight="1">
      <c r="P6085" s="25"/>
      <c r="Q6085" s="25"/>
      <c r="R6085" s="25"/>
      <c r="S6085" s="25"/>
      <c r="T6085" s="141"/>
      <c r="U6085" s="28"/>
    </row>
    <row r="6086" ht="15.75" customHeight="1">
      <c r="P6086" s="25"/>
      <c r="Q6086" s="25"/>
      <c r="R6086" s="25"/>
      <c r="S6086" s="25"/>
      <c r="T6086" s="141"/>
      <c r="U6086" s="28"/>
    </row>
    <row r="6087" ht="15.75" customHeight="1">
      <c r="P6087" s="25"/>
      <c r="Q6087" s="25"/>
      <c r="R6087" s="25"/>
      <c r="S6087" s="25"/>
      <c r="T6087" s="141"/>
      <c r="U6087" s="28"/>
    </row>
    <row r="6088" ht="15.75" customHeight="1">
      <c r="P6088" s="25"/>
      <c r="Q6088" s="25"/>
      <c r="R6088" s="25"/>
      <c r="S6088" s="25"/>
      <c r="T6088" s="141"/>
      <c r="U6088" s="28"/>
    </row>
    <row r="6089" ht="15.75" customHeight="1">
      <c r="P6089" s="25"/>
      <c r="Q6089" s="25"/>
      <c r="R6089" s="25"/>
      <c r="S6089" s="25"/>
      <c r="T6089" s="141"/>
      <c r="U6089" s="28"/>
    </row>
    <row r="6090" ht="15.75" customHeight="1">
      <c r="P6090" s="25"/>
      <c r="Q6090" s="25"/>
      <c r="R6090" s="25"/>
      <c r="S6090" s="25"/>
      <c r="T6090" s="141"/>
      <c r="U6090" s="28"/>
    </row>
    <row r="6091" ht="15.75" customHeight="1">
      <c r="P6091" s="25"/>
      <c r="Q6091" s="25"/>
      <c r="R6091" s="25"/>
      <c r="S6091" s="25"/>
      <c r="T6091" s="141"/>
      <c r="U6091" s="28"/>
    </row>
    <row r="6092" ht="15.75" customHeight="1">
      <c r="P6092" s="25"/>
      <c r="Q6092" s="25"/>
      <c r="R6092" s="25"/>
      <c r="S6092" s="25"/>
      <c r="T6092" s="141"/>
      <c r="U6092" s="28"/>
    </row>
    <row r="6093" ht="15.75" customHeight="1">
      <c r="P6093" s="25"/>
      <c r="Q6093" s="25"/>
      <c r="R6093" s="25"/>
      <c r="S6093" s="25"/>
      <c r="T6093" s="141"/>
      <c r="U6093" s="28"/>
    </row>
    <row r="6094" ht="15.75" customHeight="1">
      <c r="P6094" s="25"/>
      <c r="Q6094" s="25"/>
      <c r="R6094" s="25"/>
      <c r="S6094" s="25"/>
      <c r="T6094" s="141"/>
      <c r="U6094" s="28"/>
    </row>
    <row r="6095" ht="15.75" customHeight="1">
      <c r="P6095" s="25"/>
      <c r="Q6095" s="25"/>
      <c r="R6095" s="25"/>
      <c r="S6095" s="25"/>
      <c r="T6095" s="141"/>
      <c r="U6095" s="28"/>
    </row>
    <row r="6096" ht="15.75" customHeight="1">
      <c r="P6096" s="25"/>
      <c r="Q6096" s="25"/>
      <c r="R6096" s="25"/>
      <c r="S6096" s="25"/>
      <c r="T6096" s="141"/>
      <c r="U6096" s="28"/>
    </row>
    <row r="6097" ht="15.75" customHeight="1">
      <c r="P6097" s="25"/>
      <c r="Q6097" s="25"/>
      <c r="R6097" s="25"/>
      <c r="S6097" s="25"/>
      <c r="T6097" s="141"/>
      <c r="U6097" s="28"/>
    </row>
    <row r="6098" ht="15.75" customHeight="1">
      <c r="P6098" s="25"/>
      <c r="Q6098" s="25"/>
      <c r="R6098" s="25"/>
      <c r="S6098" s="25"/>
      <c r="T6098" s="141"/>
      <c r="U6098" s="28"/>
    </row>
    <row r="6099" ht="15.75" customHeight="1">
      <c r="P6099" s="25"/>
      <c r="Q6099" s="25"/>
      <c r="R6099" s="25"/>
      <c r="S6099" s="25"/>
      <c r="T6099" s="141"/>
      <c r="U6099" s="28"/>
    </row>
    <row r="6100" ht="15.75" customHeight="1">
      <c r="P6100" s="25"/>
      <c r="Q6100" s="25"/>
      <c r="R6100" s="25"/>
      <c r="S6100" s="25"/>
      <c r="T6100" s="141"/>
      <c r="U6100" s="28"/>
    </row>
    <row r="6101" ht="15.75" customHeight="1">
      <c r="P6101" s="25"/>
      <c r="Q6101" s="25"/>
      <c r="R6101" s="25"/>
      <c r="S6101" s="25"/>
      <c r="T6101" s="141"/>
      <c r="U6101" s="28"/>
    </row>
    <row r="6102" ht="15.75" customHeight="1">
      <c r="P6102" s="25"/>
      <c r="Q6102" s="25"/>
      <c r="R6102" s="25"/>
      <c r="S6102" s="25"/>
      <c r="T6102" s="141"/>
      <c r="U6102" s="28"/>
    </row>
    <row r="6103" ht="15.75" customHeight="1">
      <c r="P6103" s="25"/>
      <c r="Q6103" s="25"/>
      <c r="R6103" s="25"/>
      <c r="S6103" s="25"/>
      <c r="T6103" s="141"/>
      <c r="U6103" s="28"/>
    </row>
    <row r="6104" ht="15.75" customHeight="1">
      <c r="P6104" s="25"/>
      <c r="Q6104" s="25"/>
      <c r="R6104" s="25"/>
      <c r="S6104" s="25"/>
      <c r="T6104" s="141"/>
      <c r="U6104" s="28"/>
    </row>
    <row r="6105" ht="15.75" customHeight="1">
      <c r="P6105" s="25"/>
      <c r="Q6105" s="25"/>
      <c r="R6105" s="25"/>
      <c r="S6105" s="25"/>
      <c r="T6105" s="141"/>
      <c r="U6105" s="28"/>
    </row>
    <row r="6106" ht="15.75" customHeight="1">
      <c r="P6106" s="25"/>
      <c r="Q6106" s="25"/>
      <c r="R6106" s="25"/>
      <c r="S6106" s="25"/>
      <c r="T6106" s="141"/>
      <c r="U6106" s="28"/>
    </row>
    <row r="6107" ht="15.75" customHeight="1">
      <c r="P6107" s="25"/>
      <c r="Q6107" s="25"/>
      <c r="R6107" s="25"/>
      <c r="S6107" s="25"/>
      <c r="T6107" s="141"/>
      <c r="U6107" s="28"/>
    </row>
    <row r="6108" ht="15.75" customHeight="1">
      <c r="P6108" s="25"/>
      <c r="Q6108" s="25"/>
      <c r="R6108" s="25"/>
      <c r="S6108" s="25"/>
      <c r="T6108" s="141"/>
      <c r="U6108" s="28"/>
    </row>
    <row r="6109" ht="15.75" customHeight="1">
      <c r="P6109" s="25"/>
      <c r="Q6109" s="25"/>
      <c r="R6109" s="25"/>
      <c r="S6109" s="25"/>
      <c r="T6109" s="141"/>
      <c r="U6109" s="28"/>
    </row>
    <row r="6110" ht="15.75" customHeight="1">
      <c r="P6110" s="25"/>
      <c r="Q6110" s="25"/>
      <c r="R6110" s="25"/>
      <c r="S6110" s="25"/>
      <c r="T6110" s="141"/>
      <c r="U6110" s="28"/>
    </row>
    <row r="6111" ht="15.75" customHeight="1">
      <c r="P6111" s="25"/>
      <c r="Q6111" s="25"/>
      <c r="R6111" s="25"/>
      <c r="S6111" s="25"/>
      <c r="T6111" s="141"/>
      <c r="U6111" s="28"/>
    </row>
    <row r="6112" ht="15.75" customHeight="1">
      <c r="P6112" s="25"/>
      <c r="Q6112" s="25"/>
      <c r="R6112" s="25"/>
      <c r="S6112" s="25"/>
      <c r="T6112" s="141"/>
      <c r="U6112" s="28"/>
    </row>
    <row r="6113" ht="15.75" customHeight="1">
      <c r="P6113" s="25"/>
      <c r="Q6113" s="25"/>
      <c r="R6113" s="25"/>
      <c r="S6113" s="25"/>
      <c r="T6113" s="141"/>
      <c r="U6113" s="28"/>
    </row>
    <row r="6114" ht="15.75" customHeight="1">
      <c r="P6114" s="25"/>
      <c r="Q6114" s="25"/>
      <c r="R6114" s="25"/>
      <c r="S6114" s="25"/>
      <c r="T6114" s="141"/>
      <c r="U6114" s="28"/>
    </row>
    <row r="6115" ht="15.75" customHeight="1">
      <c r="P6115" s="25"/>
      <c r="Q6115" s="25"/>
      <c r="R6115" s="25"/>
      <c r="S6115" s="25"/>
      <c r="T6115" s="141"/>
      <c r="U6115" s="28"/>
    </row>
    <row r="6116" ht="15.75" customHeight="1">
      <c r="P6116" s="25"/>
      <c r="Q6116" s="25"/>
      <c r="R6116" s="25"/>
      <c r="S6116" s="25"/>
      <c r="T6116" s="141"/>
      <c r="U6116" s="28"/>
    </row>
    <row r="6117" ht="15.75" customHeight="1">
      <c r="P6117" s="25"/>
      <c r="Q6117" s="25"/>
      <c r="R6117" s="25"/>
      <c r="S6117" s="25"/>
      <c r="T6117" s="141"/>
      <c r="U6117" s="28"/>
    </row>
    <row r="6118" ht="15.75" customHeight="1">
      <c r="P6118" s="25"/>
      <c r="Q6118" s="25"/>
      <c r="R6118" s="25"/>
      <c r="S6118" s="25"/>
      <c r="T6118" s="141"/>
      <c r="U6118" s="28"/>
    </row>
    <row r="6119" ht="15.75" customHeight="1">
      <c r="P6119" s="25"/>
      <c r="Q6119" s="25"/>
      <c r="R6119" s="25"/>
      <c r="S6119" s="25"/>
      <c r="T6119" s="141"/>
      <c r="U6119" s="28"/>
    </row>
    <row r="6120" ht="15.75" customHeight="1">
      <c r="P6120" s="25"/>
      <c r="Q6120" s="25"/>
      <c r="R6120" s="25"/>
      <c r="S6120" s="25"/>
      <c r="T6120" s="141"/>
      <c r="U6120" s="28"/>
    </row>
    <row r="6121" ht="15.75" customHeight="1">
      <c r="P6121" s="25"/>
      <c r="Q6121" s="25"/>
      <c r="R6121" s="25"/>
      <c r="S6121" s="25"/>
      <c r="T6121" s="141"/>
      <c r="U6121" s="28"/>
    </row>
    <row r="6122" ht="15.75" customHeight="1">
      <c r="P6122" s="25"/>
      <c r="Q6122" s="25"/>
      <c r="R6122" s="25"/>
      <c r="S6122" s="25"/>
      <c r="T6122" s="141"/>
      <c r="U6122" s="28"/>
    </row>
    <row r="6123" ht="15.75" customHeight="1">
      <c r="P6123" s="25"/>
      <c r="Q6123" s="25"/>
      <c r="R6123" s="25"/>
      <c r="S6123" s="25"/>
      <c r="T6123" s="141"/>
      <c r="U6123" s="28"/>
    </row>
    <row r="6124" ht="15.75" customHeight="1">
      <c r="P6124" s="25"/>
      <c r="Q6124" s="25"/>
      <c r="R6124" s="25"/>
      <c r="S6124" s="25"/>
      <c r="T6124" s="141"/>
      <c r="U6124" s="28"/>
    </row>
    <row r="6125" ht="15.75" customHeight="1">
      <c r="P6125" s="25"/>
      <c r="Q6125" s="25"/>
      <c r="R6125" s="25"/>
      <c r="S6125" s="25"/>
      <c r="T6125" s="141"/>
      <c r="U6125" s="28"/>
    </row>
    <row r="6126" ht="15.75" customHeight="1">
      <c r="P6126" s="25"/>
      <c r="Q6126" s="25"/>
      <c r="R6126" s="25"/>
      <c r="S6126" s="25"/>
      <c r="T6126" s="141"/>
      <c r="U6126" s="28"/>
    </row>
    <row r="6127" ht="15.75" customHeight="1">
      <c r="P6127" s="25"/>
      <c r="Q6127" s="25"/>
      <c r="R6127" s="25"/>
      <c r="S6127" s="25"/>
      <c r="T6127" s="141"/>
      <c r="U6127" s="28"/>
    </row>
    <row r="6128" ht="15.75" customHeight="1">
      <c r="P6128" s="25"/>
      <c r="Q6128" s="25"/>
      <c r="R6128" s="25"/>
      <c r="S6128" s="25"/>
      <c r="T6128" s="141"/>
      <c r="U6128" s="28"/>
    </row>
    <row r="6129" ht="15.75" customHeight="1">
      <c r="P6129" s="25"/>
      <c r="Q6129" s="25"/>
      <c r="R6129" s="25"/>
      <c r="S6129" s="25"/>
      <c r="T6129" s="141"/>
      <c r="U6129" s="28"/>
    </row>
    <row r="6130" ht="15.75" customHeight="1">
      <c r="P6130" s="25"/>
      <c r="Q6130" s="25"/>
      <c r="R6130" s="25"/>
      <c r="S6130" s="25"/>
      <c r="T6130" s="141"/>
      <c r="U6130" s="28"/>
    </row>
    <row r="6131" ht="15.75" customHeight="1">
      <c r="P6131" s="25"/>
      <c r="Q6131" s="25"/>
      <c r="R6131" s="25"/>
      <c r="S6131" s="25"/>
      <c r="T6131" s="141"/>
      <c r="U6131" s="28"/>
    </row>
    <row r="6132" ht="15.75" customHeight="1">
      <c r="P6132" s="25"/>
      <c r="Q6132" s="25"/>
      <c r="R6132" s="25"/>
      <c r="S6132" s="25"/>
      <c r="T6132" s="141"/>
      <c r="U6132" s="28"/>
    </row>
    <row r="6133" ht="15.75" customHeight="1">
      <c r="P6133" s="25"/>
      <c r="Q6133" s="25"/>
      <c r="R6133" s="25"/>
      <c r="S6133" s="25"/>
      <c r="T6133" s="141"/>
      <c r="U6133" s="28"/>
    </row>
    <row r="6134" ht="15.75" customHeight="1">
      <c r="P6134" s="25"/>
      <c r="Q6134" s="25"/>
      <c r="R6134" s="25"/>
      <c r="S6134" s="25"/>
      <c r="T6134" s="141"/>
      <c r="U6134" s="28"/>
    </row>
    <row r="6135" ht="15.75" customHeight="1">
      <c r="P6135" s="25"/>
      <c r="Q6135" s="25"/>
      <c r="R6135" s="25"/>
      <c r="S6135" s="25"/>
      <c r="T6135" s="141"/>
      <c r="U6135" s="28"/>
    </row>
    <row r="6136" ht="15.75" customHeight="1">
      <c r="P6136" s="25"/>
      <c r="Q6136" s="25"/>
      <c r="R6136" s="25"/>
      <c r="S6136" s="25"/>
      <c r="T6136" s="141"/>
      <c r="U6136" s="28"/>
    </row>
    <row r="6137" ht="15.75" customHeight="1">
      <c r="P6137" s="25"/>
      <c r="Q6137" s="25"/>
      <c r="R6137" s="25"/>
      <c r="S6137" s="25"/>
      <c r="T6137" s="141"/>
      <c r="U6137" s="28"/>
    </row>
    <row r="6138" ht="15.75" customHeight="1">
      <c r="P6138" s="25"/>
      <c r="Q6138" s="25"/>
      <c r="R6138" s="25"/>
      <c r="S6138" s="25"/>
      <c r="T6138" s="141"/>
      <c r="U6138" s="28"/>
    </row>
    <row r="6139" ht="15.75" customHeight="1">
      <c r="P6139" s="25"/>
      <c r="Q6139" s="25"/>
      <c r="R6139" s="25"/>
      <c r="S6139" s="25"/>
      <c r="T6139" s="141"/>
      <c r="U6139" s="28"/>
    </row>
    <row r="6140" ht="15.75" customHeight="1">
      <c r="P6140" s="25"/>
      <c r="Q6140" s="25"/>
      <c r="R6140" s="25"/>
      <c r="S6140" s="25"/>
      <c r="T6140" s="141"/>
      <c r="U6140" s="28"/>
    </row>
    <row r="6141" ht="15.75" customHeight="1">
      <c r="P6141" s="25"/>
      <c r="Q6141" s="25"/>
      <c r="R6141" s="25"/>
      <c r="S6141" s="25"/>
      <c r="T6141" s="141"/>
      <c r="U6141" s="28"/>
    </row>
    <row r="6142" ht="15.75" customHeight="1">
      <c r="P6142" s="25"/>
      <c r="Q6142" s="25"/>
      <c r="R6142" s="25"/>
      <c r="S6142" s="25"/>
      <c r="T6142" s="141"/>
      <c r="U6142" s="28"/>
    </row>
    <row r="6143" ht="15.75" customHeight="1">
      <c r="P6143" s="25"/>
      <c r="Q6143" s="25"/>
      <c r="R6143" s="25"/>
      <c r="S6143" s="25"/>
      <c r="T6143" s="141"/>
      <c r="U6143" s="28"/>
    </row>
    <row r="6144" ht="15.75" customHeight="1">
      <c r="P6144" s="25"/>
      <c r="Q6144" s="25"/>
      <c r="R6144" s="25"/>
      <c r="S6144" s="25"/>
      <c r="T6144" s="141"/>
      <c r="U6144" s="28"/>
    </row>
    <row r="6145" ht="15.75" customHeight="1">
      <c r="P6145" s="25"/>
      <c r="Q6145" s="25"/>
      <c r="R6145" s="25"/>
      <c r="S6145" s="25"/>
      <c r="T6145" s="141"/>
      <c r="U6145" s="28"/>
    </row>
    <row r="6146" ht="15.75" customHeight="1">
      <c r="P6146" s="25"/>
      <c r="Q6146" s="25"/>
      <c r="R6146" s="25"/>
      <c r="S6146" s="25"/>
      <c r="T6146" s="141"/>
      <c r="U6146" s="28"/>
    </row>
    <row r="6147" ht="15.75" customHeight="1">
      <c r="P6147" s="25"/>
      <c r="Q6147" s="25"/>
      <c r="R6147" s="25"/>
      <c r="S6147" s="25"/>
      <c r="T6147" s="141"/>
      <c r="U6147" s="28"/>
    </row>
    <row r="6148" ht="15.75" customHeight="1">
      <c r="P6148" s="25"/>
      <c r="Q6148" s="25"/>
      <c r="R6148" s="25"/>
      <c r="S6148" s="25"/>
      <c r="T6148" s="141"/>
      <c r="U6148" s="28"/>
    </row>
    <row r="6149" ht="15.75" customHeight="1">
      <c r="P6149" s="25"/>
      <c r="Q6149" s="25"/>
      <c r="R6149" s="25"/>
      <c r="S6149" s="25"/>
      <c r="T6149" s="141"/>
      <c r="U6149" s="28"/>
    </row>
    <row r="6150" ht="15.75" customHeight="1">
      <c r="P6150" s="25"/>
      <c r="Q6150" s="25"/>
      <c r="R6150" s="25"/>
      <c r="S6150" s="25"/>
      <c r="T6150" s="141"/>
      <c r="U6150" s="28"/>
    </row>
    <row r="6151" ht="15.75" customHeight="1">
      <c r="P6151" s="25"/>
      <c r="Q6151" s="25"/>
      <c r="R6151" s="25"/>
      <c r="S6151" s="25"/>
      <c r="T6151" s="141"/>
      <c r="U6151" s="28"/>
    </row>
    <row r="6152" ht="15.75" customHeight="1">
      <c r="P6152" s="25"/>
      <c r="Q6152" s="25"/>
      <c r="R6152" s="25"/>
      <c r="S6152" s="25"/>
      <c r="T6152" s="141"/>
      <c r="U6152" s="28"/>
    </row>
    <row r="6153" ht="15.75" customHeight="1">
      <c r="P6153" s="25"/>
      <c r="Q6153" s="25"/>
      <c r="R6153" s="25"/>
      <c r="S6153" s="25"/>
      <c r="T6153" s="141"/>
      <c r="U6153" s="28"/>
    </row>
    <row r="6154" ht="15.75" customHeight="1">
      <c r="P6154" s="25"/>
      <c r="Q6154" s="25"/>
      <c r="R6154" s="25"/>
      <c r="S6154" s="25"/>
      <c r="T6154" s="141"/>
      <c r="U6154" s="28"/>
    </row>
    <row r="6155" ht="15.75" customHeight="1">
      <c r="P6155" s="25"/>
      <c r="Q6155" s="25"/>
      <c r="R6155" s="25"/>
      <c r="S6155" s="25"/>
      <c r="T6155" s="141"/>
      <c r="U6155" s="28"/>
    </row>
    <row r="6156" ht="15.75" customHeight="1">
      <c r="P6156" s="25"/>
      <c r="Q6156" s="25"/>
      <c r="R6156" s="25"/>
      <c r="S6156" s="25"/>
      <c r="T6156" s="141"/>
      <c r="U6156" s="28"/>
    </row>
    <row r="6157" ht="15.75" customHeight="1">
      <c r="P6157" s="25"/>
      <c r="Q6157" s="25"/>
      <c r="R6157" s="25"/>
      <c r="S6157" s="25"/>
      <c r="T6157" s="141"/>
      <c r="U6157" s="28"/>
    </row>
    <row r="6158" ht="15.75" customHeight="1">
      <c r="P6158" s="25"/>
      <c r="Q6158" s="25"/>
      <c r="R6158" s="25"/>
      <c r="S6158" s="25"/>
      <c r="T6158" s="141"/>
      <c r="U6158" s="28"/>
    </row>
    <row r="6159" ht="15.75" customHeight="1">
      <c r="P6159" s="25"/>
      <c r="Q6159" s="25"/>
      <c r="R6159" s="25"/>
      <c r="S6159" s="25"/>
      <c r="T6159" s="141"/>
      <c r="U6159" s="28"/>
    </row>
    <row r="6160" ht="15.75" customHeight="1">
      <c r="P6160" s="25"/>
      <c r="Q6160" s="25"/>
      <c r="R6160" s="25"/>
      <c r="S6160" s="25"/>
      <c r="T6160" s="141"/>
      <c r="U6160" s="28"/>
    </row>
    <row r="6161" ht="15.75" customHeight="1">
      <c r="P6161" s="25"/>
      <c r="Q6161" s="25"/>
      <c r="R6161" s="25"/>
      <c r="S6161" s="25"/>
      <c r="T6161" s="141"/>
      <c r="U6161" s="28"/>
    </row>
    <row r="6162" ht="15.75" customHeight="1">
      <c r="P6162" s="25"/>
      <c r="Q6162" s="25"/>
      <c r="R6162" s="25"/>
      <c r="S6162" s="25"/>
      <c r="T6162" s="141"/>
      <c r="U6162" s="28"/>
    </row>
    <row r="6163" ht="15.75" customHeight="1">
      <c r="P6163" s="25"/>
      <c r="Q6163" s="25"/>
      <c r="R6163" s="25"/>
      <c r="S6163" s="25"/>
      <c r="T6163" s="141"/>
      <c r="U6163" s="28"/>
    </row>
    <row r="6164" ht="15.75" customHeight="1">
      <c r="P6164" s="25"/>
      <c r="Q6164" s="25"/>
      <c r="R6164" s="25"/>
      <c r="S6164" s="25"/>
      <c r="T6164" s="141"/>
      <c r="U6164" s="28"/>
    </row>
    <row r="6165" ht="15.75" customHeight="1">
      <c r="P6165" s="25"/>
      <c r="Q6165" s="25"/>
      <c r="R6165" s="25"/>
      <c r="S6165" s="25"/>
      <c r="T6165" s="141"/>
      <c r="U6165" s="28"/>
    </row>
    <row r="6166" ht="15.75" customHeight="1">
      <c r="P6166" s="25"/>
      <c r="Q6166" s="25"/>
      <c r="R6166" s="25"/>
      <c r="S6166" s="25"/>
      <c r="T6166" s="141"/>
      <c r="U6166" s="28"/>
    </row>
    <row r="6167" ht="15.75" customHeight="1">
      <c r="P6167" s="25"/>
      <c r="Q6167" s="25"/>
      <c r="R6167" s="25"/>
      <c r="S6167" s="25"/>
      <c r="T6167" s="141"/>
      <c r="U6167" s="28"/>
    </row>
    <row r="6168" ht="15.75" customHeight="1">
      <c r="P6168" s="25"/>
      <c r="Q6168" s="25"/>
      <c r="R6168" s="25"/>
      <c r="S6168" s="25"/>
      <c r="T6168" s="141"/>
      <c r="U6168" s="28"/>
    </row>
    <row r="6169" ht="15.75" customHeight="1">
      <c r="P6169" s="25"/>
      <c r="Q6169" s="25"/>
      <c r="R6169" s="25"/>
      <c r="S6169" s="25"/>
      <c r="T6169" s="141"/>
      <c r="U6169" s="28"/>
    </row>
    <row r="6170" ht="15.75" customHeight="1">
      <c r="P6170" s="25"/>
      <c r="Q6170" s="25"/>
      <c r="R6170" s="25"/>
      <c r="S6170" s="25"/>
      <c r="T6170" s="141"/>
      <c r="U6170" s="28"/>
    </row>
    <row r="6171" ht="15.75" customHeight="1">
      <c r="P6171" s="25"/>
      <c r="Q6171" s="25"/>
      <c r="R6171" s="25"/>
      <c r="S6171" s="25"/>
      <c r="T6171" s="141"/>
      <c r="U6171" s="28"/>
    </row>
    <row r="6172" ht="15.75" customHeight="1">
      <c r="P6172" s="25"/>
      <c r="Q6172" s="25"/>
      <c r="R6172" s="25"/>
      <c r="S6172" s="25"/>
      <c r="T6172" s="141"/>
      <c r="U6172" s="28"/>
    </row>
    <row r="6173" ht="15.75" customHeight="1">
      <c r="P6173" s="25"/>
      <c r="Q6173" s="25"/>
      <c r="R6173" s="25"/>
      <c r="S6173" s="25"/>
      <c r="T6173" s="141"/>
      <c r="U6173" s="28"/>
    </row>
    <row r="6174" ht="15.75" customHeight="1">
      <c r="P6174" s="25"/>
      <c r="Q6174" s="25"/>
      <c r="R6174" s="25"/>
      <c r="S6174" s="25"/>
      <c r="T6174" s="141"/>
      <c r="U6174" s="28"/>
    </row>
    <row r="6175" ht="15.75" customHeight="1">
      <c r="P6175" s="25"/>
      <c r="Q6175" s="25"/>
      <c r="R6175" s="25"/>
      <c r="S6175" s="25"/>
      <c r="T6175" s="141"/>
      <c r="U6175" s="28"/>
    </row>
    <row r="6176" ht="15.75" customHeight="1">
      <c r="P6176" s="25"/>
      <c r="Q6176" s="25"/>
      <c r="R6176" s="25"/>
      <c r="S6176" s="25"/>
      <c r="T6176" s="141"/>
      <c r="U6176" s="28"/>
    </row>
    <row r="6177" ht="15.75" customHeight="1">
      <c r="P6177" s="25"/>
      <c r="Q6177" s="25"/>
      <c r="R6177" s="25"/>
      <c r="S6177" s="25"/>
      <c r="T6177" s="141"/>
      <c r="U6177" s="28"/>
    </row>
    <row r="6178" ht="15.75" customHeight="1">
      <c r="P6178" s="25"/>
      <c r="Q6178" s="25"/>
      <c r="R6178" s="25"/>
      <c r="S6178" s="25"/>
      <c r="T6178" s="141"/>
      <c r="U6178" s="28"/>
    </row>
    <row r="6179" ht="15.75" customHeight="1">
      <c r="P6179" s="25"/>
      <c r="Q6179" s="25"/>
      <c r="R6179" s="25"/>
      <c r="S6179" s="25"/>
      <c r="T6179" s="141"/>
      <c r="U6179" s="28"/>
    </row>
    <row r="6180" ht="15.75" customHeight="1">
      <c r="P6180" s="25"/>
      <c r="Q6180" s="25"/>
      <c r="R6180" s="25"/>
      <c r="S6180" s="25"/>
      <c r="T6180" s="141"/>
      <c r="U6180" s="28"/>
    </row>
    <row r="6181" ht="15.75" customHeight="1">
      <c r="P6181" s="25"/>
      <c r="Q6181" s="25"/>
      <c r="R6181" s="25"/>
      <c r="S6181" s="25"/>
      <c r="T6181" s="141"/>
      <c r="U6181" s="28"/>
    </row>
    <row r="6182" ht="15.75" customHeight="1">
      <c r="P6182" s="25"/>
      <c r="Q6182" s="25"/>
      <c r="R6182" s="25"/>
      <c r="S6182" s="25"/>
      <c r="T6182" s="141"/>
      <c r="U6182" s="28"/>
    </row>
    <row r="6183" ht="15.75" customHeight="1">
      <c r="P6183" s="25"/>
      <c r="Q6183" s="25"/>
      <c r="R6183" s="25"/>
      <c r="S6183" s="25"/>
      <c r="T6183" s="141"/>
      <c r="U6183" s="28"/>
    </row>
    <row r="6184" ht="15.75" customHeight="1">
      <c r="P6184" s="25"/>
      <c r="Q6184" s="25"/>
      <c r="R6184" s="25"/>
      <c r="S6184" s="25"/>
      <c r="T6184" s="141"/>
      <c r="U6184" s="28"/>
    </row>
    <row r="6185" ht="15.75" customHeight="1">
      <c r="P6185" s="25"/>
      <c r="Q6185" s="25"/>
      <c r="R6185" s="25"/>
      <c r="S6185" s="25"/>
      <c r="T6185" s="141"/>
      <c r="U6185" s="28"/>
    </row>
    <row r="6186" ht="15.75" customHeight="1">
      <c r="P6186" s="25"/>
      <c r="Q6186" s="25"/>
      <c r="R6186" s="25"/>
      <c r="S6186" s="25"/>
      <c r="T6186" s="141"/>
      <c r="U6186" s="28"/>
    </row>
    <row r="6187" ht="15.75" customHeight="1">
      <c r="P6187" s="25"/>
      <c r="Q6187" s="25"/>
      <c r="R6187" s="25"/>
      <c r="S6187" s="25"/>
      <c r="T6187" s="141"/>
      <c r="U6187" s="28"/>
    </row>
    <row r="6188" ht="15.75" customHeight="1">
      <c r="P6188" s="25"/>
      <c r="Q6188" s="25"/>
      <c r="R6188" s="25"/>
      <c r="S6188" s="25"/>
      <c r="T6188" s="141"/>
      <c r="U6188" s="28"/>
    </row>
    <row r="6189" ht="15.75" customHeight="1">
      <c r="P6189" s="25"/>
      <c r="Q6189" s="25"/>
      <c r="R6189" s="25"/>
      <c r="S6189" s="25"/>
      <c r="T6189" s="141"/>
      <c r="U6189" s="28"/>
    </row>
    <row r="6190" ht="15.75" customHeight="1">
      <c r="P6190" s="25"/>
      <c r="Q6190" s="25"/>
      <c r="R6190" s="25"/>
      <c r="S6190" s="25"/>
      <c r="T6190" s="141"/>
      <c r="U6190" s="28"/>
    </row>
    <row r="6191" ht="15.75" customHeight="1">
      <c r="P6191" s="25"/>
      <c r="Q6191" s="25"/>
      <c r="R6191" s="25"/>
      <c r="S6191" s="25"/>
      <c r="T6191" s="141"/>
      <c r="U6191" s="28"/>
    </row>
    <row r="6192" ht="15.75" customHeight="1">
      <c r="P6192" s="25"/>
      <c r="Q6192" s="25"/>
      <c r="R6192" s="25"/>
      <c r="S6192" s="25"/>
      <c r="T6192" s="141"/>
      <c r="U6192" s="28"/>
    </row>
    <row r="6193" ht="15.75" customHeight="1">
      <c r="P6193" s="25"/>
      <c r="Q6193" s="25"/>
      <c r="R6193" s="25"/>
      <c r="S6193" s="25"/>
      <c r="T6193" s="141"/>
      <c r="U6193" s="28"/>
    </row>
    <row r="6194" ht="15.75" customHeight="1">
      <c r="P6194" s="25"/>
      <c r="Q6194" s="25"/>
      <c r="R6194" s="25"/>
      <c r="S6194" s="25"/>
      <c r="T6194" s="141"/>
      <c r="U6194" s="28"/>
    </row>
    <row r="6195" ht="15.75" customHeight="1">
      <c r="P6195" s="25"/>
      <c r="Q6195" s="25"/>
      <c r="R6195" s="25"/>
      <c r="S6195" s="25"/>
      <c r="T6195" s="141"/>
      <c r="U6195" s="28"/>
    </row>
    <row r="6196" ht="15.75" customHeight="1">
      <c r="P6196" s="25"/>
      <c r="Q6196" s="25"/>
      <c r="R6196" s="25"/>
      <c r="S6196" s="25"/>
      <c r="T6196" s="141"/>
      <c r="U6196" s="28"/>
    </row>
    <row r="6197" ht="15.75" customHeight="1">
      <c r="P6197" s="25"/>
      <c r="Q6197" s="25"/>
      <c r="R6197" s="25"/>
      <c r="S6197" s="25"/>
      <c r="T6197" s="141"/>
      <c r="U6197" s="28"/>
    </row>
    <row r="6198" ht="15.75" customHeight="1">
      <c r="P6198" s="25"/>
      <c r="Q6198" s="25"/>
      <c r="R6198" s="25"/>
      <c r="S6198" s="25"/>
      <c r="T6198" s="141"/>
      <c r="U6198" s="28"/>
    </row>
    <row r="6199" ht="15.75" customHeight="1">
      <c r="P6199" s="25"/>
      <c r="Q6199" s="25"/>
      <c r="R6199" s="25"/>
      <c r="S6199" s="25"/>
      <c r="T6199" s="141"/>
      <c r="U6199" s="28"/>
    </row>
    <row r="6200" ht="15.75" customHeight="1">
      <c r="P6200" s="25"/>
      <c r="Q6200" s="25"/>
      <c r="R6200" s="25"/>
      <c r="S6200" s="25"/>
      <c r="T6200" s="141"/>
      <c r="U6200" s="28"/>
    </row>
    <row r="6201" ht="15.75" customHeight="1">
      <c r="P6201" s="25"/>
      <c r="Q6201" s="25"/>
      <c r="R6201" s="25"/>
      <c r="S6201" s="25"/>
      <c r="T6201" s="141"/>
      <c r="U6201" s="28"/>
    </row>
    <row r="6202" ht="15.75" customHeight="1">
      <c r="P6202" s="25"/>
      <c r="Q6202" s="25"/>
      <c r="R6202" s="25"/>
      <c r="S6202" s="25"/>
      <c r="T6202" s="141"/>
      <c r="U6202" s="28"/>
    </row>
    <row r="6203" ht="15.75" customHeight="1">
      <c r="P6203" s="25"/>
      <c r="Q6203" s="25"/>
      <c r="R6203" s="25"/>
      <c r="S6203" s="25"/>
      <c r="T6203" s="141"/>
      <c r="U6203" s="28"/>
    </row>
    <row r="6204" ht="15.75" customHeight="1">
      <c r="P6204" s="25"/>
      <c r="Q6204" s="25"/>
      <c r="R6204" s="25"/>
      <c r="S6204" s="25"/>
      <c r="T6204" s="141"/>
      <c r="U6204" s="28"/>
    </row>
    <row r="6205" ht="15.75" customHeight="1">
      <c r="P6205" s="25"/>
      <c r="Q6205" s="25"/>
      <c r="R6205" s="25"/>
      <c r="S6205" s="25"/>
      <c r="T6205" s="141"/>
      <c r="U6205" s="28"/>
    </row>
    <row r="6206" ht="15.75" customHeight="1">
      <c r="P6206" s="25"/>
      <c r="Q6206" s="25"/>
      <c r="R6206" s="25"/>
      <c r="S6206" s="25"/>
      <c r="T6206" s="141"/>
      <c r="U6206" s="28"/>
    </row>
    <row r="6207" ht="15.75" customHeight="1">
      <c r="P6207" s="25"/>
      <c r="Q6207" s="25"/>
      <c r="R6207" s="25"/>
      <c r="S6207" s="25"/>
      <c r="T6207" s="141"/>
      <c r="U6207" s="28"/>
    </row>
    <row r="6208" ht="15.75" customHeight="1">
      <c r="P6208" s="25"/>
      <c r="Q6208" s="25"/>
      <c r="R6208" s="25"/>
      <c r="S6208" s="25"/>
      <c r="T6208" s="141"/>
      <c r="U6208" s="28"/>
    </row>
    <row r="6209" ht="15.75" customHeight="1">
      <c r="P6209" s="25"/>
      <c r="Q6209" s="25"/>
      <c r="R6209" s="25"/>
      <c r="S6209" s="25"/>
      <c r="T6209" s="141"/>
      <c r="U6209" s="28"/>
    </row>
    <row r="6210" ht="15.75" customHeight="1">
      <c r="P6210" s="25"/>
      <c r="Q6210" s="25"/>
      <c r="R6210" s="25"/>
      <c r="S6210" s="25"/>
      <c r="T6210" s="141"/>
      <c r="U6210" s="28"/>
    </row>
    <row r="6211" ht="15.75" customHeight="1">
      <c r="P6211" s="25"/>
      <c r="Q6211" s="25"/>
      <c r="R6211" s="25"/>
      <c r="S6211" s="25"/>
      <c r="T6211" s="141"/>
      <c r="U6211" s="28"/>
    </row>
    <row r="6212" ht="15.75" customHeight="1">
      <c r="P6212" s="25"/>
      <c r="Q6212" s="25"/>
      <c r="R6212" s="25"/>
      <c r="S6212" s="25"/>
      <c r="T6212" s="141"/>
      <c r="U6212" s="28"/>
    </row>
    <row r="6213" ht="15.75" customHeight="1">
      <c r="P6213" s="25"/>
      <c r="Q6213" s="25"/>
      <c r="R6213" s="25"/>
      <c r="S6213" s="25"/>
      <c r="T6213" s="141"/>
      <c r="U6213" s="28"/>
    </row>
    <row r="6214" ht="15.75" customHeight="1">
      <c r="P6214" s="25"/>
      <c r="Q6214" s="25"/>
      <c r="R6214" s="25"/>
      <c r="S6214" s="25"/>
      <c r="T6214" s="141"/>
      <c r="U6214" s="28"/>
    </row>
    <row r="6215" ht="15.75" customHeight="1">
      <c r="P6215" s="25"/>
      <c r="Q6215" s="25"/>
      <c r="R6215" s="25"/>
      <c r="S6215" s="25"/>
      <c r="T6215" s="141"/>
      <c r="U6215" s="28"/>
    </row>
    <row r="6216" ht="15.75" customHeight="1">
      <c r="P6216" s="25"/>
      <c r="Q6216" s="25"/>
      <c r="R6216" s="25"/>
      <c r="S6216" s="25"/>
      <c r="T6216" s="141"/>
      <c r="U6216" s="28"/>
    </row>
    <row r="6217" ht="15.75" customHeight="1">
      <c r="P6217" s="25"/>
      <c r="Q6217" s="25"/>
      <c r="R6217" s="25"/>
      <c r="S6217" s="25"/>
      <c r="T6217" s="141"/>
      <c r="U6217" s="28"/>
    </row>
    <row r="6218" ht="15.75" customHeight="1">
      <c r="P6218" s="25"/>
      <c r="Q6218" s="25"/>
      <c r="R6218" s="25"/>
      <c r="S6218" s="25"/>
      <c r="T6218" s="141"/>
      <c r="U6218" s="28"/>
    </row>
    <row r="6219" ht="15.75" customHeight="1">
      <c r="P6219" s="25"/>
      <c r="Q6219" s="25"/>
      <c r="R6219" s="25"/>
      <c r="S6219" s="25"/>
      <c r="T6219" s="141"/>
      <c r="U6219" s="28"/>
    </row>
    <row r="6220" ht="15.75" customHeight="1">
      <c r="P6220" s="25"/>
      <c r="Q6220" s="25"/>
      <c r="R6220" s="25"/>
      <c r="S6220" s="25"/>
      <c r="T6220" s="141"/>
      <c r="U6220" s="28"/>
    </row>
    <row r="6221" ht="15.75" customHeight="1">
      <c r="P6221" s="25"/>
      <c r="Q6221" s="25"/>
      <c r="R6221" s="25"/>
      <c r="S6221" s="25"/>
      <c r="T6221" s="141"/>
      <c r="U6221" s="28"/>
    </row>
    <row r="6222" ht="15.75" customHeight="1">
      <c r="P6222" s="25"/>
      <c r="Q6222" s="25"/>
      <c r="R6222" s="25"/>
      <c r="S6222" s="25"/>
      <c r="T6222" s="141"/>
      <c r="U6222" s="28"/>
    </row>
    <row r="6223" ht="15.75" customHeight="1">
      <c r="P6223" s="25"/>
      <c r="Q6223" s="25"/>
      <c r="R6223" s="25"/>
      <c r="S6223" s="25"/>
      <c r="T6223" s="141"/>
      <c r="U6223" s="28"/>
    </row>
    <row r="6224" ht="15.75" customHeight="1">
      <c r="P6224" s="25"/>
      <c r="Q6224" s="25"/>
      <c r="R6224" s="25"/>
      <c r="S6224" s="25"/>
      <c r="T6224" s="141"/>
      <c r="U6224" s="28"/>
    </row>
    <row r="6225" ht="15.75" customHeight="1">
      <c r="P6225" s="25"/>
      <c r="Q6225" s="25"/>
      <c r="R6225" s="25"/>
      <c r="S6225" s="25"/>
      <c r="T6225" s="141"/>
      <c r="U6225" s="28"/>
    </row>
    <row r="6226" ht="15.75" customHeight="1">
      <c r="P6226" s="25"/>
      <c r="Q6226" s="25"/>
      <c r="R6226" s="25"/>
      <c r="S6226" s="25"/>
      <c r="T6226" s="141"/>
      <c r="U6226" s="28"/>
    </row>
    <row r="6227" ht="15.75" customHeight="1">
      <c r="P6227" s="25"/>
      <c r="Q6227" s="25"/>
      <c r="R6227" s="25"/>
      <c r="S6227" s="25"/>
      <c r="T6227" s="141"/>
      <c r="U6227" s="28"/>
    </row>
    <row r="6228" ht="15.75" customHeight="1">
      <c r="P6228" s="25"/>
      <c r="Q6228" s="25"/>
      <c r="R6228" s="25"/>
      <c r="S6228" s="25"/>
      <c r="T6228" s="141"/>
      <c r="U6228" s="28"/>
    </row>
    <row r="6229" ht="15.75" customHeight="1">
      <c r="P6229" s="25"/>
      <c r="Q6229" s="25"/>
      <c r="R6229" s="25"/>
      <c r="S6229" s="25"/>
      <c r="T6229" s="141"/>
      <c r="U6229" s="28"/>
    </row>
    <row r="6230" ht="15.75" customHeight="1">
      <c r="P6230" s="25"/>
      <c r="Q6230" s="25"/>
      <c r="R6230" s="25"/>
      <c r="S6230" s="25"/>
      <c r="T6230" s="141"/>
      <c r="U6230" s="28"/>
    </row>
    <row r="6231" ht="15.75" customHeight="1">
      <c r="P6231" s="25"/>
      <c r="Q6231" s="25"/>
      <c r="R6231" s="25"/>
      <c r="S6231" s="25"/>
      <c r="T6231" s="141"/>
      <c r="U6231" s="28"/>
    </row>
    <row r="6232" ht="15.75" customHeight="1">
      <c r="P6232" s="25"/>
      <c r="Q6232" s="25"/>
      <c r="R6232" s="25"/>
      <c r="S6232" s="25"/>
      <c r="T6232" s="141"/>
      <c r="U6232" s="28"/>
    </row>
    <row r="6233" ht="15.75" customHeight="1">
      <c r="P6233" s="25"/>
      <c r="Q6233" s="25"/>
      <c r="R6233" s="25"/>
      <c r="S6233" s="25"/>
      <c r="T6233" s="141"/>
      <c r="U6233" s="28"/>
    </row>
    <row r="6234" ht="15.75" customHeight="1">
      <c r="P6234" s="25"/>
      <c r="Q6234" s="25"/>
      <c r="R6234" s="25"/>
      <c r="S6234" s="25"/>
      <c r="T6234" s="141"/>
      <c r="U6234" s="28"/>
    </row>
    <row r="6235" ht="15.75" customHeight="1">
      <c r="P6235" s="25"/>
      <c r="Q6235" s="25"/>
      <c r="R6235" s="25"/>
      <c r="S6235" s="25"/>
      <c r="T6235" s="141"/>
      <c r="U6235" s="28"/>
    </row>
    <row r="6236" ht="15.75" customHeight="1">
      <c r="P6236" s="25"/>
      <c r="Q6236" s="25"/>
      <c r="R6236" s="25"/>
      <c r="S6236" s="25"/>
      <c r="T6236" s="141"/>
      <c r="U6236" s="28"/>
    </row>
    <row r="6237" ht="15.75" customHeight="1">
      <c r="P6237" s="25"/>
      <c r="Q6237" s="25"/>
      <c r="R6237" s="25"/>
      <c r="S6237" s="25"/>
      <c r="T6237" s="141"/>
      <c r="U6237" s="28"/>
    </row>
    <row r="6238" ht="15.75" customHeight="1">
      <c r="P6238" s="25"/>
      <c r="Q6238" s="25"/>
      <c r="R6238" s="25"/>
      <c r="S6238" s="25"/>
      <c r="T6238" s="141"/>
      <c r="U6238" s="28"/>
    </row>
    <row r="6239" ht="15.75" customHeight="1">
      <c r="P6239" s="25"/>
      <c r="Q6239" s="25"/>
      <c r="R6239" s="25"/>
      <c r="S6239" s="25"/>
      <c r="T6239" s="141"/>
      <c r="U6239" s="28"/>
    </row>
    <row r="6240" ht="15.75" customHeight="1">
      <c r="P6240" s="25"/>
      <c r="Q6240" s="25"/>
      <c r="R6240" s="25"/>
      <c r="S6240" s="25"/>
      <c r="T6240" s="141"/>
      <c r="U6240" s="28"/>
    </row>
    <row r="6241" ht="15.75" customHeight="1">
      <c r="P6241" s="25"/>
      <c r="Q6241" s="25"/>
      <c r="R6241" s="25"/>
      <c r="S6241" s="25"/>
      <c r="T6241" s="141"/>
      <c r="U6241" s="28"/>
    </row>
    <row r="6242" ht="15.75" customHeight="1">
      <c r="P6242" s="25"/>
      <c r="Q6242" s="25"/>
      <c r="R6242" s="25"/>
      <c r="S6242" s="25"/>
      <c r="T6242" s="141"/>
      <c r="U6242" s="28"/>
    </row>
    <row r="6243" ht="15.75" customHeight="1">
      <c r="P6243" s="25"/>
      <c r="Q6243" s="25"/>
      <c r="R6243" s="25"/>
      <c r="S6243" s="25"/>
      <c r="T6243" s="141"/>
      <c r="U6243" s="28"/>
    </row>
    <row r="6244" ht="15.75" customHeight="1">
      <c r="P6244" s="25"/>
      <c r="Q6244" s="25"/>
      <c r="R6244" s="25"/>
      <c r="S6244" s="25"/>
      <c r="T6244" s="141"/>
      <c r="U6244" s="28"/>
    </row>
    <row r="6245" ht="15.75" customHeight="1">
      <c r="P6245" s="25"/>
      <c r="Q6245" s="25"/>
      <c r="R6245" s="25"/>
      <c r="S6245" s="25"/>
      <c r="T6245" s="141"/>
      <c r="U6245" s="28"/>
    </row>
    <row r="6246" ht="15.75" customHeight="1">
      <c r="P6246" s="25"/>
      <c r="Q6246" s="25"/>
      <c r="R6246" s="25"/>
      <c r="S6246" s="25"/>
      <c r="T6246" s="141"/>
      <c r="U6246" s="28"/>
    </row>
    <row r="6247" ht="15.75" customHeight="1">
      <c r="P6247" s="25"/>
      <c r="Q6247" s="25"/>
      <c r="R6247" s="25"/>
      <c r="S6247" s="25"/>
      <c r="T6247" s="141"/>
      <c r="U6247" s="28"/>
    </row>
    <row r="6248" ht="15.75" customHeight="1">
      <c r="P6248" s="25"/>
      <c r="Q6248" s="25"/>
      <c r="R6248" s="25"/>
      <c r="S6248" s="25"/>
      <c r="T6248" s="141"/>
      <c r="U6248" s="28"/>
    </row>
    <row r="6249" ht="15.75" customHeight="1">
      <c r="P6249" s="25"/>
      <c r="Q6249" s="25"/>
      <c r="R6249" s="25"/>
      <c r="S6249" s="25"/>
      <c r="T6249" s="141"/>
      <c r="U6249" s="28"/>
    </row>
    <row r="6250" ht="15.75" customHeight="1">
      <c r="P6250" s="25"/>
      <c r="Q6250" s="25"/>
      <c r="R6250" s="25"/>
      <c r="S6250" s="25"/>
      <c r="T6250" s="141"/>
      <c r="U6250" s="28"/>
    </row>
    <row r="6251" ht="15.75" customHeight="1">
      <c r="P6251" s="25"/>
      <c r="Q6251" s="25"/>
      <c r="R6251" s="25"/>
      <c r="S6251" s="25"/>
      <c r="T6251" s="141"/>
      <c r="U6251" s="28"/>
    </row>
    <row r="6252" ht="15.75" customHeight="1">
      <c r="P6252" s="25"/>
      <c r="Q6252" s="25"/>
      <c r="R6252" s="25"/>
      <c r="S6252" s="25"/>
      <c r="T6252" s="141"/>
      <c r="U6252" s="28"/>
    </row>
    <row r="6253" ht="15.75" customHeight="1">
      <c r="P6253" s="25"/>
      <c r="Q6253" s="25"/>
      <c r="R6253" s="25"/>
      <c r="S6253" s="25"/>
      <c r="T6253" s="141"/>
      <c r="U6253" s="28"/>
    </row>
    <row r="6254" ht="15.75" customHeight="1">
      <c r="P6254" s="25"/>
      <c r="Q6254" s="25"/>
      <c r="R6254" s="25"/>
      <c r="S6254" s="25"/>
      <c r="T6254" s="141"/>
      <c r="U6254" s="28"/>
    </row>
    <row r="6255" ht="15.75" customHeight="1">
      <c r="P6255" s="25"/>
      <c r="Q6255" s="25"/>
      <c r="R6255" s="25"/>
      <c r="S6255" s="25"/>
      <c r="T6255" s="141"/>
      <c r="U6255" s="28"/>
    </row>
    <row r="6256" ht="15.75" customHeight="1">
      <c r="P6256" s="25"/>
      <c r="Q6256" s="25"/>
      <c r="R6256" s="25"/>
      <c r="S6256" s="25"/>
      <c r="T6256" s="141"/>
      <c r="U6256" s="28"/>
    </row>
    <row r="6257" ht="15.75" customHeight="1">
      <c r="P6257" s="25"/>
      <c r="Q6257" s="25"/>
      <c r="R6257" s="25"/>
      <c r="S6257" s="25"/>
      <c r="T6257" s="141"/>
      <c r="U6257" s="28"/>
    </row>
    <row r="6258" ht="15.75" customHeight="1">
      <c r="P6258" s="25"/>
      <c r="Q6258" s="25"/>
      <c r="R6258" s="25"/>
      <c r="S6258" s="25"/>
      <c r="T6258" s="141"/>
      <c r="U6258" s="28"/>
    </row>
    <row r="6259" ht="15.75" customHeight="1">
      <c r="P6259" s="25"/>
      <c r="Q6259" s="25"/>
      <c r="R6259" s="25"/>
      <c r="S6259" s="25"/>
      <c r="T6259" s="141"/>
      <c r="U6259" s="28"/>
    </row>
    <row r="6260" ht="15.75" customHeight="1">
      <c r="P6260" s="25"/>
      <c r="Q6260" s="25"/>
      <c r="R6260" s="25"/>
      <c r="S6260" s="25"/>
      <c r="T6260" s="141"/>
      <c r="U6260" s="28"/>
    </row>
    <row r="6261" ht="15.75" customHeight="1">
      <c r="P6261" s="25"/>
      <c r="Q6261" s="25"/>
      <c r="R6261" s="25"/>
      <c r="S6261" s="25"/>
      <c r="T6261" s="141"/>
      <c r="U6261" s="28"/>
    </row>
    <row r="6262" ht="15.75" customHeight="1">
      <c r="P6262" s="25"/>
      <c r="Q6262" s="25"/>
      <c r="R6262" s="25"/>
      <c r="S6262" s="25"/>
      <c r="T6262" s="141"/>
      <c r="U6262" s="28"/>
    </row>
    <row r="6263" ht="15.75" customHeight="1">
      <c r="P6263" s="25"/>
      <c r="Q6263" s="25"/>
      <c r="R6263" s="25"/>
      <c r="S6263" s="25"/>
      <c r="T6263" s="141"/>
      <c r="U6263" s="28"/>
    </row>
    <row r="6264" ht="15.75" customHeight="1">
      <c r="P6264" s="25"/>
      <c r="Q6264" s="25"/>
      <c r="R6264" s="25"/>
      <c r="S6264" s="25"/>
      <c r="T6264" s="141"/>
      <c r="U6264" s="28"/>
    </row>
    <row r="6265" ht="15.75" customHeight="1">
      <c r="P6265" s="25"/>
      <c r="Q6265" s="25"/>
      <c r="R6265" s="25"/>
      <c r="S6265" s="25"/>
      <c r="T6265" s="141"/>
      <c r="U6265" s="28"/>
    </row>
    <row r="6266" ht="15.75" customHeight="1">
      <c r="P6266" s="25"/>
      <c r="Q6266" s="25"/>
      <c r="R6266" s="25"/>
      <c r="S6266" s="25"/>
      <c r="T6266" s="141"/>
      <c r="U6266" s="28"/>
    </row>
    <row r="6267" ht="15.75" customHeight="1">
      <c r="P6267" s="25"/>
      <c r="Q6267" s="25"/>
      <c r="R6267" s="25"/>
      <c r="S6267" s="25"/>
      <c r="T6267" s="141"/>
      <c r="U6267" s="28"/>
    </row>
    <row r="6268" ht="15.75" customHeight="1">
      <c r="P6268" s="25"/>
      <c r="Q6268" s="25"/>
      <c r="R6268" s="25"/>
      <c r="S6268" s="25"/>
      <c r="T6268" s="141"/>
      <c r="U6268" s="28"/>
    </row>
    <row r="6269" ht="15.75" customHeight="1">
      <c r="P6269" s="25"/>
      <c r="Q6269" s="25"/>
      <c r="R6269" s="25"/>
      <c r="S6269" s="25"/>
      <c r="T6269" s="141"/>
      <c r="U6269" s="28"/>
    </row>
    <row r="6270" ht="15.75" customHeight="1">
      <c r="P6270" s="25"/>
      <c r="Q6270" s="25"/>
      <c r="R6270" s="25"/>
      <c r="S6270" s="25"/>
      <c r="T6270" s="141"/>
      <c r="U6270" s="28"/>
    </row>
    <row r="6271" ht="15.75" customHeight="1">
      <c r="P6271" s="25"/>
      <c r="Q6271" s="25"/>
      <c r="R6271" s="25"/>
      <c r="S6271" s="25"/>
      <c r="T6271" s="141"/>
      <c r="U6271" s="28"/>
    </row>
    <row r="6272" ht="15.75" customHeight="1">
      <c r="P6272" s="25"/>
      <c r="Q6272" s="25"/>
      <c r="R6272" s="25"/>
      <c r="S6272" s="25"/>
      <c r="T6272" s="141"/>
      <c r="U6272" s="28"/>
    </row>
    <row r="6273" ht="15.75" customHeight="1">
      <c r="P6273" s="25"/>
      <c r="Q6273" s="25"/>
      <c r="R6273" s="25"/>
      <c r="S6273" s="25"/>
      <c r="T6273" s="141"/>
      <c r="U6273" s="28"/>
    </row>
    <row r="6274" ht="15.75" customHeight="1">
      <c r="P6274" s="25"/>
      <c r="Q6274" s="25"/>
      <c r="R6274" s="25"/>
      <c r="S6274" s="25"/>
      <c r="T6274" s="141"/>
      <c r="U6274" s="28"/>
    </row>
    <row r="6275" ht="15.75" customHeight="1">
      <c r="P6275" s="25"/>
      <c r="Q6275" s="25"/>
      <c r="R6275" s="25"/>
      <c r="S6275" s="25"/>
      <c r="T6275" s="141"/>
      <c r="U6275" s="28"/>
    </row>
    <row r="6276" ht="15.75" customHeight="1">
      <c r="P6276" s="25"/>
      <c r="Q6276" s="25"/>
      <c r="R6276" s="25"/>
      <c r="S6276" s="25"/>
      <c r="T6276" s="141"/>
      <c r="U6276" s="28"/>
    </row>
    <row r="6277" ht="15.75" customHeight="1">
      <c r="P6277" s="25"/>
      <c r="Q6277" s="25"/>
      <c r="R6277" s="25"/>
      <c r="S6277" s="25"/>
      <c r="T6277" s="141"/>
      <c r="U6277" s="28"/>
    </row>
    <row r="6278" ht="15.75" customHeight="1">
      <c r="P6278" s="25"/>
      <c r="Q6278" s="25"/>
      <c r="R6278" s="25"/>
      <c r="S6278" s="25"/>
      <c r="T6278" s="141"/>
      <c r="U6278" s="28"/>
    </row>
    <row r="6279" ht="15.75" customHeight="1">
      <c r="P6279" s="25"/>
      <c r="Q6279" s="25"/>
      <c r="R6279" s="25"/>
      <c r="S6279" s="25"/>
      <c r="T6279" s="141"/>
      <c r="U6279" s="28"/>
    </row>
    <row r="6280" ht="15.75" customHeight="1">
      <c r="P6280" s="25"/>
      <c r="Q6280" s="25"/>
      <c r="R6280" s="25"/>
      <c r="S6280" s="25"/>
      <c r="T6280" s="141"/>
      <c r="U6280" s="28"/>
    </row>
    <row r="6281" ht="15.75" customHeight="1">
      <c r="P6281" s="25"/>
      <c r="Q6281" s="25"/>
      <c r="R6281" s="25"/>
      <c r="S6281" s="25"/>
      <c r="T6281" s="141"/>
      <c r="U6281" s="28"/>
    </row>
    <row r="6282" ht="15.75" customHeight="1">
      <c r="P6282" s="25"/>
      <c r="Q6282" s="25"/>
      <c r="R6282" s="25"/>
      <c r="S6282" s="25"/>
      <c r="T6282" s="141"/>
      <c r="U6282" s="28"/>
    </row>
    <row r="6283" ht="15.75" customHeight="1">
      <c r="P6283" s="25"/>
      <c r="Q6283" s="25"/>
      <c r="R6283" s="25"/>
      <c r="S6283" s="25"/>
      <c r="T6283" s="141"/>
      <c r="U6283" s="28"/>
    </row>
    <row r="6284" ht="15.75" customHeight="1">
      <c r="P6284" s="25"/>
      <c r="Q6284" s="25"/>
      <c r="R6284" s="25"/>
      <c r="S6284" s="25"/>
      <c r="T6284" s="141"/>
      <c r="U6284" s="28"/>
    </row>
    <row r="6285" ht="15.75" customHeight="1">
      <c r="P6285" s="25"/>
      <c r="Q6285" s="25"/>
      <c r="R6285" s="25"/>
      <c r="S6285" s="25"/>
      <c r="T6285" s="141"/>
      <c r="U6285" s="28"/>
    </row>
    <row r="6286" ht="15.75" customHeight="1">
      <c r="P6286" s="25"/>
      <c r="Q6286" s="25"/>
      <c r="R6286" s="25"/>
      <c r="S6286" s="25"/>
      <c r="T6286" s="141"/>
      <c r="U6286" s="28"/>
    </row>
    <row r="6287" ht="15.75" customHeight="1">
      <c r="P6287" s="25"/>
      <c r="Q6287" s="25"/>
      <c r="R6287" s="25"/>
      <c r="S6287" s="25"/>
      <c r="T6287" s="141"/>
      <c r="U6287" s="28"/>
    </row>
    <row r="6288" ht="15.75" customHeight="1">
      <c r="P6288" s="25"/>
      <c r="Q6288" s="25"/>
      <c r="R6288" s="25"/>
      <c r="S6288" s="25"/>
      <c r="T6288" s="141"/>
      <c r="U6288" s="28"/>
    </row>
    <row r="6289" ht="15.75" customHeight="1">
      <c r="P6289" s="25"/>
      <c r="Q6289" s="25"/>
      <c r="R6289" s="25"/>
      <c r="S6289" s="25"/>
      <c r="T6289" s="141"/>
      <c r="U6289" s="28"/>
    </row>
    <row r="6290" ht="15.75" customHeight="1">
      <c r="P6290" s="25"/>
      <c r="Q6290" s="25"/>
      <c r="R6290" s="25"/>
      <c r="S6290" s="25"/>
      <c r="T6290" s="141"/>
      <c r="U6290" s="28"/>
    </row>
    <row r="6291" ht="15.75" customHeight="1">
      <c r="P6291" s="25"/>
      <c r="Q6291" s="25"/>
      <c r="R6291" s="25"/>
      <c r="S6291" s="25"/>
      <c r="T6291" s="141"/>
      <c r="U6291" s="28"/>
    </row>
    <row r="6292" ht="15.75" customHeight="1">
      <c r="P6292" s="25"/>
      <c r="Q6292" s="25"/>
      <c r="R6292" s="25"/>
      <c r="S6292" s="25"/>
      <c r="T6292" s="141"/>
      <c r="U6292" s="28"/>
    </row>
    <row r="6293" ht="15.75" customHeight="1">
      <c r="P6293" s="25"/>
      <c r="Q6293" s="25"/>
      <c r="R6293" s="25"/>
      <c r="S6293" s="25"/>
      <c r="T6293" s="141"/>
      <c r="U6293" s="28"/>
    </row>
    <row r="6294" ht="15.75" customHeight="1">
      <c r="P6294" s="25"/>
      <c r="Q6294" s="25"/>
      <c r="R6294" s="25"/>
      <c r="S6294" s="25"/>
      <c r="T6294" s="141"/>
      <c r="U6294" s="28"/>
    </row>
    <row r="6295" ht="15.75" customHeight="1">
      <c r="P6295" s="25"/>
      <c r="Q6295" s="25"/>
      <c r="R6295" s="25"/>
      <c r="S6295" s="25"/>
      <c r="T6295" s="141"/>
      <c r="U6295" s="28"/>
    </row>
    <row r="6296" ht="15.75" customHeight="1">
      <c r="P6296" s="25"/>
      <c r="Q6296" s="25"/>
      <c r="R6296" s="25"/>
      <c r="S6296" s="25"/>
      <c r="T6296" s="141"/>
      <c r="U6296" s="28"/>
    </row>
    <row r="6297" ht="15.75" customHeight="1">
      <c r="P6297" s="25"/>
      <c r="Q6297" s="25"/>
      <c r="R6297" s="25"/>
      <c r="S6297" s="25"/>
      <c r="T6297" s="141"/>
      <c r="U6297" s="28"/>
    </row>
    <row r="6298" ht="15.75" customHeight="1">
      <c r="P6298" s="25"/>
      <c r="Q6298" s="25"/>
      <c r="R6298" s="25"/>
      <c r="S6298" s="25"/>
      <c r="T6298" s="141"/>
      <c r="U6298" s="28"/>
    </row>
    <row r="6299" ht="15.75" customHeight="1">
      <c r="P6299" s="25"/>
      <c r="Q6299" s="25"/>
      <c r="R6299" s="25"/>
      <c r="S6299" s="25"/>
      <c r="T6299" s="141"/>
      <c r="U6299" s="28"/>
    </row>
    <row r="6300" ht="15.75" customHeight="1">
      <c r="P6300" s="25"/>
      <c r="Q6300" s="25"/>
      <c r="R6300" s="25"/>
      <c r="S6300" s="25"/>
      <c r="T6300" s="141"/>
      <c r="U6300" s="28"/>
    </row>
    <row r="6301" ht="15.75" customHeight="1">
      <c r="P6301" s="25"/>
      <c r="Q6301" s="25"/>
      <c r="R6301" s="25"/>
      <c r="S6301" s="25"/>
      <c r="T6301" s="141"/>
      <c r="U6301" s="28"/>
    </row>
    <row r="6302" ht="15.75" customHeight="1">
      <c r="P6302" s="25"/>
      <c r="Q6302" s="25"/>
      <c r="R6302" s="25"/>
      <c r="S6302" s="25"/>
      <c r="T6302" s="141"/>
      <c r="U6302" s="28"/>
    </row>
    <row r="6303" ht="15.75" customHeight="1">
      <c r="P6303" s="25"/>
      <c r="Q6303" s="25"/>
      <c r="R6303" s="25"/>
      <c r="S6303" s="25"/>
      <c r="T6303" s="141"/>
      <c r="U6303" s="28"/>
    </row>
    <row r="6304" ht="15.75" customHeight="1">
      <c r="P6304" s="25"/>
      <c r="Q6304" s="25"/>
      <c r="R6304" s="25"/>
      <c r="S6304" s="25"/>
      <c r="T6304" s="141"/>
      <c r="U6304" s="28"/>
    </row>
    <row r="6305" ht="15.75" customHeight="1">
      <c r="P6305" s="25"/>
      <c r="Q6305" s="25"/>
      <c r="R6305" s="25"/>
      <c r="S6305" s="25"/>
      <c r="T6305" s="141"/>
      <c r="U6305" s="28"/>
    </row>
    <row r="6306" ht="15.75" customHeight="1">
      <c r="P6306" s="25"/>
      <c r="Q6306" s="25"/>
      <c r="R6306" s="25"/>
      <c r="S6306" s="25"/>
      <c r="T6306" s="141"/>
      <c r="U6306" s="28"/>
    </row>
    <row r="6307" ht="15.75" customHeight="1">
      <c r="P6307" s="25"/>
      <c r="Q6307" s="25"/>
      <c r="R6307" s="25"/>
      <c r="S6307" s="25"/>
      <c r="T6307" s="141"/>
      <c r="U6307" s="28"/>
    </row>
    <row r="6308" ht="15.75" customHeight="1">
      <c r="P6308" s="25"/>
      <c r="Q6308" s="25"/>
      <c r="R6308" s="25"/>
      <c r="S6308" s="25"/>
      <c r="T6308" s="141"/>
      <c r="U6308" s="28"/>
    </row>
    <row r="6309" ht="15.75" customHeight="1">
      <c r="P6309" s="25"/>
      <c r="Q6309" s="25"/>
      <c r="R6309" s="25"/>
      <c r="S6309" s="25"/>
      <c r="T6309" s="141"/>
      <c r="U6309" s="28"/>
    </row>
    <row r="6310" ht="15.75" customHeight="1">
      <c r="P6310" s="25"/>
      <c r="Q6310" s="25"/>
      <c r="R6310" s="25"/>
      <c r="S6310" s="25"/>
      <c r="T6310" s="141"/>
      <c r="U6310" s="28"/>
    </row>
    <row r="6311" ht="15.75" customHeight="1">
      <c r="P6311" s="25"/>
      <c r="Q6311" s="25"/>
      <c r="R6311" s="25"/>
      <c r="S6311" s="25"/>
      <c r="T6311" s="141"/>
      <c r="U6311" s="28"/>
    </row>
    <row r="6312" ht="15.75" customHeight="1">
      <c r="P6312" s="25"/>
      <c r="Q6312" s="25"/>
      <c r="R6312" s="25"/>
      <c r="S6312" s="25"/>
      <c r="T6312" s="141"/>
      <c r="U6312" s="28"/>
    </row>
    <row r="6313" ht="15.75" customHeight="1">
      <c r="P6313" s="25"/>
      <c r="Q6313" s="25"/>
      <c r="R6313" s="25"/>
      <c r="S6313" s="25"/>
      <c r="T6313" s="141"/>
      <c r="U6313" s="28"/>
    </row>
    <row r="6314" ht="15.75" customHeight="1">
      <c r="P6314" s="25"/>
      <c r="Q6314" s="25"/>
      <c r="R6314" s="25"/>
      <c r="S6314" s="25"/>
      <c r="T6314" s="141"/>
      <c r="U6314" s="28"/>
    </row>
    <row r="6315" ht="15.75" customHeight="1">
      <c r="P6315" s="25"/>
      <c r="Q6315" s="25"/>
      <c r="R6315" s="25"/>
      <c r="S6315" s="25"/>
      <c r="T6315" s="141"/>
      <c r="U6315" s="28"/>
    </row>
    <row r="6316" ht="15.75" customHeight="1">
      <c r="P6316" s="25"/>
      <c r="Q6316" s="25"/>
      <c r="R6316" s="25"/>
      <c r="S6316" s="25"/>
      <c r="T6316" s="141"/>
      <c r="U6316" s="28"/>
    </row>
    <row r="6317" ht="15.75" customHeight="1">
      <c r="P6317" s="25"/>
      <c r="Q6317" s="25"/>
      <c r="R6317" s="25"/>
      <c r="S6317" s="25"/>
      <c r="T6317" s="141"/>
      <c r="U6317" s="28"/>
    </row>
    <row r="6318" ht="15.75" customHeight="1">
      <c r="P6318" s="25"/>
      <c r="Q6318" s="25"/>
      <c r="R6318" s="25"/>
      <c r="S6318" s="25"/>
      <c r="T6318" s="141"/>
      <c r="U6318" s="28"/>
    </row>
    <row r="6319" ht="15.75" customHeight="1">
      <c r="P6319" s="25"/>
      <c r="Q6319" s="25"/>
      <c r="R6319" s="25"/>
      <c r="S6319" s="25"/>
      <c r="T6319" s="141"/>
      <c r="U6319" s="28"/>
    </row>
    <row r="6320" ht="15.75" customHeight="1">
      <c r="P6320" s="25"/>
      <c r="Q6320" s="25"/>
      <c r="R6320" s="25"/>
      <c r="S6320" s="25"/>
      <c r="T6320" s="141"/>
      <c r="U6320" s="28"/>
    </row>
    <row r="6321" ht="15.75" customHeight="1">
      <c r="P6321" s="25"/>
      <c r="Q6321" s="25"/>
      <c r="R6321" s="25"/>
      <c r="S6321" s="25"/>
      <c r="T6321" s="141"/>
      <c r="U6321" s="28"/>
    </row>
    <row r="6322" ht="15.75" customHeight="1">
      <c r="P6322" s="25"/>
      <c r="Q6322" s="25"/>
      <c r="R6322" s="25"/>
      <c r="S6322" s="25"/>
      <c r="T6322" s="141"/>
      <c r="U6322" s="28"/>
    </row>
    <row r="6323" ht="15.75" customHeight="1">
      <c r="P6323" s="25"/>
      <c r="Q6323" s="25"/>
      <c r="R6323" s="25"/>
      <c r="S6323" s="25"/>
      <c r="T6323" s="141"/>
      <c r="U6323" s="28"/>
    </row>
    <row r="6324" ht="15.75" customHeight="1">
      <c r="P6324" s="25"/>
      <c r="Q6324" s="25"/>
      <c r="R6324" s="25"/>
      <c r="S6324" s="25"/>
      <c r="T6324" s="141"/>
      <c r="U6324" s="28"/>
    </row>
    <row r="6325" ht="15.75" customHeight="1">
      <c r="P6325" s="25"/>
      <c r="Q6325" s="25"/>
      <c r="R6325" s="25"/>
      <c r="S6325" s="25"/>
      <c r="T6325" s="141"/>
      <c r="U6325" s="28"/>
    </row>
    <row r="6326" ht="15.75" customHeight="1">
      <c r="P6326" s="25"/>
      <c r="Q6326" s="25"/>
      <c r="R6326" s="25"/>
      <c r="S6326" s="25"/>
      <c r="T6326" s="141"/>
      <c r="U6326" s="28"/>
    </row>
    <row r="6327" ht="15.75" customHeight="1">
      <c r="P6327" s="25"/>
      <c r="Q6327" s="25"/>
      <c r="R6327" s="25"/>
      <c r="S6327" s="25"/>
      <c r="T6327" s="141"/>
      <c r="U6327" s="28"/>
    </row>
    <row r="6328" ht="15.75" customHeight="1">
      <c r="P6328" s="25"/>
      <c r="Q6328" s="25"/>
      <c r="R6328" s="25"/>
      <c r="S6328" s="25"/>
      <c r="T6328" s="141"/>
      <c r="U6328" s="28"/>
    </row>
    <row r="6329" ht="15.75" customHeight="1">
      <c r="P6329" s="25"/>
      <c r="Q6329" s="25"/>
      <c r="R6329" s="25"/>
      <c r="S6329" s="25"/>
      <c r="T6329" s="141"/>
      <c r="U6329" s="28"/>
    </row>
    <row r="6330" ht="15.75" customHeight="1">
      <c r="P6330" s="25"/>
      <c r="Q6330" s="25"/>
      <c r="R6330" s="25"/>
      <c r="S6330" s="25"/>
      <c r="T6330" s="141"/>
      <c r="U6330" s="28"/>
    </row>
    <row r="6331" ht="15.75" customHeight="1">
      <c r="P6331" s="25"/>
      <c r="Q6331" s="25"/>
      <c r="R6331" s="25"/>
      <c r="S6331" s="25"/>
      <c r="T6331" s="141"/>
      <c r="U6331" s="28"/>
    </row>
    <row r="6332" ht="15.75" customHeight="1">
      <c r="P6332" s="25"/>
      <c r="Q6332" s="25"/>
      <c r="R6332" s="25"/>
      <c r="S6332" s="25"/>
      <c r="T6332" s="141"/>
      <c r="U6332" s="28"/>
    </row>
    <row r="6333" ht="15.75" customHeight="1">
      <c r="P6333" s="25"/>
      <c r="Q6333" s="25"/>
      <c r="R6333" s="25"/>
      <c r="S6333" s="25"/>
      <c r="T6333" s="141"/>
      <c r="U6333" s="28"/>
    </row>
    <row r="6334" ht="15.75" customHeight="1">
      <c r="P6334" s="25"/>
      <c r="Q6334" s="25"/>
      <c r="R6334" s="25"/>
      <c r="S6334" s="25"/>
      <c r="T6334" s="141"/>
      <c r="U6334" s="28"/>
    </row>
    <row r="6335" ht="15.75" customHeight="1">
      <c r="P6335" s="25"/>
      <c r="Q6335" s="25"/>
      <c r="R6335" s="25"/>
      <c r="S6335" s="25"/>
      <c r="T6335" s="141"/>
      <c r="U6335" s="28"/>
    </row>
    <row r="6336" ht="15.75" customHeight="1">
      <c r="P6336" s="25"/>
      <c r="Q6336" s="25"/>
      <c r="R6336" s="25"/>
      <c r="S6336" s="25"/>
      <c r="T6336" s="141"/>
      <c r="U6336" s="28"/>
    </row>
    <row r="6337" ht="15.75" customHeight="1">
      <c r="P6337" s="25"/>
      <c r="Q6337" s="25"/>
      <c r="R6337" s="25"/>
      <c r="S6337" s="25"/>
      <c r="T6337" s="141"/>
      <c r="U6337" s="28"/>
    </row>
    <row r="6338" ht="15.75" customHeight="1">
      <c r="P6338" s="25"/>
      <c r="Q6338" s="25"/>
      <c r="R6338" s="25"/>
      <c r="S6338" s="25"/>
      <c r="T6338" s="141"/>
      <c r="U6338" s="28"/>
    </row>
    <row r="6339" ht="15.75" customHeight="1">
      <c r="P6339" s="25"/>
      <c r="Q6339" s="25"/>
      <c r="R6339" s="25"/>
      <c r="S6339" s="25"/>
      <c r="T6339" s="141"/>
      <c r="U6339" s="28"/>
    </row>
    <row r="6340" ht="15.75" customHeight="1">
      <c r="P6340" s="25"/>
      <c r="Q6340" s="25"/>
      <c r="R6340" s="25"/>
      <c r="S6340" s="25"/>
      <c r="T6340" s="141"/>
      <c r="U6340" s="28"/>
    </row>
    <row r="6341" ht="15.75" customHeight="1">
      <c r="P6341" s="25"/>
      <c r="Q6341" s="25"/>
      <c r="R6341" s="25"/>
      <c r="S6341" s="25"/>
      <c r="T6341" s="141"/>
      <c r="U6341" s="28"/>
    </row>
    <row r="6342" ht="15.75" customHeight="1">
      <c r="P6342" s="25"/>
      <c r="Q6342" s="25"/>
      <c r="R6342" s="25"/>
      <c r="S6342" s="25"/>
      <c r="T6342" s="141"/>
      <c r="U6342" s="28"/>
    </row>
    <row r="6343" ht="15.75" customHeight="1">
      <c r="P6343" s="25"/>
      <c r="Q6343" s="25"/>
      <c r="R6343" s="25"/>
      <c r="S6343" s="25"/>
      <c r="T6343" s="141"/>
      <c r="U6343" s="28"/>
    </row>
    <row r="6344" ht="15.75" customHeight="1">
      <c r="P6344" s="25"/>
      <c r="Q6344" s="25"/>
      <c r="R6344" s="25"/>
      <c r="S6344" s="25"/>
      <c r="T6344" s="141"/>
      <c r="U6344" s="28"/>
    </row>
    <row r="6345" ht="15.75" customHeight="1">
      <c r="P6345" s="25"/>
      <c r="Q6345" s="25"/>
      <c r="R6345" s="25"/>
      <c r="S6345" s="25"/>
      <c r="T6345" s="141"/>
      <c r="U6345" s="28"/>
    </row>
    <row r="6346" ht="15.75" customHeight="1">
      <c r="P6346" s="25"/>
      <c r="Q6346" s="25"/>
      <c r="R6346" s="25"/>
      <c r="S6346" s="25"/>
      <c r="T6346" s="141"/>
      <c r="U6346" s="28"/>
    </row>
    <row r="6347" ht="15.75" customHeight="1">
      <c r="P6347" s="25"/>
      <c r="Q6347" s="25"/>
      <c r="R6347" s="25"/>
      <c r="S6347" s="25"/>
      <c r="T6347" s="141"/>
      <c r="U6347" s="28"/>
    </row>
    <row r="6348" ht="15.75" customHeight="1">
      <c r="P6348" s="25"/>
      <c r="Q6348" s="25"/>
      <c r="R6348" s="25"/>
      <c r="S6348" s="25"/>
      <c r="T6348" s="141"/>
      <c r="U6348" s="28"/>
    </row>
    <row r="6349" ht="15.75" customHeight="1">
      <c r="P6349" s="25"/>
      <c r="Q6349" s="25"/>
      <c r="R6349" s="25"/>
      <c r="S6349" s="25"/>
      <c r="T6349" s="141"/>
      <c r="U6349" s="28"/>
    </row>
    <row r="6350" ht="15.75" customHeight="1">
      <c r="P6350" s="25"/>
      <c r="Q6350" s="25"/>
      <c r="R6350" s="25"/>
      <c r="S6350" s="25"/>
      <c r="T6350" s="141"/>
      <c r="U6350" s="28"/>
    </row>
    <row r="6351" ht="15.75" customHeight="1">
      <c r="P6351" s="25"/>
      <c r="Q6351" s="25"/>
      <c r="R6351" s="25"/>
      <c r="S6351" s="25"/>
      <c r="T6351" s="141"/>
      <c r="U6351" s="28"/>
    </row>
    <row r="6352" ht="15.75" customHeight="1">
      <c r="P6352" s="25"/>
      <c r="Q6352" s="25"/>
      <c r="R6352" s="25"/>
      <c r="S6352" s="25"/>
      <c r="T6352" s="141"/>
      <c r="U6352" s="28"/>
    </row>
    <row r="6353" ht="15.75" customHeight="1">
      <c r="P6353" s="25"/>
      <c r="Q6353" s="25"/>
      <c r="R6353" s="25"/>
      <c r="S6353" s="25"/>
      <c r="T6353" s="141"/>
      <c r="U6353" s="28"/>
    </row>
    <row r="6354" ht="15.75" customHeight="1">
      <c r="P6354" s="25"/>
      <c r="Q6354" s="25"/>
      <c r="R6354" s="25"/>
      <c r="S6354" s="25"/>
      <c r="T6354" s="141"/>
      <c r="U6354" s="28"/>
    </row>
    <row r="6355" ht="15.75" customHeight="1">
      <c r="P6355" s="25"/>
      <c r="Q6355" s="25"/>
      <c r="R6355" s="25"/>
      <c r="S6355" s="25"/>
      <c r="T6355" s="141"/>
      <c r="U6355" s="28"/>
    </row>
    <row r="6356" ht="15.75" customHeight="1">
      <c r="P6356" s="25"/>
      <c r="Q6356" s="25"/>
      <c r="R6356" s="25"/>
      <c r="S6356" s="25"/>
      <c r="T6356" s="141"/>
      <c r="U6356" s="28"/>
    </row>
    <row r="6357" ht="15.75" customHeight="1">
      <c r="P6357" s="25"/>
      <c r="Q6357" s="25"/>
      <c r="R6357" s="25"/>
      <c r="S6357" s="25"/>
      <c r="T6357" s="141"/>
      <c r="U6357" s="28"/>
    </row>
    <row r="6358" ht="15.75" customHeight="1">
      <c r="P6358" s="25"/>
      <c r="Q6358" s="25"/>
      <c r="R6358" s="25"/>
      <c r="S6358" s="25"/>
      <c r="T6358" s="141"/>
      <c r="U6358" s="28"/>
    </row>
    <row r="6359" ht="15.75" customHeight="1">
      <c r="P6359" s="25"/>
      <c r="Q6359" s="25"/>
      <c r="R6359" s="25"/>
      <c r="S6359" s="25"/>
      <c r="T6359" s="141"/>
      <c r="U6359" s="28"/>
    </row>
    <row r="6360" ht="15.75" customHeight="1">
      <c r="P6360" s="25"/>
      <c r="Q6360" s="25"/>
      <c r="R6360" s="25"/>
      <c r="S6360" s="25"/>
      <c r="T6360" s="141"/>
      <c r="U6360" s="28"/>
    </row>
    <row r="6361" ht="15.75" customHeight="1">
      <c r="P6361" s="25"/>
      <c r="Q6361" s="25"/>
      <c r="R6361" s="25"/>
      <c r="S6361" s="25"/>
      <c r="T6361" s="141"/>
      <c r="U6361" s="28"/>
    </row>
    <row r="6362" ht="15.75" customHeight="1">
      <c r="P6362" s="25"/>
      <c r="Q6362" s="25"/>
      <c r="R6362" s="25"/>
      <c r="S6362" s="25"/>
      <c r="T6362" s="141"/>
      <c r="U6362" s="28"/>
    </row>
    <row r="6363" ht="15.75" customHeight="1">
      <c r="P6363" s="25"/>
      <c r="Q6363" s="25"/>
      <c r="R6363" s="25"/>
      <c r="S6363" s="25"/>
      <c r="T6363" s="141"/>
      <c r="U6363" s="28"/>
    </row>
    <row r="6364" ht="15.75" customHeight="1">
      <c r="P6364" s="25"/>
      <c r="Q6364" s="25"/>
      <c r="R6364" s="25"/>
      <c r="S6364" s="25"/>
      <c r="T6364" s="141"/>
      <c r="U6364" s="28"/>
    </row>
    <row r="6365" ht="15.75" customHeight="1">
      <c r="P6365" s="25"/>
      <c r="Q6365" s="25"/>
      <c r="R6365" s="25"/>
      <c r="S6365" s="25"/>
      <c r="T6365" s="141"/>
      <c r="U6365" s="28"/>
    </row>
    <row r="6366" ht="15.75" customHeight="1">
      <c r="P6366" s="25"/>
      <c r="Q6366" s="25"/>
      <c r="R6366" s="25"/>
      <c r="S6366" s="25"/>
      <c r="T6366" s="141"/>
      <c r="U6366" s="28"/>
    </row>
    <row r="6367" ht="15.75" customHeight="1">
      <c r="P6367" s="25"/>
      <c r="Q6367" s="25"/>
      <c r="R6367" s="25"/>
      <c r="S6367" s="25"/>
      <c r="T6367" s="141"/>
      <c r="U6367" s="28"/>
    </row>
    <row r="6368" ht="15.75" customHeight="1">
      <c r="P6368" s="25"/>
      <c r="Q6368" s="25"/>
      <c r="R6368" s="25"/>
      <c r="S6368" s="25"/>
      <c r="T6368" s="141"/>
      <c r="U6368" s="28"/>
    </row>
    <row r="6369" ht="15.75" customHeight="1">
      <c r="P6369" s="25"/>
      <c r="Q6369" s="25"/>
      <c r="R6369" s="25"/>
      <c r="S6369" s="25"/>
      <c r="T6369" s="141"/>
      <c r="U6369" s="28"/>
    </row>
    <row r="6370" ht="15.75" customHeight="1">
      <c r="P6370" s="25"/>
      <c r="Q6370" s="25"/>
      <c r="R6370" s="25"/>
      <c r="S6370" s="25"/>
      <c r="T6370" s="141"/>
      <c r="U6370" s="28"/>
    </row>
    <row r="6371" ht="15.75" customHeight="1">
      <c r="P6371" s="25"/>
      <c r="Q6371" s="25"/>
      <c r="R6371" s="25"/>
      <c r="S6371" s="25"/>
      <c r="T6371" s="141"/>
      <c r="U6371" s="28"/>
    </row>
    <row r="6372" ht="15.75" customHeight="1">
      <c r="P6372" s="25"/>
      <c r="Q6372" s="25"/>
      <c r="R6372" s="25"/>
      <c r="S6372" s="25"/>
      <c r="T6372" s="141"/>
      <c r="U6372" s="28"/>
    </row>
    <row r="6373" ht="15.75" customHeight="1">
      <c r="P6373" s="25"/>
      <c r="Q6373" s="25"/>
      <c r="R6373" s="25"/>
      <c r="S6373" s="25"/>
      <c r="T6373" s="141"/>
      <c r="U6373" s="28"/>
    </row>
    <row r="6374" ht="15.75" customHeight="1">
      <c r="P6374" s="25"/>
      <c r="Q6374" s="25"/>
      <c r="R6374" s="25"/>
      <c r="S6374" s="25"/>
      <c r="T6374" s="141"/>
      <c r="U6374" s="28"/>
    </row>
    <row r="6375" ht="15.75" customHeight="1">
      <c r="P6375" s="25"/>
      <c r="Q6375" s="25"/>
      <c r="R6375" s="25"/>
      <c r="S6375" s="25"/>
      <c r="T6375" s="141"/>
      <c r="U6375" s="28"/>
    </row>
    <row r="6376" ht="15.75" customHeight="1">
      <c r="P6376" s="25"/>
      <c r="Q6376" s="25"/>
      <c r="R6376" s="25"/>
      <c r="S6376" s="25"/>
      <c r="T6376" s="141"/>
      <c r="U6376" s="28"/>
    </row>
    <row r="6377" ht="15.75" customHeight="1">
      <c r="P6377" s="25"/>
      <c r="Q6377" s="25"/>
      <c r="R6377" s="25"/>
      <c r="S6377" s="25"/>
      <c r="T6377" s="141"/>
      <c r="U6377" s="28"/>
    </row>
    <row r="6378" ht="15.75" customHeight="1">
      <c r="P6378" s="25"/>
      <c r="Q6378" s="25"/>
      <c r="R6378" s="25"/>
      <c r="S6378" s="25"/>
      <c r="T6378" s="141"/>
      <c r="U6378" s="28"/>
    </row>
    <row r="6379" ht="15.75" customHeight="1">
      <c r="P6379" s="25"/>
      <c r="Q6379" s="25"/>
      <c r="R6379" s="25"/>
      <c r="S6379" s="25"/>
      <c r="T6379" s="141"/>
      <c r="U6379" s="28"/>
    </row>
    <row r="6380" ht="15.75" customHeight="1">
      <c r="P6380" s="25"/>
      <c r="Q6380" s="25"/>
      <c r="R6380" s="25"/>
      <c r="S6380" s="25"/>
      <c r="T6380" s="141"/>
      <c r="U6380" s="28"/>
    </row>
    <row r="6381" ht="15.75" customHeight="1">
      <c r="P6381" s="25"/>
      <c r="Q6381" s="25"/>
      <c r="R6381" s="25"/>
      <c r="S6381" s="25"/>
      <c r="T6381" s="141"/>
      <c r="U6381" s="28"/>
    </row>
    <row r="6382" ht="15.75" customHeight="1">
      <c r="P6382" s="25"/>
      <c r="Q6382" s="25"/>
      <c r="R6382" s="25"/>
      <c r="S6382" s="25"/>
      <c r="T6382" s="141"/>
      <c r="U6382" s="28"/>
    </row>
    <row r="6383" ht="15.75" customHeight="1">
      <c r="P6383" s="25"/>
      <c r="Q6383" s="25"/>
      <c r="R6383" s="25"/>
      <c r="S6383" s="25"/>
      <c r="T6383" s="141"/>
      <c r="U6383" s="28"/>
    </row>
    <row r="6384" ht="15.75" customHeight="1">
      <c r="P6384" s="25"/>
      <c r="Q6384" s="25"/>
      <c r="R6384" s="25"/>
      <c r="S6384" s="25"/>
      <c r="T6384" s="141"/>
      <c r="U6384" s="28"/>
    </row>
    <row r="6385" ht="15.75" customHeight="1">
      <c r="P6385" s="25"/>
      <c r="Q6385" s="25"/>
      <c r="R6385" s="25"/>
      <c r="S6385" s="25"/>
      <c r="T6385" s="141"/>
      <c r="U6385" s="28"/>
    </row>
    <row r="6386" ht="15.75" customHeight="1">
      <c r="P6386" s="25"/>
      <c r="Q6386" s="25"/>
      <c r="R6386" s="25"/>
      <c r="S6386" s="25"/>
      <c r="T6386" s="141"/>
      <c r="U6386" s="28"/>
    </row>
    <row r="6387" ht="15.75" customHeight="1">
      <c r="P6387" s="25"/>
      <c r="Q6387" s="25"/>
      <c r="R6387" s="25"/>
      <c r="S6387" s="25"/>
      <c r="T6387" s="141"/>
      <c r="U6387" s="28"/>
    </row>
    <row r="6388" ht="15.75" customHeight="1">
      <c r="P6388" s="25"/>
      <c r="Q6388" s="25"/>
      <c r="R6388" s="25"/>
      <c r="S6388" s="25"/>
      <c r="T6388" s="141"/>
      <c r="U6388" s="28"/>
    </row>
    <row r="6389" ht="15.75" customHeight="1">
      <c r="P6389" s="25"/>
      <c r="Q6389" s="25"/>
      <c r="R6389" s="25"/>
      <c r="S6389" s="25"/>
      <c r="T6389" s="141"/>
      <c r="U6389" s="28"/>
    </row>
    <row r="6390" ht="15.75" customHeight="1">
      <c r="P6390" s="25"/>
      <c r="Q6390" s="25"/>
      <c r="R6390" s="25"/>
      <c r="S6390" s="25"/>
      <c r="T6390" s="141"/>
      <c r="U6390" s="28"/>
    </row>
    <row r="6391" ht="15.75" customHeight="1">
      <c r="P6391" s="25"/>
      <c r="Q6391" s="25"/>
      <c r="R6391" s="25"/>
      <c r="S6391" s="25"/>
      <c r="T6391" s="141"/>
      <c r="U6391" s="28"/>
    </row>
    <row r="6392" ht="15.75" customHeight="1">
      <c r="P6392" s="25"/>
      <c r="Q6392" s="25"/>
      <c r="R6392" s="25"/>
      <c r="S6392" s="25"/>
      <c r="T6392" s="141"/>
      <c r="U6392" s="28"/>
    </row>
    <row r="6393" ht="15.75" customHeight="1">
      <c r="P6393" s="25"/>
      <c r="Q6393" s="25"/>
      <c r="R6393" s="25"/>
      <c r="S6393" s="25"/>
      <c r="T6393" s="141"/>
      <c r="U6393" s="28"/>
    </row>
    <row r="6394" ht="15.75" customHeight="1">
      <c r="P6394" s="25"/>
      <c r="Q6394" s="25"/>
      <c r="R6394" s="25"/>
      <c r="S6394" s="25"/>
      <c r="T6394" s="141"/>
      <c r="U6394" s="28"/>
    </row>
    <row r="6395" ht="15.75" customHeight="1">
      <c r="P6395" s="25"/>
      <c r="Q6395" s="25"/>
      <c r="R6395" s="25"/>
      <c r="S6395" s="25"/>
      <c r="T6395" s="141"/>
      <c r="U6395" s="28"/>
    </row>
    <row r="6396" ht="15.75" customHeight="1">
      <c r="P6396" s="25"/>
      <c r="Q6396" s="25"/>
      <c r="R6396" s="25"/>
      <c r="S6396" s="25"/>
      <c r="T6396" s="141"/>
      <c r="U6396" s="28"/>
    </row>
    <row r="6397" ht="15.75" customHeight="1">
      <c r="P6397" s="25"/>
      <c r="Q6397" s="25"/>
      <c r="R6397" s="25"/>
      <c r="S6397" s="25"/>
      <c r="T6397" s="141"/>
      <c r="U6397" s="28"/>
    </row>
    <row r="6398" ht="15.75" customHeight="1">
      <c r="P6398" s="25"/>
      <c r="Q6398" s="25"/>
      <c r="R6398" s="25"/>
      <c r="S6398" s="25"/>
      <c r="T6398" s="141"/>
      <c r="U6398" s="28"/>
    </row>
    <row r="6399" ht="15.75" customHeight="1">
      <c r="P6399" s="25"/>
      <c r="Q6399" s="25"/>
      <c r="R6399" s="25"/>
      <c r="S6399" s="25"/>
      <c r="T6399" s="141"/>
      <c r="U6399" s="28"/>
    </row>
    <row r="6400" ht="15.75" customHeight="1">
      <c r="P6400" s="25"/>
      <c r="Q6400" s="25"/>
      <c r="R6400" s="25"/>
      <c r="S6400" s="25"/>
      <c r="T6400" s="141"/>
      <c r="U6400" s="28"/>
    </row>
    <row r="6401" ht="15.75" customHeight="1">
      <c r="P6401" s="25"/>
      <c r="Q6401" s="25"/>
      <c r="R6401" s="25"/>
      <c r="S6401" s="25"/>
      <c r="T6401" s="141"/>
      <c r="U6401" s="28"/>
    </row>
    <row r="6402" ht="15.75" customHeight="1">
      <c r="P6402" s="25"/>
      <c r="Q6402" s="25"/>
      <c r="R6402" s="25"/>
      <c r="S6402" s="25"/>
      <c r="T6402" s="141"/>
      <c r="U6402" s="28"/>
    </row>
    <row r="6403" ht="15.75" customHeight="1">
      <c r="P6403" s="25"/>
      <c r="Q6403" s="25"/>
      <c r="R6403" s="25"/>
      <c r="S6403" s="25"/>
      <c r="T6403" s="141"/>
      <c r="U6403" s="28"/>
    </row>
    <row r="6404" ht="15.75" customHeight="1">
      <c r="P6404" s="25"/>
      <c r="Q6404" s="25"/>
      <c r="R6404" s="25"/>
      <c r="S6404" s="25"/>
      <c r="T6404" s="141"/>
      <c r="U6404" s="28"/>
    </row>
    <row r="6405" ht="15.75" customHeight="1">
      <c r="P6405" s="25"/>
      <c r="Q6405" s="25"/>
      <c r="R6405" s="25"/>
      <c r="S6405" s="25"/>
      <c r="T6405" s="141"/>
      <c r="U6405" s="28"/>
    </row>
    <row r="6406" ht="15.75" customHeight="1">
      <c r="P6406" s="25"/>
      <c r="Q6406" s="25"/>
      <c r="R6406" s="25"/>
      <c r="S6406" s="25"/>
      <c r="T6406" s="141"/>
      <c r="U6406" s="28"/>
    </row>
    <row r="6407" ht="15.75" customHeight="1">
      <c r="P6407" s="25"/>
      <c r="Q6407" s="25"/>
      <c r="R6407" s="25"/>
      <c r="S6407" s="25"/>
      <c r="T6407" s="141"/>
      <c r="U6407" s="28"/>
    </row>
    <row r="6408" ht="15.75" customHeight="1">
      <c r="P6408" s="25"/>
      <c r="Q6408" s="25"/>
      <c r="R6408" s="25"/>
      <c r="S6408" s="25"/>
      <c r="T6408" s="141"/>
      <c r="U6408" s="28"/>
    </row>
    <row r="6409" ht="15.75" customHeight="1">
      <c r="P6409" s="25"/>
      <c r="Q6409" s="25"/>
      <c r="R6409" s="25"/>
      <c r="S6409" s="25"/>
      <c r="T6409" s="141"/>
      <c r="U6409" s="28"/>
    </row>
    <row r="6410" ht="15.75" customHeight="1">
      <c r="P6410" s="25"/>
      <c r="Q6410" s="25"/>
      <c r="R6410" s="25"/>
      <c r="S6410" s="25"/>
      <c r="T6410" s="141"/>
      <c r="U6410" s="28"/>
    </row>
    <row r="6411" ht="15.75" customHeight="1">
      <c r="P6411" s="25"/>
      <c r="Q6411" s="25"/>
      <c r="R6411" s="25"/>
      <c r="S6411" s="25"/>
      <c r="T6411" s="141"/>
      <c r="U6411" s="28"/>
    </row>
    <row r="6412" ht="15.75" customHeight="1">
      <c r="P6412" s="25"/>
      <c r="Q6412" s="25"/>
      <c r="R6412" s="25"/>
      <c r="S6412" s="25"/>
      <c r="T6412" s="141"/>
      <c r="U6412" s="28"/>
    </row>
    <row r="6413" ht="15.75" customHeight="1">
      <c r="P6413" s="25"/>
      <c r="Q6413" s="25"/>
      <c r="R6413" s="25"/>
      <c r="S6413" s="25"/>
      <c r="T6413" s="141"/>
      <c r="U6413" s="28"/>
    </row>
    <row r="6414" ht="15.75" customHeight="1">
      <c r="P6414" s="25"/>
      <c r="Q6414" s="25"/>
      <c r="R6414" s="25"/>
      <c r="S6414" s="25"/>
      <c r="T6414" s="141"/>
      <c r="U6414" s="28"/>
    </row>
    <row r="6415" ht="15.75" customHeight="1">
      <c r="P6415" s="25"/>
      <c r="Q6415" s="25"/>
      <c r="R6415" s="25"/>
      <c r="S6415" s="25"/>
      <c r="T6415" s="141"/>
      <c r="U6415" s="28"/>
    </row>
    <row r="6416" ht="15.75" customHeight="1">
      <c r="P6416" s="25"/>
      <c r="Q6416" s="25"/>
      <c r="R6416" s="25"/>
      <c r="S6416" s="25"/>
      <c r="T6416" s="141"/>
      <c r="U6416" s="28"/>
    </row>
    <row r="6417" ht="15.75" customHeight="1">
      <c r="P6417" s="25"/>
      <c r="Q6417" s="25"/>
      <c r="R6417" s="25"/>
      <c r="S6417" s="25"/>
      <c r="T6417" s="141"/>
      <c r="U6417" s="28"/>
    </row>
    <row r="6418" ht="15.75" customHeight="1">
      <c r="P6418" s="25"/>
      <c r="Q6418" s="25"/>
      <c r="R6418" s="25"/>
      <c r="S6418" s="25"/>
      <c r="T6418" s="141"/>
      <c r="U6418" s="28"/>
    </row>
    <row r="6419" ht="15.75" customHeight="1">
      <c r="P6419" s="25"/>
      <c r="Q6419" s="25"/>
      <c r="R6419" s="25"/>
      <c r="S6419" s="25"/>
      <c r="T6419" s="141"/>
      <c r="U6419" s="28"/>
    </row>
    <row r="6420" ht="15.75" customHeight="1">
      <c r="P6420" s="25"/>
      <c r="Q6420" s="25"/>
      <c r="R6420" s="25"/>
      <c r="S6420" s="25"/>
      <c r="T6420" s="141"/>
      <c r="U6420" s="28"/>
    </row>
    <row r="6421" ht="15.75" customHeight="1">
      <c r="P6421" s="25"/>
      <c r="Q6421" s="25"/>
      <c r="R6421" s="25"/>
      <c r="S6421" s="25"/>
      <c r="T6421" s="141"/>
      <c r="U6421" s="28"/>
    </row>
    <row r="6422" ht="15.75" customHeight="1">
      <c r="P6422" s="25"/>
      <c r="Q6422" s="25"/>
      <c r="R6422" s="25"/>
      <c r="S6422" s="25"/>
      <c r="T6422" s="141"/>
      <c r="U6422" s="28"/>
    </row>
    <row r="6423" ht="15.75" customHeight="1">
      <c r="P6423" s="25"/>
      <c r="Q6423" s="25"/>
      <c r="R6423" s="25"/>
      <c r="S6423" s="25"/>
      <c r="T6423" s="141"/>
      <c r="U6423" s="28"/>
    </row>
    <row r="6424" ht="15.75" customHeight="1">
      <c r="P6424" s="25"/>
      <c r="Q6424" s="25"/>
      <c r="R6424" s="25"/>
      <c r="S6424" s="25"/>
      <c r="T6424" s="141"/>
      <c r="U6424" s="28"/>
    </row>
    <row r="6425" ht="15.75" customHeight="1">
      <c r="P6425" s="25"/>
      <c r="Q6425" s="25"/>
      <c r="R6425" s="25"/>
      <c r="S6425" s="25"/>
      <c r="T6425" s="141"/>
      <c r="U6425" s="28"/>
    </row>
    <row r="6426" ht="15.75" customHeight="1">
      <c r="P6426" s="25"/>
      <c r="Q6426" s="25"/>
      <c r="R6426" s="25"/>
      <c r="S6426" s="25"/>
      <c r="T6426" s="141"/>
      <c r="U6426" s="28"/>
    </row>
    <row r="6427" ht="15.75" customHeight="1">
      <c r="P6427" s="25"/>
      <c r="Q6427" s="25"/>
      <c r="R6427" s="25"/>
      <c r="S6427" s="25"/>
      <c r="T6427" s="141"/>
      <c r="U6427" s="28"/>
    </row>
    <row r="6428" ht="15.75" customHeight="1">
      <c r="P6428" s="25"/>
      <c r="Q6428" s="25"/>
      <c r="R6428" s="25"/>
      <c r="S6428" s="25"/>
      <c r="T6428" s="141"/>
      <c r="U6428" s="28"/>
    </row>
    <row r="6429" ht="15.75" customHeight="1">
      <c r="P6429" s="25"/>
      <c r="Q6429" s="25"/>
      <c r="R6429" s="25"/>
      <c r="S6429" s="25"/>
      <c r="T6429" s="141"/>
      <c r="U6429" s="28"/>
    </row>
    <row r="6430" ht="15.75" customHeight="1">
      <c r="P6430" s="25"/>
      <c r="Q6430" s="25"/>
      <c r="R6430" s="25"/>
      <c r="S6430" s="25"/>
      <c r="T6430" s="141"/>
      <c r="U6430" s="28"/>
    </row>
    <row r="6431" ht="15.75" customHeight="1">
      <c r="P6431" s="25"/>
      <c r="Q6431" s="25"/>
      <c r="R6431" s="25"/>
      <c r="S6431" s="25"/>
      <c r="T6431" s="141"/>
      <c r="U6431" s="28"/>
    </row>
    <row r="6432" ht="15.75" customHeight="1">
      <c r="P6432" s="25"/>
      <c r="Q6432" s="25"/>
      <c r="R6432" s="25"/>
      <c r="S6432" s="25"/>
      <c r="T6432" s="141"/>
      <c r="U6432" s="28"/>
    </row>
    <row r="6433" ht="15.75" customHeight="1">
      <c r="P6433" s="25"/>
      <c r="Q6433" s="25"/>
      <c r="R6433" s="25"/>
      <c r="S6433" s="25"/>
      <c r="T6433" s="141"/>
      <c r="U6433" s="28"/>
    </row>
    <row r="6434" ht="15.75" customHeight="1">
      <c r="P6434" s="25"/>
      <c r="Q6434" s="25"/>
      <c r="R6434" s="25"/>
      <c r="S6434" s="25"/>
      <c r="T6434" s="141"/>
      <c r="U6434" s="28"/>
    </row>
    <row r="6435" ht="15.75" customHeight="1">
      <c r="P6435" s="25"/>
      <c r="Q6435" s="25"/>
      <c r="R6435" s="25"/>
      <c r="S6435" s="25"/>
      <c r="T6435" s="141"/>
      <c r="U6435" s="28"/>
    </row>
    <row r="6436" ht="15.75" customHeight="1">
      <c r="P6436" s="25"/>
      <c r="Q6436" s="25"/>
      <c r="R6436" s="25"/>
      <c r="S6436" s="25"/>
      <c r="T6436" s="141"/>
      <c r="U6436" s="28"/>
    </row>
    <row r="6437" ht="15.75" customHeight="1">
      <c r="P6437" s="25"/>
      <c r="Q6437" s="25"/>
      <c r="R6437" s="25"/>
      <c r="S6437" s="25"/>
      <c r="T6437" s="141"/>
      <c r="U6437" s="28"/>
    </row>
    <row r="6438" ht="15.75" customHeight="1">
      <c r="P6438" s="25"/>
      <c r="Q6438" s="25"/>
      <c r="R6438" s="25"/>
      <c r="S6438" s="25"/>
      <c r="T6438" s="141"/>
      <c r="U6438" s="28"/>
    </row>
    <row r="6439" ht="15.75" customHeight="1">
      <c r="P6439" s="25"/>
      <c r="Q6439" s="25"/>
      <c r="R6439" s="25"/>
      <c r="S6439" s="25"/>
      <c r="T6439" s="141"/>
      <c r="U6439" s="28"/>
    </row>
    <row r="6440" ht="15.75" customHeight="1">
      <c r="P6440" s="25"/>
      <c r="Q6440" s="25"/>
      <c r="R6440" s="25"/>
      <c r="S6440" s="25"/>
      <c r="T6440" s="141"/>
      <c r="U6440" s="28"/>
    </row>
    <row r="6441" ht="15.75" customHeight="1">
      <c r="P6441" s="25"/>
      <c r="Q6441" s="25"/>
      <c r="R6441" s="25"/>
      <c r="S6441" s="25"/>
      <c r="T6441" s="141"/>
      <c r="U6441" s="28"/>
    </row>
    <row r="6442" ht="15.75" customHeight="1">
      <c r="P6442" s="25"/>
      <c r="Q6442" s="25"/>
      <c r="R6442" s="25"/>
      <c r="S6442" s="25"/>
      <c r="T6442" s="141"/>
      <c r="U6442" s="28"/>
    </row>
    <row r="6443" ht="15.75" customHeight="1">
      <c r="P6443" s="25"/>
      <c r="Q6443" s="25"/>
      <c r="R6443" s="25"/>
      <c r="S6443" s="25"/>
      <c r="T6443" s="141"/>
      <c r="U6443" s="28"/>
    </row>
    <row r="6444" ht="15.75" customHeight="1">
      <c r="P6444" s="25"/>
      <c r="Q6444" s="25"/>
      <c r="R6444" s="25"/>
      <c r="S6444" s="25"/>
      <c r="T6444" s="141"/>
      <c r="U6444" s="28"/>
    </row>
    <row r="6445" ht="15.75" customHeight="1">
      <c r="P6445" s="25"/>
      <c r="Q6445" s="25"/>
      <c r="R6445" s="25"/>
      <c r="S6445" s="25"/>
      <c r="T6445" s="141"/>
      <c r="U6445" s="28"/>
    </row>
    <row r="6446" ht="15.75" customHeight="1">
      <c r="P6446" s="25"/>
      <c r="Q6446" s="25"/>
      <c r="R6446" s="25"/>
      <c r="S6446" s="25"/>
      <c r="T6446" s="141"/>
      <c r="U6446" s="28"/>
    </row>
    <row r="6447" ht="15.75" customHeight="1">
      <c r="P6447" s="25"/>
      <c r="Q6447" s="25"/>
      <c r="R6447" s="25"/>
      <c r="S6447" s="25"/>
      <c r="T6447" s="141"/>
      <c r="U6447" s="28"/>
    </row>
    <row r="6448" ht="15.75" customHeight="1">
      <c r="P6448" s="25"/>
      <c r="Q6448" s="25"/>
      <c r="R6448" s="25"/>
      <c r="S6448" s="25"/>
      <c r="T6448" s="141"/>
      <c r="U6448" s="28"/>
    </row>
    <row r="6449" ht="15.75" customHeight="1">
      <c r="P6449" s="25"/>
      <c r="Q6449" s="25"/>
      <c r="R6449" s="25"/>
      <c r="S6449" s="25"/>
      <c r="T6449" s="141"/>
      <c r="U6449" s="28"/>
    </row>
    <row r="6450" ht="15.75" customHeight="1">
      <c r="P6450" s="25"/>
      <c r="Q6450" s="25"/>
      <c r="R6450" s="25"/>
      <c r="S6450" s="25"/>
      <c r="T6450" s="141"/>
      <c r="U6450" s="28"/>
    </row>
    <row r="6451" ht="15.75" customHeight="1">
      <c r="P6451" s="25"/>
      <c r="Q6451" s="25"/>
      <c r="R6451" s="25"/>
      <c r="S6451" s="25"/>
      <c r="T6451" s="141"/>
      <c r="U6451" s="28"/>
    </row>
    <row r="6452" ht="15.75" customHeight="1">
      <c r="P6452" s="25"/>
      <c r="Q6452" s="25"/>
      <c r="R6452" s="25"/>
      <c r="S6452" s="25"/>
      <c r="T6452" s="141"/>
      <c r="U6452" s="28"/>
    </row>
    <row r="6453" ht="15.75" customHeight="1">
      <c r="P6453" s="25"/>
      <c r="Q6453" s="25"/>
      <c r="R6453" s="25"/>
      <c r="S6453" s="25"/>
      <c r="T6453" s="141"/>
      <c r="U6453" s="28"/>
    </row>
    <row r="6454" ht="15.75" customHeight="1">
      <c r="P6454" s="25"/>
      <c r="Q6454" s="25"/>
      <c r="R6454" s="25"/>
      <c r="S6454" s="25"/>
      <c r="T6454" s="141"/>
      <c r="U6454" s="28"/>
    </row>
    <row r="6455" ht="15.75" customHeight="1">
      <c r="P6455" s="25"/>
      <c r="Q6455" s="25"/>
      <c r="R6455" s="25"/>
      <c r="S6455" s="25"/>
      <c r="T6455" s="141"/>
      <c r="U6455" s="28"/>
    </row>
    <row r="6456" ht="15.75" customHeight="1">
      <c r="P6456" s="25"/>
      <c r="Q6456" s="25"/>
      <c r="R6456" s="25"/>
      <c r="S6456" s="25"/>
      <c r="T6456" s="141"/>
      <c r="U6456" s="28"/>
    </row>
    <row r="6457" ht="15.75" customHeight="1">
      <c r="P6457" s="25"/>
      <c r="Q6457" s="25"/>
      <c r="R6457" s="25"/>
      <c r="S6457" s="25"/>
      <c r="T6457" s="141"/>
      <c r="U6457" s="28"/>
    </row>
    <row r="6458" ht="15.75" customHeight="1">
      <c r="P6458" s="25"/>
      <c r="Q6458" s="25"/>
      <c r="R6458" s="25"/>
      <c r="S6458" s="25"/>
      <c r="T6458" s="141"/>
      <c r="U6458" s="28"/>
    </row>
    <row r="6459" ht="15.75" customHeight="1">
      <c r="P6459" s="25"/>
      <c r="Q6459" s="25"/>
      <c r="R6459" s="25"/>
      <c r="S6459" s="25"/>
      <c r="T6459" s="141"/>
      <c r="U6459" s="28"/>
    </row>
    <row r="6460" ht="15.75" customHeight="1">
      <c r="P6460" s="25"/>
      <c r="Q6460" s="25"/>
      <c r="R6460" s="25"/>
      <c r="S6460" s="25"/>
      <c r="T6460" s="141"/>
      <c r="U6460" s="28"/>
    </row>
    <row r="6461" ht="15.75" customHeight="1">
      <c r="P6461" s="25"/>
      <c r="Q6461" s="25"/>
      <c r="R6461" s="25"/>
      <c r="S6461" s="25"/>
      <c r="T6461" s="141"/>
      <c r="U6461" s="28"/>
    </row>
    <row r="6462" ht="15.75" customHeight="1">
      <c r="P6462" s="25"/>
      <c r="Q6462" s="25"/>
      <c r="R6462" s="25"/>
      <c r="S6462" s="25"/>
      <c r="T6462" s="141"/>
      <c r="U6462" s="28"/>
    </row>
    <row r="6463" ht="15.75" customHeight="1">
      <c r="P6463" s="25"/>
      <c r="Q6463" s="25"/>
      <c r="R6463" s="25"/>
      <c r="S6463" s="25"/>
      <c r="T6463" s="141"/>
      <c r="U6463" s="28"/>
    </row>
    <row r="6464" ht="15.75" customHeight="1">
      <c r="P6464" s="25"/>
      <c r="Q6464" s="25"/>
      <c r="R6464" s="25"/>
      <c r="S6464" s="25"/>
      <c r="T6464" s="141"/>
      <c r="U6464" s="28"/>
    </row>
    <row r="6465" ht="15.75" customHeight="1">
      <c r="P6465" s="25"/>
      <c r="Q6465" s="25"/>
      <c r="R6465" s="25"/>
      <c r="S6465" s="25"/>
      <c r="T6465" s="141"/>
      <c r="U6465" s="28"/>
    </row>
    <row r="6466" ht="15.75" customHeight="1">
      <c r="P6466" s="25"/>
      <c r="Q6466" s="25"/>
      <c r="R6466" s="25"/>
      <c r="S6466" s="25"/>
      <c r="T6466" s="141"/>
      <c r="U6466" s="28"/>
    </row>
    <row r="6467" ht="15.75" customHeight="1">
      <c r="P6467" s="25"/>
      <c r="Q6467" s="25"/>
      <c r="R6467" s="25"/>
      <c r="S6467" s="25"/>
      <c r="T6467" s="141"/>
      <c r="U6467" s="28"/>
    </row>
    <row r="6468" ht="15.75" customHeight="1">
      <c r="P6468" s="25"/>
      <c r="Q6468" s="25"/>
      <c r="R6468" s="25"/>
      <c r="S6468" s="25"/>
      <c r="T6468" s="141"/>
      <c r="U6468" s="28"/>
    </row>
    <row r="6469" ht="15.75" customHeight="1">
      <c r="P6469" s="25"/>
      <c r="Q6469" s="25"/>
      <c r="R6469" s="25"/>
      <c r="S6469" s="25"/>
      <c r="T6469" s="141"/>
      <c r="U6469" s="28"/>
    </row>
    <row r="6470" ht="15.75" customHeight="1">
      <c r="P6470" s="25"/>
      <c r="Q6470" s="25"/>
      <c r="R6470" s="25"/>
      <c r="S6470" s="25"/>
      <c r="T6470" s="141"/>
      <c r="U6470" s="28"/>
    </row>
    <row r="6471" ht="15.75" customHeight="1">
      <c r="P6471" s="25"/>
      <c r="Q6471" s="25"/>
      <c r="R6471" s="25"/>
      <c r="S6471" s="25"/>
      <c r="T6471" s="141"/>
      <c r="U6471" s="28"/>
    </row>
    <row r="6472" ht="15.75" customHeight="1">
      <c r="P6472" s="25"/>
      <c r="Q6472" s="25"/>
      <c r="R6472" s="25"/>
      <c r="S6472" s="25"/>
      <c r="T6472" s="141"/>
      <c r="U6472" s="28"/>
    </row>
    <row r="6473" ht="15.75" customHeight="1">
      <c r="P6473" s="25"/>
      <c r="Q6473" s="25"/>
      <c r="R6473" s="25"/>
      <c r="S6473" s="25"/>
      <c r="T6473" s="141"/>
      <c r="U6473" s="28"/>
    </row>
    <row r="6474" ht="15.75" customHeight="1">
      <c r="P6474" s="25"/>
      <c r="Q6474" s="25"/>
      <c r="R6474" s="25"/>
      <c r="S6474" s="25"/>
      <c r="T6474" s="141"/>
      <c r="U6474" s="28"/>
    </row>
    <row r="6475" ht="15.75" customHeight="1">
      <c r="P6475" s="25"/>
      <c r="Q6475" s="25"/>
      <c r="R6475" s="25"/>
      <c r="S6475" s="25"/>
      <c r="T6475" s="141"/>
      <c r="U6475" s="28"/>
    </row>
    <row r="6476" ht="15.75" customHeight="1">
      <c r="P6476" s="25"/>
      <c r="Q6476" s="25"/>
      <c r="R6476" s="25"/>
      <c r="S6476" s="25"/>
      <c r="T6476" s="141"/>
      <c r="U6476" s="28"/>
    </row>
    <row r="6477" ht="15.75" customHeight="1">
      <c r="P6477" s="25"/>
      <c r="Q6477" s="25"/>
      <c r="R6477" s="25"/>
      <c r="S6477" s="25"/>
      <c r="T6477" s="141"/>
      <c r="U6477" s="28"/>
    </row>
    <row r="6478" ht="15.75" customHeight="1">
      <c r="P6478" s="25"/>
      <c r="Q6478" s="25"/>
      <c r="R6478" s="25"/>
      <c r="S6478" s="25"/>
      <c r="T6478" s="141"/>
      <c r="U6478" s="28"/>
    </row>
    <row r="6479" ht="15.75" customHeight="1">
      <c r="P6479" s="25"/>
      <c r="Q6479" s="25"/>
      <c r="R6479" s="25"/>
      <c r="S6479" s="25"/>
      <c r="T6479" s="141"/>
      <c r="U6479" s="28"/>
    </row>
    <row r="6480" ht="15.75" customHeight="1">
      <c r="P6480" s="25"/>
      <c r="Q6480" s="25"/>
      <c r="R6480" s="25"/>
      <c r="S6480" s="25"/>
      <c r="T6480" s="141"/>
      <c r="U6480" s="28"/>
    </row>
    <row r="6481" ht="15.75" customHeight="1">
      <c r="P6481" s="25"/>
      <c r="Q6481" s="25"/>
      <c r="R6481" s="25"/>
      <c r="S6481" s="25"/>
      <c r="T6481" s="141"/>
      <c r="U6481" s="28"/>
    </row>
    <row r="6482" ht="15.75" customHeight="1">
      <c r="P6482" s="25"/>
      <c r="Q6482" s="25"/>
      <c r="R6482" s="25"/>
      <c r="S6482" s="25"/>
      <c r="T6482" s="141"/>
      <c r="U6482" s="28"/>
    </row>
    <row r="6483" ht="15.75" customHeight="1">
      <c r="P6483" s="25"/>
      <c r="Q6483" s="25"/>
      <c r="R6483" s="25"/>
      <c r="S6483" s="25"/>
      <c r="T6483" s="141"/>
      <c r="U6483" s="28"/>
    </row>
    <row r="6484" ht="15.75" customHeight="1">
      <c r="P6484" s="25"/>
      <c r="Q6484" s="25"/>
      <c r="R6484" s="25"/>
      <c r="S6484" s="25"/>
      <c r="T6484" s="141"/>
      <c r="U6484" s="28"/>
    </row>
    <row r="6485" ht="15.75" customHeight="1">
      <c r="P6485" s="25"/>
      <c r="Q6485" s="25"/>
      <c r="R6485" s="25"/>
      <c r="S6485" s="25"/>
      <c r="T6485" s="141"/>
      <c r="U6485" s="28"/>
    </row>
    <row r="6486" ht="15.75" customHeight="1">
      <c r="P6486" s="25"/>
      <c r="Q6486" s="25"/>
      <c r="R6486" s="25"/>
      <c r="S6486" s="25"/>
      <c r="T6486" s="141"/>
      <c r="U6486" s="28"/>
    </row>
    <row r="6487" ht="15.75" customHeight="1">
      <c r="P6487" s="25"/>
      <c r="Q6487" s="25"/>
      <c r="R6487" s="25"/>
      <c r="S6487" s="25"/>
      <c r="T6487" s="141"/>
      <c r="U6487" s="28"/>
    </row>
    <row r="6488" ht="15.75" customHeight="1">
      <c r="P6488" s="25"/>
      <c r="Q6488" s="25"/>
      <c r="R6488" s="25"/>
      <c r="S6488" s="25"/>
      <c r="T6488" s="141"/>
      <c r="U6488" s="28"/>
    </row>
    <row r="6489" ht="15.75" customHeight="1">
      <c r="P6489" s="25"/>
      <c r="Q6489" s="25"/>
      <c r="R6489" s="25"/>
      <c r="S6489" s="25"/>
      <c r="T6489" s="141"/>
      <c r="U6489" s="28"/>
    </row>
    <row r="6490" ht="15.75" customHeight="1">
      <c r="P6490" s="25"/>
      <c r="Q6490" s="25"/>
      <c r="R6490" s="25"/>
      <c r="S6490" s="25"/>
      <c r="T6490" s="141"/>
      <c r="U6490" s="28"/>
    </row>
    <row r="6491" ht="15.75" customHeight="1">
      <c r="P6491" s="25"/>
      <c r="Q6491" s="25"/>
      <c r="R6491" s="25"/>
      <c r="S6491" s="25"/>
      <c r="T6491" s="141"/>
      <c r="U6491" s="28"/>
    </row>
    <row r="6492" ht="15.75" customHeight="1">
      <c r="P6492" s="25"/>
      <c r="Q6492" s="25"/>
      <c r="R6492" s="25"/>
      <c r="S6492" s="25"/>
      <c r="T6492" s="141"/>
      <c r="U6492" s="28"/>
    </row>
    <row r="6493" ht="15.75" customHeight="1">
      <c r="P6493" s="25"/>
      <c r="Q6493" s="25"/>
      <c r="R6493" s="25"/>
      <c r="S6493" s="25"/>
      <c r="T6493" s="141"/>
      <c r="U6493" s="28"/>
    </row>
    <row r="6494" ht="15.75" customHeight="1">
      <c r="P6494" s="25"/>
      <c r="Q6494" s="25"/>
      <c r="R6494" s="25"/>
      <c r="S6494" s="25"/>
      <c r="T6494" s="141"/>
      <c r="U6494" s="28"/>
    </row>
    <row r="6495" ht="15.75" customHeight="1">
      <c r="P6495" s="25"/>
      <c r="Q6495" s="25"/>
      <c r="R6495" s="25"/>
      <c r="S6495" s="25"/>
      <c r="T6495" s="141"/>
      <c r="U6495" s="28"/>
    </row>
    <row r="6496" ht="15.75" customHeight="1">
      <c r="P6496" s="25"/>
      <c r="Q6496" s="25"/>
      <c r="R6496" s="25"/>
      <c r="S6496" s="25"/>
      <c r="T6496" s="141"/>
      <c r="U6496" s="28"/>
    </row>
    <row r="6497" ht="15.75" customHeight="1">
      <c r="P6497" s="25"/>
      <c r="Q6497" s="25"/>
      <c r="R6497" s="25"/>
      <c r="S6497" s="25"/>
      <c r="T6497" s="141"/>
      <c r="U6497" s="28"/>
    </row>
    <row r="6498" ht="15.75" customHeight="1">
      <c r="P6498" s="25"/>
      <c r="Q6498" s="25"/>
      <c r="R6498" s="25"/>
      <c r="S6498" s="25"/>
      <c r="T6498" s="141"/>
      <c r="U6498" s="28"/>
    </row>
    <row r="6499" ht="15.75" customHeight="1">
      <c r="P6499" s="25"/>
      <c r="Q6499" s="25"/>
      <c r="R6499" s="25"/>
      <c r="S6499" s="25"/>
      <c r="T6499" s="141"/>
      <c r="U6499" s="28"/>
    </row>
    <row r="6500" ht="15.75" customHeight="1">
      <c r="P6500" s="25"/>
      <c r="Q6500" s="25"/>
      <c r="R6500" s="25"/>
      <c r="S6500" s="25"/>
      <c r="T6500" s="141"/>
      <c r="U6500" s="28"/>
    </row>
    <row r="6501" ht="15.75" customHeight="1">
      <c r="P6501" s="25"/>
      <c r="Q6501" s="25"/>
      <c r="R6501" s="25"/>
      <c r="S6501" s="25"/>
      <c r="T6501" s="141"/>
      <c r="U6501" s="28"/>
    </row>
    <row r="6502" ht="15.75" customHeight="1">
      <c r="P6502" s="25"/>
      <c r="Q6502" s="25"/>
      <c r="R6502" s="25"/>
      <c r="S6502" s="25"/>
      <c r="T6502" s="141"/>
      <c r="U6502" s="28"/>
    </row>
    <row r="6503" ht="15.75" customHeight="1">
      <c r="P6503" s="25"/>
      <c r="Q6503" s="25"/>
      <c r="R6503" s="25"/>
      <c r="S6503" s="25"/>
      <c r="T6503" s="141"/>
      <c r="U6503" s="28"/>
    </row>
    <row r="6504" ht="15.75" customHeight="1">
      <c r="P6504" s="25"/>
      <c r="Q6504" s="25"/>
      <c r="R6504" s="25"/>
      <c r="S6504" s="25"/>
      <c r="T6504" s="141"/>
      <c r="U6504" s="28"/>
    </row>
    <row r="6505" ht="15.75" customHeight="1">
      <c r="P6505" s="25"/>
      <c r="Q6505" s="25"/>
      <c r="R6505" s="25"/>
      <c r="S6505" s="25"/>
      <c r="T6505" s="141"/>
      <c r="U6505" s="28"/>
    </row>
    <row r="6506" ht="15.75" customHeight="1">
      <c r="P6506" s="25"/>
      <c r="Q6506" s="25"/>
      <c r="R6506" s="25"/>
      <c r="S6506" s="25"/>
      <c r="T6506" s="141"/>
      <c r="U6506" s="28"/>
    </row>
    <row r="6507" ht="15.75" customHeight="1">
      <c r="P6507" s="25"/>
      <c r="Q6507" s="25"/>
      <c r="R6507" s="25"/>
      <c r="S6507" s="25"/>
      <c r="T6507" s="141"/>
      <c r="U6507" s="28"/>
    </row>
    <row r="6508" ht="15.75" customHeight="1">
      <c r="P6508" s="25"/>
      <c r="Q6508" s="25"/>
      <c r="R6508" s="25"/>
      <c r="S6508" s="25"/>
      <c r="T6508" s="141"/>
      <c r="U6508" s="28"/>
    </row>
    <row r="6509" ht="15.75" customHeight="1">
      <c r="P6509" s="25"/>
      <c r="Q6509" s="25"/>
      <c r="R6509" s="25"/>
      <c r="S6509" s="25"/>
      <c r="T6509" s="141"/>
      <c r="U6509" s="28"/>
    </row>
    <row r="6510" ht="15.75" customHeight="1">
      <c r="P6510" s="25"/>
      <c r="Q6510" s="25"/>
      <c r="R6510" s="25"/>
      <c r="S6510" s="25"/>
      <c r="T6510" s="141"/>
      <c r="U6510" s="28"/>
    </row>
    <row r="6511" ht="15.75" customHeight="1">
      <c r="P6511" s="25"/>
      <c r="Q6511" s="25"/>
      <c r="R6511" s="25"/>
      <c r="S6511" s="25"/>
      <c r="T6511" s="141"/>
      <c r="U6511" s="28"/>
    </row>
    <row r="6512" ht="15.75" customHeight="1">
      <c r="P6512" s="25"/>
      <c r="Q6512" s="25"/>
      <c r="R6512" s="25"/>
      <c r="S6512" s="25"/>
      <c r="T6512" s="141"/>
      <c r="U6512" s="28"/>
    </row>
    <row r="6513" ht="15.75" customHeight="1">
      <c r="P6513" s="25"/>
      <c r="Q6513" s="25"/>
      <c r="R6513" s="25"/>
      <c r="S6513" s="25"/>
      <c r="T6513" s="141"/>
      <c r="U6513" s="28"/>
    </row>
    <row r="6514" ht="15.75" customHeight="1">
      <c r="P6514" s="25"/>
      <c r="Q6514" s="25"/>
      <c r="R6514" s="25"/>
      <c r="S6514" s="25"/>
      <c r="T6514" s="141"/>
      <c r="U6514" s="28"/>
    </row>
    <row r="6515" ht="15.75" customHeight="1">
      <c r="P6515" s="25"/>
      <c r="Q6515" s="25"/>
      <c r="R6515" s="25"/>
      <c r="S6515" s="25"/>
      <c r="T6515" s="141"/>
      <c r="U6515" s="28"/>
    </row>
    <row r="6516" ht="15.75" customHeight="1">
      <c r="P6516" s="25"/>
      <c r="Q6516" s="25"/>
      <c r="R6516" s="25"/>
      <c r="S6516" s="25"/>
      <c r="T6516" s="141"/>
      <c r="U6516" s="28"/>
    </row>
    <row r="6517" ht="15.75" customHeight="1">
      <c r="P6517" s="25"/>
      <c r="Q6517" s="25"/>
      <c r="R6517" s="25"/>
      <c r="S6517" s="25"/>
      <c r="T6517" s="141"/>
      <c r="U6517" s="28"/>
    </row>
    <row r="6518" ht="15.75" customHeight="1">
      <c r="P6518" s="25"/>
      <c r="Q6518" s="25"/>
      <c r="R6518" s="25"/>
      <c r="S6518" s="25"/>
      <c r="T6518" s="141"/>
      <c r="U6518" s="28"/>
    </row>
    <row r="6519" ht="15.75" customHeight="1">
      <c r="P6519" s="25"/>
      <c r="Q6519" s="25"/>
      <c r="R6519" s="25"/>
      <c r="S6519" s="25"/>
      <c r="T6519" s="141"/>
      <c r="U6519" s="28"/>
    </row>
    <row r="6520" ht="15.75" customHeight="1">
      <c r="P6520" s="25"/>
      <c r="Q6520" s="25"/>
      <c r="R6520" s="25"/>
      <c r="S6520" s="25"/>
      <c r="T6520" s="141"/>
      <c r="U6520" s="28"/>
    </row>
    <row r="6521" ht="15.75" customHeight="1">
      <c r="P6521" s="25"/>
      <c r="Q6521" s="25"/>
      <c r="R6521" s="25"/>
      <c r="S6521" s="25"/>
      <c r="T6521" s="141"/>
      <c r="U6521" s="28"/>
    </row>
    <row r="6522" ht="15.75" customHeight="1">
      <c r="P6522" s="25"/>
      <c r="Q6522" s="25"/>
      <c r="R6522" s="25"/>
      <c r="S6522" s="25"/>
      <c r="T6522" s="141"/>
      <c r="U6522" s="28"/>
    </row>
    <row r="6523" ht="15.75" customHeight="1">
      <c r="P6523" s="25"/>
      <c r="Q6523" s="25"/>
      <c r="R6523" s="25"/>
      <c r="S6523" s="25"/>
      <c r="T6523" s="141"/>
      <c r="U6523" s="28"/>
    </row>
    <row r="6524" ht="15.75" customHeight="1">
      <c r="P6524" s="25"/>
      <c r="Q6524" s="25"/>
      <c r="R6524" s="25"/>
      <c r="S6524" s="25"/>
      <c r="T6524" s="141"/>
      <c r="U6524" s="28"/>
    </row>
    <row r="6525" ht="15.75" customHeight="1">
      <c r="P6525" s="25"/>
      <c r="Q6525" s="25"/>
      <c r="R6525" s="25"/>
      <c r="S6525" s="25"/>
      <c r="T6525" s="141"/>
      <c r="U6525" s="28"/>
    </row>
    <row r="6526" ht="15.75" customHeight="1">
      <c r="P6526" s="25"/>
      <c r="Q6526" s="25"/>
      <c r="R6526" s="25"/>
      <c r="S6526" s="25"/>
      <c r="T6526" s="141"/>
      <c r="U6526" s="28"/>
    </row>
    <row r="6527" ht="15.75" customHeight="1">
      <c r="P6527" s="25"/>
      <c r="Q6527" s="25"/>
      <c r="R6527" s="25"/>
      <c r="S6527" s="25"/>
      <c r="T6527" s="141"/>
      <c r="U6527" s="28"/>
    </row>
    <row r="6528" ht="15.75" customHeight="1">
      <c r="P6528" s="25"/>
      <c r="Q6528" s="25"/>
      <c r="R6528" s="25"/>
      <c r="S6528" s="25"/>
      <c r="T6528" s="141"/>
      <c r="U6528" s="28"/>
    </row>
    <row r="6529" ht="15.75" customHeight="1">
      <c r="P6529" s="25"/>
      <c r="Q6529" s="25"/>
      <c r="R6529" s="25"/>
      <c r="S6529" s="25"/>
      <c r="T6529" s="141"/>
      <c r="U6529" s="28"/>
    </row>
    <row r="6530" ht="15.75" customHeight="1">
      <c r="P6530" s="25"/>
      <c r="Q6530" s="25"/>
      <c r="R6530" s="25"/>
      <c r="S6530" s="25"/>
      <c r="T6530" s="141"/>
      <c r="U6530" s="28"/>
    </row>
    <row r="6531" ht="15.75" customHeight="1">
      <c r="P6531" s="25"/>
      <c r="Q6531" s="25"/>
      <c r="R6531" s="25"/>
      <c r="S6531" s="25"/>
      <c r="T6531" s="141"/>
      <c r="U6531" s="28"/>
    </row>
    <row r="6532" ht="15.75" customHeight="1">
      <c r="P6532" s="25"/>
      <c r="Q6532" s="25"/>
      <c r="R6532" s="25"/>
      <c r="S6532" s="25"/>
      <c r="T6532" s="141"/>
      <c r="U6532" s="28"/>
    </row>
    <row r="6533" ht="15.75" customHeight="1">
      <c r="P6533" s="25"/>
      <c r="Q6533" s="25"/>
      <c r="R6533" s="25"/>
      <c r="S6533" s="25"/>
      <c r="T6533" s="141"/>
      <c r="U6533" s="28"/>
    </row>
    <row r="6534" ht="15.75" customHeight="1">
      <c r="P6534" s="25"/>
      <c r="Q6534" s="25"/>
      <c r="R6534" s="25"/>
      <c r="S6534" s="25"/>
      <c r="T6534" s="141"/>
      <c r="U6534" s="28"/>
    </row>
    <row r="6535" ht="15.75" customHeight="1">
      <c r="P6535" s="25"/>
      <c r="Q6535" s="25"/>
      <c r="R6535" s="25"/>
      <c r="S6535" s="25"/>
      <c r="T6535" s="141"/>
      <c r="U6535" s="28"/>
    </row>
    <row r="6536" ht="15.75" customHeight="1">
      <c r="P6536" s="25"/>
      <c r="Q6536" s="25"/>
      <c r="R6536" s="25"/>
      <c r="S6536" s="25"/>
      <c r="T6536" s="141"/>
      <c r="U6536" s="28"/>
    </row>
    <row r="6537" ht="15.75" customHeight="1">
      <c r="P6537" s="25"/>
      <c r="Q6537" s="25"/>
      <c r="R6537" s="25"/>
      <c r="S6537" s="25"/>
      <c r="T6537" s="141"/>
      <c r="U6537" s="28"/>
    </row>
    <row r="6538" ht="15.75" customHeight="1">
      <c r="P6538" s="25"/>
      <c r="Q6538" s="25"/>
      <c r="R6538" s="25"/>
      <c r="S6538" s="25"/>
      <c r="T6538" s="141"/>
      <c r="U6538" s="28"/>
    </row>
    <row r="6539" ht="15.75" customHeight="1">
      <c r="P6539" s="25"/>
      <c r="Q6539" s="25"/>
      <c r="R6539" s="25"/>
      <c r="S6539" s="25"/>
      <c r="T6539" s="141"/>
      <c r="U6539" s="28"/>
    </row>
    <row r="6540" ht="15.75" customHeight="1">
      <c r="P6540" s="25"/>
      <c r="Q6540" s="25"/>
      <c r="R6540" s="25"/>
      <c r="S6540" s="25"/>
      <c r="T6540" s="141"/>
      <c r="U6540" s="28"/>
    </row>
    <row r="6541" ht="15.75" customHeight="1">
      <c r="P6541" s="25"/>
      <c r="Q6541" s="25"/>
      <c r="R6541" s="25"/>
      <c r="S6541" s="25"/>
      <c r="T6541" s="141"/>
      <c r="U6541" s="28"/>
    </row>
    <row r="6542" ht="15.75" customHeight="1">
      <c r="P6542" s="25"/>
      <c r="Q6542" s="25"/>
      <c r="R6542" s="25"/>
      <c r="S6542" s="25"/>
      <c r="T6542" s="141"/>
      <c r="U6542" s="28"/>
    </row>
    <row r="6543" ht="15.75" customHeight="1">
      <c r="P6543" s="25"/>
      <c r="Q6543" s="25"/>
      <c r="R6543" s="25"/>
      <c r="S6543" s="25"/>
      <c r="T6543" s="141"/>
      <c r="U6543" s="28"/>
    </row>
    <row r="6544" ht="15.75" customHeight="1">
      <c r="P6544" s="25"/>
      <c r="Q6544" s="25"/>
      <c r="R6544" s="25"/>
      <c r="S6544" s="25"/>
      <c r="T6544" s="141"/>
      <c r="U6544" s="28"/>
    </row>
    <row r="6545" ht="15.75" customHeight="1">
      <c r="P6545" s="25"/>
      <c r="Q6545" s="25"/>
      <c r="R6545" s="25"/>
      <c r="S6545" s="25"/>
      <c r="T6545" s="141"/>
      <c r="U6545" s="28"/>
    </row>
    <row r="6546" ht="15.75" customHeight="1">
      <c r="P6546" s="25"/>
      <c r="Q6546" s="25"/>
      <c r="R6546" s="25"/>
      <c r="S6546" s="25"/>
      <c r="T6546" s="141"/>
      <c r="U6546" s="28"/>
    </row>
    <row r="6547" ht="15.75" customHeight="1">
      <c r="P6547" s="25"/>
      <c r="Q6547" s="25"/>
      <c r="R6547" s="25"/>
      <c r="S6547" s="25"/>
      <c r="T6547" s="141"/>
      <c r="U6547" s="28"/>
    </row>
    <row r="6548" ht="15.75" customHeight="1">
      <c r="P6548" s="25"/>
      <c r="Q6548" s="25"/>
      <c r="R6548" s="25"/>
      <c r="S6548" s="25"/>
      <c r="T6548" s="141"/>
      <c r="U6548" s="28"/>
    </row>
    <row r="6549" ht="15.75" customHeight="1">
      <c r="P6549" s="25"/>
      <c r="Q6549" s="25"/>
      <c r="R6549" s="25"/>
      <c r="S6549" s="25"/>
      <c r="T6549" s="141"/>
      <c r="U6549" s="28"/>
    </row>
    <row r="6550" ht="15.75" customHeight="1">
      <c r="P6550" s="25"/>
      <c r="Q6550" s="25"/>
      <c r="R6550" s="25"/>
      <c r="S6550" s="25"/>
      <c r="T6550" s="141"/>
      <c r="U6550" s="28"/>
    </row>
    <row r="6551" ht="15.75" customHeight="1">
      <c r="P6551" s="25"/>
      <c r="Q6551" s="25"/>
      <c r="R6551" s="25"/>
      <c r="S6551" s="25"/>
      <c r="T6551" s="141"/>
      <c r="U6551" s="28"/>
    </row>
    <row r="6552" ht="15.75" customHeight="1">
      <c r="P6552" s="25"/>
      <c r="Q6552" s="25"/>
      <c r="R6552" s="25"/>
      <c r="S6552" s="25"/>
      <c r="T6552" s="141"/>
      <c r="U6552" s="28"/>
    </row>
    <row r="6553" ht="15.75" customHeight="1">
      <c r="P6553" s="25"/>
      <c r="Q6553" s="25"/>
      <c r="R6553" s="25"/>
      <c r="S6553" s="25"/>
      <c r="T6553" s="141"/>
      <c r="U6553" s="28"/>
    </row>
    <row r="6554" ht="15.75" customHeight="1">
      <c r="P6554" s="25"/>
      <c r="Q6554" s="25"/>
      <c r="R6554" s="25"/>
      <c r="S6554" s="25"/>
      <c r="T6554" s="141"/>
      <c r="U6554" s="28"/>
    </row>
    <row r="6555" ht="15.75" customHeight="1">
      <c r="P6555" s="25"/>
      <c r="Q6555" s="25"/>
      <c r="R6555" s="25"/>
      <c r="S6555" s="25"/>
      <c r="T6555" s="141"/>
      <c r="U6555" s="28"/>
    </row>
    <row r="6556" ht="15.75" customHeight="1">
      <c r="P6556" s="25"/>
      <c r="Q6556" s="25"/>
      <c r="R6556" s="25"/>
      <c r="S6556" s="25"/>
      <c r="T6556" s="141"/>
      <c r="U6556" s="28"/>
    </row>
    <row r="6557" ht="15.75" customHeight="1">
      <c r="P6557" s="25"/>
      <c r="Q6557" s="25"/>
      <c r="R6557" s="25"/>
      <c r="S6557" s="25"/>
      <c r="T6557" s="141"/>
      <c r="U6557" s="28"/>
    </row>
    <row r="6558" ht="15.75" customHeight="1">
      <c r="P6558" s="25"/>
      <c r="Q6558" s="25"/>
      <c r="R6558" s="25"/>
      <c r="S6558" s="25"/>
      <c r="T6558" s="141"/>
      <c r="U6558" s="28"/>
    </row>
    <row r="6559" ht="15.75" customHeight="1">
      <c r="P6559" s="25"/>
      <c r="Q6559" s="25"/>
      <c r="R6559" s="25"/>
      <c r="S6559" s="25"/>
      <c r="T6559" s="141"/>
      <c r="U6559" s="28"/>
    </row>
    <row r="6560" ht="15.75" customHeight="1">
      <c r="P6560" s="25"/>
      <c r="Q6560" s="25"/>
      <c r="R6560" s="25"/>
      <c r="S6560" s="25"/>
      <c r="T6560" s="141"/>
      <c r="U6560" s="28"/>
    </row>
    <row r="6561" ht="15.75" customHeight="1">
      <c r="P6561" s="25"/>
      <c r="Q6561" s="25"/>
      <c r="R6561" s="25"/>
      <c r="S6561" s="25"/>
      <c r="T6561" s="141"/>
      <c r="U6561" s="28"/>
    </row>
    <row r="6562" ht="15.75" customHeight="1">
      <c r="P6562" s="25"/>
      <c r="Q6562" s="25"/>
      <c r="R6562" s="25"/>
      <c r="S6562" s="25"/>
      <c r="T6562" s="141"/>
      <c r="U6562" s="28"/>
    </row>
    <row r="6563" ht="15.75" customHeight="1">
      <c r="P6563" s="25"/>
      <c r="Q6563" s="25"/>
      <c r="R6563" s="25"/>
      <c r="S6563" s="25"/>
      <c r="T6563" s="141"/>
      <c r="U6563" s="28"/>
    </row>
    <row r="6564" ht="15.75" customHeight="1">
      <c r="P6564" s="25"/>
      <c r="Q6564" s="25"/>
      <c r="R6564" s="25"/>
      <c r="S6564" s="25"/>
      <c r="T6564" s="141"/>
      <c r="U6564" s="28"/>
    </row>
    <row r="6565" ht="15.75" customHeight="1">
      <c r="P6565" s="25"/>
      <c r="Q6565" s="25"/>
      <c r="R6565" s="25"/>
      <c r="S6565" s="25"/>
      <c r="T6565" s="141"/>
      <c r="U6565" s="28"/>
    </row>
    <row r="6566" ht="15.75" customHeight="1">
      <c r="P6566" s="25"/>
      <c r="Q6566" s="25"/>
      <c r="R6566" s="25"/>
      <c r="S6566" s="25"/>
      <c r="T6566" s="141"/>
      <c r="U6566" s="28"/>
    </row>
    <row r="6567" ht="15.75" customHeight="1">
      <c r="P6567" s="25"/>
      <c r="Q6567" s="25"/>
      <c r="R6567" s="25"/>
      <c r="S6567" s="25"/>
      <c r="T6567" s="141"/>
      <c r="U6567" s="28"/>
    </row>
    <row r="6568" ht="15.75" customHeight="1">
      <c r="P6568" s="25"/>
      <c r="Q6568" s="25"/>
      <c r="R6568" s="25"/>
      <c r="S6568" s="25"/>
      <c r="T6568" s="141"/>
      <c r="U6568" s="28"/>
    </row>
    <row r="6569" ht="15.75" customHeight="1">
      <c r="P6569" s="25"/>
      <c r="Q6569" s="25"/>
      <c r="R6569" s="25"/>
      <c r="S6569" s="25"/>
      <c r="T6569" s="141"/>
      <c r="U6569" s="28"/>
    </row>
    <row r="6570" ht="15.75" customHeight="1">
      <c r="P6570" s="25"/>
      <c r="Q6570" s="25"/>
      <c r="R6570" s="25"/>
      <c r="S6570" s="25"/>
      <c r="T6570" s="141"/>
      <c r="U6570" s="28"/>
    </row>
    <row r="6571" ht="15.75" customHeight="1">
      <c r="P6571" s="25"/>
      <c r="Q6571" s="25"/>
      <c r="R6571" s="25"/>
      <c r="S6571" s="25"/>
      <c r="T6571" s="141"/>
      <c r="U6571" s="28"/>
    </row>
    <row r="6572" ht="15.75" customHeight="1">
      <c r="P6572" s="25"/>
      <c r="Q6572" s="25"/>
      <c r="R6572" s="25"/>
      <c r="S6572" s="25"/>
      <c r="T6572" s="141"/>
      <c r="U6572" s="28"/>
    </row>
    <row r="6573" ht="15.75" customHeight="1">
      <c r="P6573" s="25"/>
      <c r="Q6573" s="25"/>
      <c r="R6573" s="25"/>
      <c r="S6573" s="25"/>
      <c r="T6573" s="141"/>
      <c r="U6573" s="28"/>
    </row>
    <row r="6574" ht="15.75" customHeight="1">
      <c r="P6574" s="25"/>
      <c r="Q6574" s="25"/>
      <c r="R6574" s="25"/>
      <c r="S6574" s="25"/>
      <c r="T6574" s="141"/>
      <c r="U6574" s="28"/>
    </row>
    <row r="6575" ht="15.75" customHeight="1">
      <c r="P6575" s="25"/>
      <c r="Q6575" s="25"/>
      <c r="R6575" s="25"/>
      <c r="S6575" s="25"/>
      <c r="T6575" s="141"/>
      <c r="U6575" s="28"/>
    </row>
    <row r="6576" ht="15.75" customHeight="1">
      <c r="P6576" s="25"/>
      <c r="Q6576" s="25"/>
      <c r="R6576" s="25"/>
      <c r="S6576" s="25"/>
      <c r="T6576" s="141"/>
      <c r="U6576" s="28"/>
    </row>
    <row r="6577" ht="15.75" customHeight="1">
      <c r="P6577" s="25"/>
      <c r="Q6577" s="25"/>
      <c r="R6577" s="25"/>
      <c r="S6577" s="25"/>
      <c r="T6577" s="141"/>
      <c r="U6577" s="28"/>
    </row>
    <row r="6578" ht="15.75" customHeight="1">
      <c r="P6578" s="25"/>
      <c r="Q6578" s="25"/>
      <c r="R6578" s="25"/>
      <c r="S6578" s="25"/>
      <c r="T6578" s="141"/>
      <c r="U6578" s="28"/>
    </row>
    <row r="6579" ht="15.75" customHeight="1">
      <c r="P6579" s="25"/>
      <c r="Q6579" s="25"/>
      <c r="R6579" s="25"/>
      <c r="S6579" s="25"/>
      <c r="T6579" s="141"/>
      <c r="U6579" s="28"/>
    </row>
    <row r="6580" ht="15.75" customHeight="1">
      <c r="P6580" s="25"/>
      <c r="Q6580" s="25"/>
      <c r="R6580" s="25"/>
      <c r="S6580" s="25"/>
      <c r="T6580" s="141"/>
      <c r="U6580" s="28"/>
    </row>
    <row r="6581" ht="15.75" customHeight="1">
      <c r="P6581" s="25"/>
      <c r="Q6581" s="25"/>
      <c r="R6581" s="25"/>
      <c r="S6581" s="25"/>
      <c r="T6581" s="141"/>
      <c r="U6581" s="28"/>
    </row>
    <row r="6582" ht="15.75" customHeight="1">
      <c r="P6582" s="25"/>
      <c r="Q6582" s="25"/>
      <c r="R6582" s="25"/>
      <c r="S6582" s="25"/>
      <c r="T6582" s="141"/>
      <c r="U6582" s="28"/>
    </row>
    <row r="6583" ht="15.75" customHeight="1">
      <c r="P6583" s="25"/>
      <c r="Q6583" s="25"/>
      <c r="R6583" s="25"/>
      <c r="S6583" s="25"/>
      <c r="T6583" s="141"/>
      <c r="U6583" s="28"/>
    </row>
    <row r="6584" ht="15.75" customHeight="1">
      <c r="P6584" s="25"/>
      <c r="Q6584" s="25"/>
      <c r="R6584" s="25"/>
      <c r="S6584" s="25"/>
      <c r="T6584" s="141"/>
      <c r="U6584" s="28"/>
    </row>
    <row r="6585" ht="15.75" customHeight="1">
      <c r="P6585" s="25"/>
      <c r="Q6585" s="25"/>
      <c r="R6585" s="25"/>
      <c r="S6585" s="25"/>
      <c r="T6585" s="141"/>
      <c r="U6585" s="28"/>
    </row>
    <row r="6586" ht="15.75" customHeight="1">
      <c r="P6586" s="25"/>
      <c r="Q6586" s="25"/>
      <c r="R6586" s="25"/>
      <c r="S6586" s="25"/>
      <c r="T6586" s="141"/>
      <c r="U6586" s="28"/>
    </row>
    <row r="6587" ht="15.75" customHeight="1">
      <c r="P6587" s="25"/>
      <c r="Q6587" s="25"/>
      <c r="R6587" s="25"/>
      <c r="S6587" s="25"/>
      <c r="T6587" s="141"/>
      <c r="U6587" s="28"/>
    </row>
    <row r="6588" ht="15.75" customHeight="1">
      <c r="P6588" s="25"/>
      <c r="Q6588" s="25"/>
      <c r="R6588" s="25"/>
      <c r="S6588" s="25"/>
      <c r="T6588" s="141"/>
      <c r="U6588" s="28"/>
    </row>
    <row r="6589" ht="15.75" customHeight="1">
      <c r="P6589" s="25"/>
      <c r="Q6589" s="25"/>
      <c r="R6589" s="25"/>
      <c r="S6589" s="25"/>
      <c r="T6589" s="141"/>
      <c r="U6589" s="28"/>
    </row>
    <row r="6590" ht="15.75" customHeight="1">
      <c r="P6590" s="25"/>
      <c r="Q6590" s="25"/>
      <c r="R6590" s="25"/>
      <c r="S6590" s="25"/>
      <c r="T6590" s="141"/>
      <c r="U6590" s="28"/>
    </row>
    <row r="6591" ht="15.75" customHeight="1">
      <c r="P6591" s="25"/>
      <c r="Q6591" s="25"/>
      <c r="R6591" s="25"/>
      <c r="S6591" s="25"/>
      <c r="T6591" s="141"/>
      <c r="U6591" s="28"/>
    </row>
    <row r="6592" ht="15.75" customHeight="1">
      <c r="P6592" s="25"/>
      <c r="Q6592" s="25"/>
      <c r="R6592" s="25"/>
      <c r="S6592" s="25"/>
      <c r="T6592" s="141"/>
      <c r="U6592" s="28"/>
    </row>
    <row r="6593" ht="15.75" customHeight="1">
      <c r="P6593" s="25"/>
      <c r="Q6593" s="25"/>
      <c r="R6593" s="25"/>
      <c r="S6593" s="25"/>
      <c r="T6593" s="141"/>
      <c r="U6593" s="28"/>
    </row>
    <row r="6594" ht="15.75" customHeight="1">
      <c r="P6594" s="25"/>
      <c r="Q6594" s="25"/>
      <c r="R6594" s="25"/>
      <c r="S6594" s="25"/>
      <c r="T6594" s="141"/>
      <c r="U6594" s="28"/>
    </row>
    <row r="6595" ht="15.75" customHeight="1">
      <c r="P6595" s="25"/>
      <c r="Q6595" s="25"/>
      <c r="R6595" s="25"/>
      <c r="S6595" s="25"/>
      <c r="T6595" s="141"/>
      <c r="U6595" s="28"/>
    </row>
    <row r="6596" ht="15.75" customHeight="1">
      <c r="P6596" s="25"/>
      <c r="Q6596" s="25"/>
      <c r="R6596" s="25"/>
      <c r="S6596" s="25"/>
      <c r="T6596" s="141"/>
      <c r="U6596" s="28"/>
    </row>
    <row r="6597" ht="15.75" customHeight="1">
      <c r="P6597" s="25"/>
      <c r="Q6597" s="25"/>
      <c r="R6597" s="25"/>
      <c r="S6597" s="25"/>
      <c r="T6597" s="141"/>
      <c r="U6597" s="28"/>
    </row>
    <row r="6598" ht="15.75" customHeight="1">
      <c r="P6598" s="25"/>
      <c r="Q6598" s="25"/>
      <c r="R6598" s="25"/>
      <c r="S6598" s="25"/>
      <c r="T6598" s="141"/>
      <c r="U6598" s="28"/>
    </row>
    <row r="6599" ht="15.75" customHeight="1">
      <c r="P6599" s="25"/>
      <c r="Q6599" s="25"/>
      <c r="R6599" s="25"/>
      <c r="S6599" s="25"/>
      <c r="T6599" s="141"/>
      <c r="U6599" s="28"/>
    </row>
    <row r="6600" ht="15.75" customHeight="1">
      <c r="P6600" s="25"/>
      <c r="Q6600" s="25"/>
      <c r="R6600" s="25"/>
      <c r="S6600" s="25"/>
      <c r="T6600" s="141"/>
      <c r="U6600" s="28"/>
    </row>
    <row r="6601" ht="15.75" customHeight="1">
      <c r="P6601" s="25"/>
      <c r="Q6601" s="25"/>
      <c r="R6601" s="25"/>
      <c r="S6601" s="25"/>
      <c r="T6601" s="141"/>
      <c r="U6601" s="28"/>
    </row>
    <row r="6602" ht="15.75" customHeight="1">
      <c r="P6602" s="25"/>
      <c r="Q6602" s="25"/>
      <c r="R6602" s="25"/>
      <c r="S6602" s="25"/>
      <c r="T6602" s="141"/>
      <c r="U6602" s="28"/>
    </row>
    <row r="6603" ht="15.75" customHeight="1">
      <c r="P6603" s="25"/>
      <c r="Q6603" s="25"/>
      <c r="R6603" s="25"/>
      <c r="S6603" s="25"/>
      <c r="T6603" s="141"/>
      <c r="U6603" s="28"/>
    </row>
    <row r="6604" ht="15.75" customHeight="1">
      <c r="P6604" s="25"/>
      <c r="Q6604" s="25"/>
      <c r="R6604" s="25"/>
      <c r="S6604" s="25"/>
      <c r="T6604" s="141"/>
      <c r="U6604" s="28"/>
    </row>
    <row r="6605" ht="15.75" customHeight="1">
      <c r="P6605" s="25"/>
      <c r="Q6605" s="25"/>
      <c r="R6605" s="25"/>
      <c r="S6605" s="25"/>
      <c r="T6605" s="141"/>
      <c r="U6605" s="28"/>
    </row>
    <row r="6606" ht="15.75" customHeight="1">
      <c r="P6606" s="25"/>
      <c r="Q6606" s="25"/>
      <c r="R6606" s="25"/>
      <c r="S6606" s="25"/>
      <c r="T6606" s="141"/>
      <c r="U6606" s="28"/>
    </row>
    <row r="6607" ht="15.75" customHeight="1">
      <c r="P6607" s="25"/>
      <c r="Q6607" s="25"/>
      <c r="R6607" s="25"/>
      <c r="S6607" s="25"/>
      <c r="T6607" s="141"/>
      <c r="U6607" s="28"/>
    </row>
    <row r="6608" ht="15.75" customHeight="1">
      <c r="P6608" s="25"/>
      <c r="Q6608" s="25"/>
      <c r="R6608" s="25"/>
      <c r="S6608" s="25"/>
      <c r="T6608" s="141"/>
      <c r="U6608" s="28"/>
    </row>
    <row r="6609" ht="15.75" customHeight="1">
      <c r="P6609" s="25"/>
      <c r="Q6609" s="25"/>
      <c r="R6609" s="25"/>
      <c r="S6609" s="25"/>
      <c r="T6609" s="141"/>
      <c r="U6609" s="28"/>
    </row>
    <row r="6610" ht="15.75" customHeight="1">
      <c r="P6610" s="25"/>
      <c r="Q6610" s="25"/>
      <c r="R6610" s="25"/>
      <c r="S6610" s="25"/>
      <c r="T6610" s="141"/>
      <c r="U6610" s="28"/>
    </row>
    <row r="6611" ht="15.75" customHeight="1">
      <c r="P6611" s="25"/>
      <c r="Q6611" s="25"/>
      <c r="R6611" s="25"/>
      <c r="S6611" s="25"/>
      <c r="T6611" s="141"/>
      <c r="U6611" s="28"/>
    </row>
    <row r="6612" ht="15.75" customHeight="1">
      <c r="P6612" s="25"/>
      <c r="Q6612" s="25"/>
      <c r="R6612" s="25"/>
      <c r="S6612" s="25"/>
      <c r="T6612" s="141"/>
      <c r="U6612" s="28"/>
    </row>
    <row r="6613" ht="15.75" customHeight="1">
      <c r="P6613" s="25"/>
      <c r="Q6613" s="25"/>
      <c r="R6613" s="25"/>
      <c r="S6613" s="25"/>
      <c r="T6613" s="141"/>
      <c r="U6613" s="28"/>
    </row>
    <row r="6614" ht="15.75" customHeight="1">
      <c r="P6614" s="25"/>
      <c r="Q6614" s="25"/>
      <c r="R6614" s="25"/>
      <c r="S6614" s="25"/>
      <c r="T6614" s="141"/>
      <c r="U6614" s="28"/>
    </row>
    <row r="6615" ht="15.75" customHeight="1">
      <c r="P6615" s="25"/>
      <c r="Q6615" s="25"/>
      <c r="R6615" s="25"/>
      <c r="S6615" s="25"/>
      <c r="T6615" s="141"/>
      <c r="U6615" s="28"/>
    </row>
    <row r="6616" ht="15.75" customHeight="1">
      <c r="P6616" s="25"/>
      <c r="Q6616" s="25"/>
      <c r="R6616" s="25"/>
      <c r="S6616" s="25"/>
      <c r="T6616" s="141"/>
      <c r="U6616" s="28"/>
    </row>
    <row r="6617" ht="15.75" customHeight="1">
      <c r="P6617" s="25"/>
      <c r="Q6617" s="25"/>
      <c r="R6617" s="25"/>
      <c r="S6617" s="25"/>
      <c r="T6617" s="141"/>
      <c r="U6617" s="28"/>
    </row>
    <row r="6618" ht="15.75" customHeight="1">
      <c r="P6618" s="25"/>
      <c r="Q6618" s="25"/>
      <c r="R6618" s="25"/>
      <c r="S6618" s="25"/>
      <c r="T6618" s="141"/>
      <c r="U6618" s="28"/>
    </row>
    <row r="6619" ht="15.75" customHeight="1">
      <c r="P6619" s="25"/>
      <c r="Q6619" s="25"/>
      <c r="R6619" s="25"/>
      <c r="S6619" s="25"/>
      <c r="T6619" s="141"/>
      <c r="U6619" s="28"/>
    </row>
    <row r="6620" ht="15.75" customHeight="1">
      <c r="P6620" s="25"/>
      <c r="Q6620" s="25"/>
      <c r="R6620" s="25"/>
      <c r="S6620" s="25"/>
      <c r="T6620" s="141"/>
      <c r="U6620" s="28"/>
    </row>
    <row r="6621" ht="15.75" customHeight="1">
      <c r="P6621" s="25"/>
      <c r="Q6621" s="25"/>
      <c r="R6621" s="25"/>
      <c r="S6621" s="25"/>
      <c r="T6621" s="141"/>
      <c r="U6621" s="28"/>
    </row>
    <row r="6622" ht="15.75" customHeight="1">
      <c r="P6622" s="25"/>
      <c r="Q6622" s="25"/>
      <c r="R6622" s="25"/>
      <c r="S6622" s="25"/>
      <c r="T6622" s="141"/>
      <c r="U6622" s="28"/>
    </row>
    <row r="6623" ht="15.75" customHeight="1">
      <c r="P6623" s="25"/>
      <c r="Q6623" s="25"/>
      <c r="R6623" s="25"/>
      <c r="S6623" s="25"/>
      <c r="T6623" s="141"/>
      <c r="U6623" s="28"/>
    </row>
    <row r="6624" ht="15.75" customHeight="1">
      <c r="P6624" s="25"/>
      <c r="Q6624" s="25"/>
      <c r="R6624" s="25"/>
      <c r="S6624" s="25"/>
      <c r="T6624" s="141"/>
      <c r="U6624" s="28"/>
    </row>
    <row r="6625" ht="15.75" customHeight="1">
      <c r="P6625" s="25"/>
      <c r="Q6625" s="25"/>
      <c r="R6625" s="25"/>
      <c r="S6625" s="25"/>
      <c r="T6625" s="141"/>
      <c r="U6625" s="28"/>
    </row>
    <row r="6626" ht="15.75" customHeight="1">
      <c r="P6626" s="25"/>
      <c r="Q6626" s="25"/>
      <c r="R6626" s="25"/>
      <c r="S6626" s="25"/>
      <c r="T6626" s="141"/>
      <c r="U6626" s="28"/>
    </row>
    <row r="6627" ht="15.75" customHeight="1">
      <c r="P6627" s="25"/>
      <c r="Q6627" s="25"/>
      <c r="R6627" s="25"/>
      <c r="S6627" s="25"/>
      <c r="T6627" s="141"/>
      <c r="U6627" s="28"/>
    </row>
    <row r="6628" ht="15.75" customHeight="1">
      <c r="P6628" s="25"/>
      <c r="Q6628" s="25"/>
      <c r="R6628" s="25"/>
      <c r="S6628" s="25"/>
      <c r="T6628" s="141"/>
      <c r="U6628" s="28"/>
    </row>
    <row r="6629" ht="15.75" customHeight="1">
      <c r="P6629" s="25"/>
      <c r="Q6629" s="25"/>
      <c r="R6629" s="25"/>
      <c r="S6629" s="25"/>
      <c r="T6629" s="141"/>
      <c r="U6629" s="28"/>
    </row>
    <row r="6630" ht="15.75" customHeight="1">
      <c r="P6630" s="25"/>
      <c r="Q6630" s="25"/>
      <c r="R6630" s="25"/>
      <c r="S6630" s="25"/>
      <c r="T6630" s="141"/>
      <c r="U6630" s="28"/>
    </row>
    <row r="6631" ht="15.75" customHeight="1">
      <c r="P6631" s="25"/>
      <c r="Q6631" s="25"/>
      <c r="R6631" s="25"/>
      <c r="S6631" s="25"/>
      <c r="T6631" s="141"/>
      <c r="U6631" s="28"/>
    </row>
    <row r="6632" ht="15.75" customHeight="1">
      <c r="P6632" s="25"/>
      <c r="Q6632" s="25"/>
      <c r="R6632" s="25"/>
      <c r="S6632" s="25"/>
      <c r="T6632" s="141"/>
      <c r="U6632" s="28"/>
    </row>
    <row r="6633" ht="15.75" customHeight="1">
      <c r="P6633" s="25"/>
      <c r="Q6633" s="25"/>
      <c r="R6633" s="25"/>
      <c r="S6633" s="25"/>
      <c r="T6633" s="141"/>
      <c r="U6633" s="28"/>
    </row>
    <row r="6634" ht="15.75" customHeight="1">
      <c r="P6634" s="25"/>
      <c r="Q6634" s="25"/>
      <c r="R6634" s="25"/>
      <c r="S6634" s="25"/>
      <c r="T6634" s="141"/>
      <c r="U6634" s="28"/>
    </row>
    <row r="6635" ht="15.75" customHeight="1">
      <c r="P6635" s="25"/>
      <c r="Q6635" s="25"/>
      <c r="R6635" s="25"/>
      <c r="S6635" s="25"/>
      <c r="T6635" s="141"/>
      <c r="U6635" s="28"/>
    </row>
    <row r="6636" ht="15.75" customHeight="1">
      <c r="P6636" s="25"/>
      <c r="Q6636" s="25"/>
      <c r="R6636" s="25"/>
      <c r="S6636" s="25"/>
      <c r="T6636" s="141"/>
      <c r="U6636" s="28"/>
    </row>
    <row r="6637" ht="15.75" customHeight="1">
      <c r="P6637" s="25"/>
      <c r="Q6637" s="25"/>
      <c r="R6637" s="25"/>
      <c r="S6637" s="25"/>
      <c r="T6637" s="141"/>
      <c r="U6637" s="28"/>
    </row>
    <row r="6638" ht="15.75" customHeight="1">
      <c r="P6638" s="25"/>
      <c r="Q6638" s="25"/>
      <c r="R6638" s="25"/>
      <c r="S6638" s="25"/>
      <c r="T6638" s="141"/>
      <c r="U6638" s="28"/>
    </row>
    <row r="6639" ht="15.75" customHeight="1">
      <c r="P6639" s="25"/>
      <c r="Q6639" s="25"/>
      <c r="R6639" s="25"/>
      <c r="S6639" s="25"/>
      <c r="T6639" s="141"/>
      <c r="U6639" s="28"/>
    </row>
    <row r="6640" ht="15.75" customHeight="1">
      <c r="P6640" s="25"/>
      <c r="Q6640" s="25"/>
      <c r="R6640" s="25"/>
      <c r="S6640" s="25"/>
      <c r="T6640" s="141"/>
      <c r="U6640" s="28"/>
    </row>
    <row r="6641" ht="15.75" customHeight="1">
      <c r="P6641" s="25"/>
      <c r="Q6641" s="25"/>
      <c r="R6641" s="25"/>
      <c r="S6641" s="25"/>
      <c r="T6641" s="141"/>
      <c r="U6641" s="28"/>
    </row>
    <row r="6642" ht="15.75" customHeight="1">
      <c r="P6642" s="25"/>
      <c r="Q6642" s="25"/>
      <c r="R6642" s="25"/>
      <c r="S6642" s="25"/>
      <c r="T6642" s="141"/>
      <c r="U6642" s="28"/>
    </row>
    <row r="6643" ht="15.75" customHeight="1">
      <c r="P6643" s="25"/>
      <c r="Q6643" s="25"/>
      <c r="R6643" s="25"/>
      <c r="S6643" s="25"/>
      <c r="T6643" s="141"/>
      <c r="U6643" s="28"/>
    </row>
    <row r="6644" ht="15.75" customHeight="1">
      <c r="P6644" s="25"/>
      <c r="Q6644" s="25"/>
      <c r="R6644" s="25"/>
      <c r="S6644" s="25"/>
      <c r="T6644" s="141"/>
      <c r="U6644" s="28"/>
    </row>
    <row r="6645" ht="15.75" customHeight="1">
      <c r="P6645" s="25"/>
      <c r="Q6645" s="25"/>
      <c r="R6645" s="25"/>
      <c r="S6645" s="25"/>
      <c r="T6645" s="141"/>
      <c r="U6645" s="28"/>
    </row>
    <row r="6646" ht="15.75" customHeight="1">
      <c r="P6646" s="25"/>
      <c r="Q6646" s="25"/>
      <c r="R6646" s="25"/>
      <c r="S6646" s="25"/>
      <c r="T6646" s="141"/>
      <c r="U6646" s="28"/>
    </row>
    <row r="6647" ht="15.75" customHeight="1">
      <c r="P6647" s="25"/>
      <c r="Q6647" s="25"/>
      <c r="R6647" s="25"/>
      <c r="S6647" s="25"/>
      <c r="T6647" s="141"/>
      <c r="U6647" s="28"/>
    </row>
    <row r="6648" ht="15.75" customHeight="1">
      <c r="P6648" s="25"/>
      <c r="Q6648" s="25"/>
      <c r="R6648" s="25"/>
      <c r="S6648" s="25"/>
      <c r="T6648" s="141"/>
      <c r="U6648" s="28"/>
    </row>
    <row r="6649" ht="15.75" customHeight="1">
      <c r="P6649" s="25"/>
      <c r="Q6649" s="25"/>
      <c r="R6649" s="25"/>
      <c r="S6649" s="25"/>
      <c r="T6649" s="141"/>
      <c r="U6649" s="28"/>
    </row>
    <row r="6650" ht="15.75" customHeight="1">
      <c r="P6650" s="25"/>
      <c r="Q6650" s="25"/>
      <c r="R6650" s="25"/>
      <c r="S6650" s="25"/>
      <c r="T6650" s="141"/>
      <c r="U6650" s="28"/>
    </row>
    <row r="6651" ht="15.75" customHeight="1">
      <c r="P6651" s="25"/>
      <c r="Q6651" s="25"/>
      <c r="R6651" s="25"/>
      <c r="S6651" s="25"/>
      <c r="T6651" s="141"/>
      <c r="U6651" s="28"/>
    </row>
    <row r="6652" ht="15.75" customHeight="1">
      <c r="P6652" s="25"/>
      <c r="Q6652" s="25"/>
      <c r="R6652" s="25"/>
      <c r="S6652" s="25"/>
      <c r="T6652" s="141"/>
      <c r="U6652" s="28"/>
    </row>
    <row r="6653" ht="15.75" customHeight="1">
      <c r="P6653" s="25"/>
      <c r="Q6653" s="25"/>
      <c r="R6653" s="25"/>
      <c r="S6653" s="25"/>
      <c r="T6653" s="141"/>
      <c r="U6653" s="28"/>
    </row>
    <row r="6654" ht="15.75" customHeight="1">
      <c r="P6654" s="25"/>
      <c r="Q6654" s="25"/>
      <c r="R6654" s="25"/>
      <c r="S6654" s="25"/>
      <c r="T6654" s="141"/>
      <c r="U6654" s="28"/>
    </row>
    <row r="6655" ht="15.75" customHeight="1">
      <c r="P6655" s="25"/>
      <c r="Q6655" s="25"/>
      <c r="R6655" s="25"/>
      <c r="S6655" s="25"/>
      <c r="T6655" s="141"/>
      <c r="U6655" s="28"/>
    </row>
    <row r="6656" ht="15.75" customHeight="1">
      <c r="P6656" s="25"/>
      <c r="Q6656" s="25"/>
      <c r="R6656" s="25"/>
      <c r="S6656" s="25"/>
      <c r="T6656" s="141"/>
      <c r="U6656" s="28"/>
    </row>
    <row r="6657" ht="15.75" customHeight="1">
      <c r="P6657" s="25"/>
      <c r="Q6657" s="25"/>
      <c r="R6657" s="25"/>
      <c r="S6657" s="25"/>
      <c r="T6657" s="141"/>
      <c r="U6657" s="28"/>
    </row>
    <row r="6658" ht="15.75" customHeight="1">
      <c r="P6658" s="25"/>
      <c r="Q6658" s="25"/>
      <c r="R6658" s="25"/>
      <c r="S6658" s="25"/>
      <c r="T6658" s="141"/>
      <c r="U6658" s="28"/>
    </row>
    <row r="6659" ht="15.75" customHeight="1">
      <c r="P6659" s="25"/>
      <c r="Q6659" s="25"/>
      <c r="R6659" s="25"/>
      <c r="S6659" s="25"/>
      <c r="T6659" s="141"/>
      <c r="U6659" s="28"/>
    </row>
    <row r="6660" ht="15.75" customHeight="1">
      <c r="P6660" s="25"/>
      <c r="Q6660" s="25"/>
      <c r="R6660" s="25"/>
      <c r="S6660" s="25"/>
      <c r="T6660" s="141"/>
      <c r="U6660" s="28"/>
    </row>
    <row r="6661" ht="15.75" customHeight="1">
      <c r="P6661" s="25"/>
      <c r="Q6661" s="25"/>
      <c r="R6661" s="25"/>
      <c r="S6661" s="25"/>
      <c r="T6661" s="141"/>
      <c r="U6661" s="28"/>
    </row>
    <row r="6662" ht="15.75" customHeight="1">
      <c r="P6662" s="25"/>
      <c r="Q6662" s="25"/>
      <c r="R6662" s="25"/>
      <c r="S6662" s="25"/>
      <c r="T6662" s="141"/>
      <c r="U6662" s="28"/>
    </row>
    <row r="6663" ht="15.75" customHeight="1">
      <c r="P6663" s="25"/>
      <c r="Q6663" s="25"/>
      <c r="R6663" s="25"/>
      <c r="S6663" s="25"/>
      <c r="T6663" s="141"/>
      <c r="U6663" s="28"/>
    </row>
    <row r="6664" ht="15.75" customHeight="1">
      <c r="P6664" s="25"/>
      <c r="Q6664" s="25"/>
      <c r="R6664" s="25"/>
      <c r="S6664" s="25"/>
      <c r="T6664" s="141"/>
      <c r="U6664" s="28"/>
    </row>
    <row r="6665" ht="15.75" customHeight="1">
      <c r="P6665" s="25"/>
      <c r="Q6665" s="25"/>
      <c r="R6665" s="25"/>
      <c r="S6665" s="25"/>
      <c r="T6665" s="141"/>
      <c r="U6665" s="28"/>
    </row>
    <row r="6666" ht="15.75" customHeight="1">
      <c r="P6666" s="25"/>
      <c r="Q6666" s="25"/>
      <c r="R6666" s="25"/>
      <c r="S6666" s="25"/>
      <c r="T6666" s="141"/>
      <c r="U6666" s="28"/>
    </row>
    <row r="6667" ht="15.75" customHeight="1">
      <c r="P6667" s="25"/>
      <c r="Q6667" s="25"/>
      <c r="R6667" s="25"/>
      <c r="S6667" s="25"/>
      <c r="T6667" s="141"/>
      <c r="U6667" s="28"/>
    </row>
    <row r="6668" ht="15.75" customHeight="1">
      <c r="P6668" s="25"/>
      <c r="Q6668" s="25"/>
      <c r="R6668" s="25"/>
      <c r="S6668" s="25"/>
      <c r="T6668" s="141"/>
      <c r="U6668" s="28"/>
    </row>
    <row r="6669" ht="15.75" customHeight="1">
      <c r="P6669" s="25"/>
      <c r="Q6669" s="25"/>
      <c r="R6669" s="25"/>
      <c r="S6669" s="25"/>
      <c r="T6669" s="141"/>
      <c r="U6669" s="28"/>
    </row>
    <row r="6670" ht="15.75" customHeight="1">
      <c r="P6670" s="25"/>
      <c r="Q6670" s="25"/>
      <c r="R6670" s="25"/>
      <c r="S6670" s="25"/>
      <c r="T6670" s="141"/>
      <c r="U6670" s="28"/>
    </row>
    <row r="6671" ht="15.75" customHeight="1">
      <c r="P6671" s="25"/>
      <c r="Q6671" s="25"/>
      <c r="R6671" s="25"/>
      <c r="S6671" s="25"/>
      <c r="T6671" s="141"/>
      <c r="U6671" s="28"/>
    </row>
    <row r="6672" ht="15.75" customHeight="1">
      <c r="P6672" s="25"/>
      <c r="Q6672" s="25"/>
      <c r="R6672" s="25"/>
      <c r="S6672" s="25"/>
      <c r="T6672" s="141"/>
      <c r="U6672" s="28"/>
    </row>
    <row r="6673" ht="15.75" customHeight="1">
      <c r="P6673" s="25"/>
      <c r="Q6673" s="25"/>
      <c r="R6673" s="25"/>
      <c r="S6673" s="25"/>
      <c r="T6673" s="141"/>
      <c r="U6673" s="28"/>
    </row>
    <row r="6674" ht="15.75" customHeight="1">
      <c r="P6674" s="25"/>
      <c r="Q6674" s="25"/>
      <c r="R6674" s="25"/>
      <c r="S6674" s="25"/>
      <c r="T6674" s="141"/>
      <c r="U6674" s="28"/>
    </row>
    <row r="6675" ht="15.75" customHeight="1">
      <c r="P6675" s="25"/>
      <c r="Q6675" s="25"/>
      <c r="R6675" s="25"/>
      <c r="S6675" s="25"/>
      <c r="T6675" s="141"/>
      <c r="U6675" s="28"/>
    </row>
    <row r="6676" ht="15.75" customHeight="1">
      <c r="P6676" s="25"/>
      <c r="Q6676" s="25"/>
      <c r="R6676" s="25"/>
      <c r="S6676" s="25"/>
      <c r="T6676" s="141"/>
      <c r="U6676" s="28"/>
    </row>
    <row r="6677" ht="15.75" customHeight="1">
      <c r="P6677" s="25"/>
      <c r="Q6677" s="25"/>
      <c r="R6677" s="25"/>
      <c r="S6677" s="25"/>
      <c r="T6677" s="141"/>
      <c r="U6677" s="28"/>
    </row>
    <row r="6678" ht="15.75" customHeight="1">
      <c r="P6678" s="25"/>
      <c r="Q6678" s="25"/>
      <c r="R6678" s="25"/>
      <c r="S6678" s="25"/>
      <c r="T6678" s="141"/>
      <c r="U6678" s="28"/>
    </row>
    <row r="6679" ht="15.75" customHeight="1">
      <c r="P6679" s="25"/>
      <c r="Q6679" s="25"/>
      <c r="R6679" s="25"/>
      <c r="S6679" s="25"/>
      <c r="T6679" s="141"/>
      <c r="U6679" s="28"/>
    </row>
    <row r="6680" ht="15.75" customHeight="1">
      <c r="P6680" s="25"/>
      <c r="Q6680" s="25"/>
      <c r="R6680" s="25"/>
      <c r="S6680" s="25"/>
      <c r="T6680" s="141"/>
      <c r="U6680" s="28"/>
    </row>
    <row r="6681" ht="15.75" customHeight="1">
      <c r="P6681" s="25"/>
      <c r="Q6681" s="25"/>
      <c r="R6681" s="25"/>
      <c r="S6681" s="25"/>
      <c r="T6681" s="141"/>
      <c r="U6681" s="28"/>
    </row>
    <row r="6682" ht="15.75" customHeight="1">
      <c r="P6682" s="25"/>
      <c r="Q6682" s="25"/>
      <c r="R6682" s="25"/>
      <c r="S6682" s="25"/>
      <c r="T6682" s="141"/>
      <c r="U6682" s="28"/>
    </row>
    <row r="6683" ht="15.75" customHeight="1">
      <c r="P6683" s="25"/>
      <c r="Q6683" s="25"/>
      <c r="R6683" s="25"/>
      <c r="S6683" s="25"/>
      <c r="T6683" s="141"/>
      <c r="U6683" s="28"/>
    </row>
    <row r="6684" ht="15.75" customHeight="1">
      <c r="P6684" s="25"/>
      <c r="Q6684" s="25"/>
      <c r="R6684" s="25"/>
      <c r="S6684" s="25"/>
      <c r="T6684" s="141"/>
      <c r="U6684" s="28"/>
    </row>
    <row r="6685" ht="15.75" customHeight="1">
      <c r="P6685" s="25"/>
      <c r="Q6685" s="25"/>
      <c r="R6685" s="25"/>
      <c r="S6685" s="25"/>
      <c r="T6685" s="141"/>
      <c r="U6685" s="28"/>
    </row>
    <row r="6686" ht="15.75" customHeight="1">
      <c r="P6686" s="25"/>
      <c r="Q6686" s="25"/>
      <c r="R6686" s="25"/>
      <c r="S6686" s="25"/>
      <c r="T6686" s="141"/>
      <c r="U6686" s="28"/>
    </row>
    <row r="6687" ht="15.75" customHeight="1">
      <c r="P6687" s="25"/>
      <c r="Q6687" s="25"/>
      <c r="R6687" s="25"/>
      <c r="S6687" s="25"/>
      <c r="T6687" s="141"/>
      <c r="U6687" s="28"/>
    </row>
    <row r="6688" ht="15.75" customHeight="1">
      <c r="P6688" s="25"/>
      <c r="Q6688" s="25"/>
      <c r="R6688" s="25"/>
      <c r="S6688" s="25"/>
      <c r="T6688" s="141"/>
      <c r="U6688" s="28"/>
    </row>
    <row r="6689" ht="15.75" customHeight="1">
      <c r="P6689" s="25"/>
      <c r="Q6689" s="25"/>
      <c r="R6689" s="25"/>
      <c r="S6689" s="25"/>
      <c r="T6689" s="141"/>
      <c r="U6689" s="28"/>
    </row>
    <row r="6690" ht="15.75" customHeight="1">
      <c r="P6690" s="25"/>
      <c r="Q6690" s="25"/>
      <c r="R6690" s="25"/>
      <c r="S6690" s="25"/>
      <c r="T6690" s="141"/>
      <c r="U6690" s="28"/>
    </row>
    <row r="6691" ht="15.75" customHeight="1">
      <c r="P6691" s="25"/>
      <c r="Q6691" s="25"/>
      <c r="R6691" s="25"/>
      <c r="S6691" s="25"/>
      <c r="T6691" s="141"/>
      <c r="U6691" s="28"/>
    </row>
    <row r="6692" ht="15.75" customHeight="1">
      <c r="P6692" s="25"/>
      <c r="Q6692" s="25"/>
      <c r="R6692" s="25"/>
      <c r="S6692" s="25"/>
      <c r="T6692" s="141"/>
      <c r="U6692" s="28"/>
    </row>
    <row r="6693" ht="15.75" customHeight="1">
      <c r="P6693" s="25"/>
      <c r="Q6693" s="25"/>
      <c r="R6693" s="25"/>
      <c r="S6693" s="25"/>
      <c r="T6693" s="141"/>
      <c r="U6693" s="28"/>
    </row>
    <row r="6694" ht="15.75" customHeight="1">
      <c r="P6694" s="25"/>
      <c r="Q6694" s="25"/>
      <c r="R6694" s="25"/>
      <c r="S6694" s="25"/>
      <c r="T6694" s="141"/>
      <c r="U6694" s="28"/>
    </row>
    <row r="6695" ht="15.75" customHeight="1">
      <c r="P6695" s="25"/>
      <c r="Q6695" s="25"/>
      <c r="R6695" s="25"/>
      <c r="S6695" s="25"/>
      <c r="T6695" s="141"/>
      <c r="U6695" s="28"/>
    </row>
    <row r="6696" ht="15.75" customHeight="1">
      <c r="P6696" s="25"/>
      <c r="Q6696" s="25"/>
      <c r="R6696" s="25"/>
      <c r="S6696" s="25"/>
      <c r="T6696" s="141"/>
      <c r="U6696" s="28"/>
    </row>
    <row r="6697" ht="15.75" customHeight="1">
      <c r="P6697" s="25"/>
      <c r="Q6697" s="25"/>
      <c r="R6697" s="25"/>
      <c r="S6697" s="25"/>
      <c r="T6697" s="141"/>
      <c r="U6697" s="28"/>
    </row>
    <row r="6698" ht="15.75" customHeight="1">
      <c r="P6698" s="25"/>
      <c r="Q6698" s="25"/>
      <c r="R6698" s="25"/>
      <c r="S6698" s="25"/>
      <c r="T6698" s="141"/>
      <c r="U6698" s="28"/>
    </row>
    <row r="6699" ht="15.75" customHeight="1">
      <c r="P6699" s="25"/>
      <c r="Q6699" s="25"/>
      <c r="R6699" s="25"/>
      <c r="S6699" s="25"/>
      <c r="T6699" s="141"/>
      <c r="U6699" s="28"/>
    </row>
    <row r="6700" ht="15.75" customHeight="1">
      <c r="P6700" s="25"/>
      <c r="Q6700" s="25"/>
      <c r="R6700" s="25"/>
      <c r="S6700" s="25"/>
      <c r="T6700" s="141"/>
      <c r="U6700" s="28"/>
    </row>
    <row r="6701" ht="15.75" customHeight="1">
      <c r="P6701" s="25"/>
      <c r="Q6701" s="25"/>
      <c r="R6701" s="25"/>
      <c r="S6701" s="25"/>
      <c r="T6701" s="141"/>
      <c r="U6701" s="28"/>
    </row>
    <row r="6702" ht="15.75" customHeight="1">
      <c r="P6702" s="25"/>
      <c r="Q6702" s="25"/>
      <c r="R6702" s="25"/>
      <c r="S6702" s="25"/>
      <c r="T6702" s="141"/>
      <c r="U6702" s="28"/>
    </row>
    <row r="6703" ht="15.75" customHeight="1">
      <c r="P6703" s="25"/>
      <c r="Q6703" s="25"/>
      <c r="R6703" s="25"/>
      <c r="S6703" s="25"/>
      <c r="T6703" s="141"/>
      <c r="U6703" s="28"/>
    </row>
    <row r="6704" ht="15.75" customHeight="1">
      <c r="P6704" s="25"/>
      <c r="Q6704" s="25"/>
      <c r="R6704" s="25"/>
      <c r="S6704" s="25"/>
      <c r="T6704" s="141"/>
      <c r="U6704" s="28"/>
    </row>
    <row r="6705" ht="15.75" customHeight="1">
      <c r="P6705" s="25"/>
      <c r="Q6705" s="25"/>
      <c r="R6705" s="25"/>
      <c r="S6705" s="25"/>
      <c r="T6705" s="141"/>
      <c r="U6705" s="28"/>
    </row>
    <row r="6706" ht="15.75" customHeight="1">
      <c r="P6706" s="25"/>
      <c r="Q6706" s="25"/>
      <c r="R6706" s="25"/>
      <c r="S6706" s="25"/>
      <c r="T6706" s="141"/>
      <c r="U6706" s="28"/>
    </row>
    <row r="6707" ht="15.75" customHeight="1">
      <c r="P6707" s="25"/>
      <c r="Q6707" s="25"/>
      <c r="R6707" s="25"/>
      <c r="S6707" s="25"/>
      <c r="T6707" s="141"/>
      <c r="U6707" s="28"/>
    </row>
    <row r="6708" ht="15.75" customHeight="1">
      <c r="P6708" s="25"/>
      <c r="Q6708" s="25"/>
      <c r="R6708" s="25"/>
      <c r="S6708" s="25"/>
      <c r="T6708" s="141"/>
      <c r="U6708" s="28"/>
    </row>
    <row r="6709" ht="15.75" customHeight="1">
      <c r="P6709" s="25"/>
      <c r="Q6709" s="25"/>
      <c r="R6709" s="25"/>
      <c r="S6709" s="25"/>
      <c r="T6709" s="141"/>
      <c r="U6709" s="28"/>
    </row>
    <row r="6710" ht="15.75" customHeight="1">
      <c r="P6710" s="25"/>
      <c r="Q6710" s="25"/>
      <c r="R6710" s="25"/>
      <c r="S6710" s="25"/>
      <c r="T6710" s="141"/>
      <c r="U6710" s="28"/>
    </row>
    <row r="6711" ht="15.75" customHeight="1">
      <c r="P6711" s="25"/>
      <c r="Q6711" s="25"/>
      <c r="R6711" s="25"/>
      <c r="S6711" s="25"/>
      <c r="T6711" s="141"/>
      <c r="U6711" s="28"/>
    </row>
    <row r="6712" ht="15.75" customHeight="1">
      <c r="P6712" s="25"/>
      <c r="Q6712" s="25"/>
      <c r="R6712" s="25"/>
      <c r="S6712" s="25"/>
      <c r="T6712" s="141"/>
      <c r="U6712" s="28"/>
    </row>
    <row r="6713" ht="15.75" customHeight="1">
      <c r="P6713" s="25"/>
      <c r="Q6713" s="25"/>
      <c r="R6713" s="25"/>
      <c r="S6713" s="25"/>
      <c r="T6713" s="141"/>
      <c r="U6713" s="28"/>
    </row>
    <row r="6714" ht="15.75" customHeight="1">
      <c r="P6714" s="25"/>
      <c r="Q6714" s="25"/>
      <c r="R6714" s="25"/>
      <c r="S6714" s="25"/>
      <c r="T6714" s="141"/>
      <c r="U6714" s="28"/>
    </row>
    <row r="6715" ht="15.75" customHeight="1">
      <c r="P6715" s="25"/>
      <c r="Q6715" s="25"/>
      <c r="R6715" s="25"/>
      <c r="S6715" s="25"/>
      <c r="T6715" s="141"/>
      <c r="U6715" s="28"/>
    </row>
    <row r="6716" ht="15.75" customHeight="1">
      <c r="P6716" s="25"/>
      <c r="Q6716" s="25"/>
      <c r="R6716" s="25"/>
      <c r="S6716" s="25"/>
      <c r="T6716" s="141"/>
      <c r="U6716" s="28"/>
    </row>
    <row r="6717" ht="15.75" customHeight="1">
      <c r="P6717" s="25"/>
      <c r="Q6717" s="25"/>
      <c r="R6717" s="25"/>
      <c r="S6717" s="25"/>
      <c r="T6717" s="141"/>
      <c r="U6717" s="28"/>
    </row>
    <row r="6718" ht="15.75" customHeight="1">
      <c r="P6718" s="25"/>
      <c r="Q6718" s="25"/>
      <c r="R6718" s="25"/>
      <c r="S6718" s="25"/>
      <c r="T6718" s="141"/>
      <c r="U6718" s="28"/>
    </row>
    <row r="6719" ht="15.75" customHeight="1">
      <c r="P6719" s="25"/>
      <c r="Q6719" s="25"/>
      <c r="R6719" s="25"/>
      <c r="S6719" s="25"/>
      <c r="T6719" s="141"/>
      <c r="U6719" s="28"/>
    </row>
    <row r="6720" ht="15.75" customHeight="1">
      <c r="P6720" s="25"/>
      <c r="Q6720" s="25"/>
      <c r="R6720" s="25"/>
      <c r="S6720" s="25"/>
      <c r="T6720" s="141"/>
      <c r="U6720" s="28"/>
    </row>
    <row r="6721" ht="15.75" customHeight="1">
      <c r="P6721" s="25"/>
      <c r="Q6721" s="25"/>
      <c r="R6721" s="25"/>
      <c r="S6721" s="25"/>
      <c r="T6721" s="141"/>
      <c r="U6721" s="28"/>
    </row>
    <row r="6722" ht="15.75" customHeight="1">
      <c r="P6722" s="25"/>
      <c r="Q6722" s="25"/>
      <c r="R6722" s="25"/>
      <c r="S6722" s="25"/>
      <c r="T6722" s="141"/>
      <c r="U6722" s="28"/>
    </row>
    <row r="6723" ht="15.75" customHeight="1">
      <c r="P6723" s="25"/>
      <c r="Q6723" s="25"/>
      <c r="R6723" s="25"/>
      <c r="S6723" s="25"/>
      <c r="T6723" s="141"/>
      <c r="U6723" s="28"/>
    </row>
    <row r="6724" ht="15.75" customHeight="1">
      <c r="P6724" s="25"/>
      <c r="Q6724" s="25"/>
      <c r="R6724" s="25"/>
      <c r="S6724" s="25"/>
      <c r="T6724" s="141"/>
      <c r="U6724" s="28"/>
    </row>
    <row r="6725" ht="15.75" customHeight="1">
      <c r="P6725" s="25"/>
      <c r="Q6725" s="25"/>
      <c r="R6725" s="25"/>
      <c r="S6725" s="25"/>
      <c r="T6725" s="141"/>
      <c r="U6725" s="28"/>
    </row>
    <row r="6726" ht="15.75" customHeight="1">
      <c r="P6726" s="25"/>
      <c r="Q6726" s="25"/>
      <c r="R6726" s="25"/>
      <c r="S6726" s="25"/>
      <c r="T6726" s="141"/>
      <c r="U6726" s="28"/>
    </row>
    <row r="6727" ht="15.75" customHeight="1">
      <c r="P6727" s="25"/>
      <c r="Q6727" s="25"/>
      <c r="R6727" s="25"/>
      <c r="S6727" s="25"/>
      <c r="T6727" s="141"/>
      <c r="U6727" s="28"/>
    </row>
    <row r="6728" ht="15.75" customHeight="1">
      <c r="P6728" s="25"/>
      <c r="Q6728" s="25"/>
      <c r="R6728" s="25"/>
      <c r="S6728" s="25"/>
      <c r="T6728" s="141"/>
      <c r="U6728" s="28"/>
    </row>
    <row r="6729" ht="15.75" customHeight="1">
      <c r="P6729" s="25"/>
      <c r="Q6729" s="25"/>
      <c r="R6729" s="25"/>
      <c r="S6729" s="25"/>
      <c r="T6729" s="141"/>
      <c r="U6729" s="28"/>
    </row>
    <row r="6730" ht="15.75" customHeight="1">
      <c r="P6730" s="25"/>
      <c r="Q6730" s="25"/>
      <c r="R6730" s="25"/>
      <c r="S6730" s="25"/>
      <c r="T6730" s="141"/>
      <c r="U6730" s="28"/>
    </row>
    <row r="6731" ht="15.75" customHeight="1">
      <c r="P6731" s="25"/>
      <c r="Q6731" s="25"/>
      <c r="R6731" s="25"/>
      <c r="S6731" s="25"/>
      <c r="T6731" s="141"/>
      <c r="U6731" s="28"/>
    </row>
    <row r="6732" ht="15.75" customHeight="1">
      <c r="P6732" s="25"/>
      <c r="Q6732" s="25"/>
      <c r="R6732" s="25"/>
      <c r="S6732" s="25"/>
      <c r="T6732" s="141"/>
      <c r="U6732" s="28"/>
    </row>
    <row r="6733" ht="15.75" customHeight="1">
      <c r="P6733" s="25"/>
      <c r="Q6733" s="25"/>
      <c r="R6733" s="25"/>
      <c r="S6733" s="25"/>
      <c r="T6733" s="141"/>
      <c r="U6733" s="28"/>
    </row>
    <row r="6734" ht="15.75" customHeight="1">
      <c r="P6734" s="25"/>
      <c r="Q6734" s="25"/>
      <c r="R6734" s="25"/>
      <c r="S6734" s="25"/>
      <c r="T6734" s="141"/>
      <c r="U6734" s="28"/>
    </row>
    <row r="6735" ht="15.75" customHeight="1">
      <c r="P6735" s="25"/>
      <c r="Q6735" s="25"/>
      <c r="R6735" s="25"/>
      <c r="S6735" s="25"/>
      <c r="T6735" s="141"/>
      <c r="U6735" s="28"/>
    </row>
    <row r="6736" ht="15.75" customHeight="1">
      <c r="P6736" s="25"/>
      <c r="Q6736" s="25"/>
      <c r="R6736" s="25"/>
      <c r="S6736" s="25"/>
      <c r="T6736" s="141"/>
      <c r="U6736" s="28"/>
    </row>
    <row r="6737" ht="15.75" customHeight="1">
      <c r="P6737" s="25"/>
      <c r="Q6737" s="25"/>
      <c r="R6737" s="25"/>
      <c r="S6737" s="25"/>
      <c r="T6737" s="141"/>
      <c r="U6737" s="28"/>
    </row>
    <row r="6738" ht="15.75" customHeight="1">
      <c r="P6738" s="25"/>
      <c r="Q6738" s="25"/>
      <c r="R6738" s="25"/>
      <c r="S6738" s="25"/>
      <c r="T6738" s="141"/>
      <c r="U6738" s="28"/>
    </row>
    <row r="6739" ht="15.75" customHeight="1">
      <c r="P6739" s="25"/>
      <c r="Q6739" s="25"/>
      <c r="R6739" s="25"/>
      <c r="S6739" s="25"/>
      <c r="T6739" s="141"/>
      <c r="U6739" s="28"/>
    </row>
    <row r="6740" ht="15.75" customHeight="1">
      <c r="P6740" s="25"/>
      <c r="Q6740" s="25"/>
      <c r="R6740" s="25"/>
      <c r="S6740" s="25"/>
      <c r="T6740" s="141"/>
      <c r="U6740" s="28"/>
    </row>
    <row r="6741" ht="15.75" customHeight="1">
      <c r="P6741" s="25"/>
      <c r="Q6741" s="25"/>
      <c r="R6741" s="25"/>
      <c r="S6741" s="25"/>
      <c r="T6741" s="141"/>
      <c r="U6741" s="28"/>
    </row>
    <row r="6742" ht="15.75" customHeight="1">
      <c r="P6742" s="25"/>
      <c r="Q6742" s="25"/>
      <c r="R6742" s="25"/>
      <c r="S6742" s="25"/>
      <c r="T6742" s="141"/>
      <c r="U6742" s="28"/>
    </row>
    <row r="6743" ht="15.75" customHeight="1">
      <c r="P6743" s="25"/>
      <c r="Q6743" s="25"/>
      <c r="R6743" s="25"/>
      <c r="S6743" s="25"/>
      <c r="T6743" s="141"/>
      <c r="U6743" s="28"/>
    </row>
    <row r="6744" ht="15.75" customHeight="1">
      <c r="P6744" s="25"/>
      <c r="Q6744" s="25"/>
      <c r="R6744" s="25"/>
      <c r="S6744" s="25"/>
      <c r="T6744" s="141"/>
      <c r="U6744" s="28"/>
    </row>
    <row r="6745" ht="15.75" customHeight="1">
      <c r="P6745" s="25"/>
      <c r="Q6745" s="25"/>
      <c r="R6745" s="25"/>
      <c r="S6745" s="25"/>
      <c r="T6745" s="141"/>
      <c r="U6745" s="28"/>
    </row>
    <row r="6746" ht="15.75" customHeight="1">
      <c r="P6746" s="25"/>
      <c r="Q6746" s="25"/>
      <c r="R6746" s="25"/>
      <c r="S6746" s="25"/>
      <c r="T6746" s="141"/>
      <c r="U6746" s="28"/>
    </row>
    <row r="6747" ht="15.75" customHeight="1">
      <c r="P6747" s="25"/>
      <c r="Q6747" s="25"/>
      <c r="R6747" s="25"/>
      <c r="S6747" s="25"/>
      <c r="T6747" s="141"/>
      <c r="U6747" s="28"/>
    </row>
    <row r="6748" ht="15.75" customHeight="1">
      <c r="P6748" s="25"/>
      <c r="Q6748" s="25"/>
      <c r="R6748" s="25"/>
      <c r="S6748" s="25"/>
      <c r="T6748" s="141"/>
      <c r="U6748" s="28"/>
    </row>
    <row r="6749" ht="15.75" customHeight="1">
      <c r="P6749" s="25"/>
      <c r="Q6749" s="25"/>
      <c r="R6749" s="25"/>
      <c r="S6749" s="25"/>
      <c r="T6749" s="141"/>
      <c r="U6749" s="28"/>
    </row>
    <row r="6750" ht="15.75" customHeight="1">
      <c r="P6750" s="25"/>
      <c r="Q6750" s="25"/>
      <c r="R6750" s="25"/>
      <c r="S6750" s="25"/>
      <c r="T6750" s="141"/>
      <c r="U6750" s="28"/>
    </row>
    <row r="6751" ht="15.75" customHeight="1">
      <c r="P6751" s="25"/>
      <c r="Q6751" s="25"/>
      <c r="R6751" s="25"/>
      <c r="S6751" s="25"/>
      <c r="T6751" s="141"/>
      <c r="U6751" s="28"/>
    </row>
    <row r="6752" ht="15.75" customHeight="1">
      <c r="P6752" s="25"/>
      <c r="Q6752" s="25"/>
      <c r="R6752" s="25"/>
      <c r="S6752" s="25"/>
      <c r="T6752" s="141"/>
      <c r="U6752" s="28"/>
    </row>
    <row r="6753" ht="15.75" customHeight="1">
      <c r="P6753" s="25"/>
      <c r="Q6753" s="25"/>
      <c r="R6753" s="25"/>
      <c r="S6753" s="25"/>
      <c r="T6753" s="141"/>
      <c r="U6753" s="28"/>
    </row>
    <row r="6754" ht="15.75" customHeight="1">
      <c r="P6754" s="25"/>
      <c r="Q6754" s="25"/>
      <c r="R6754" s="25"/>
      <c r="S6754" s="25"/>
      <c r="T6754" s="141"/>
      <c r="U6754" s="28"/>
    </row>
    <row r="6755" ht="15.75" customHeight="1">
      <c r="P6755" s="25"/>
      <c r="Q6755" s="25"/>
      <c r="R6755" s="25"/>
      <c r="S6755" s="25"/>
      <c r="T6755" s="141"/>
      <c r="U6755" s="28"/>
    </row>
    <row r="6756" ht="15.75" customHeight="1">
      <c r="P6756" s="25"/>
      <c r="Q6756" s="25"/>
      <c r="R6756" s="25"/>
      <c r="S6756" s="25"/>
      <c r="T6756" s="141"/>
      <c r="U6756" s="28"/>
    </row>
    <row r="6757" ht="15.75" customHeight="1">
      <c r="P6757" s="25"/>
      <c r="Q6757" s="25"/>
      <c r="R6757" s="25"/>
      <c r="S6757" s="25"/>
      <c r="T6757" s="141"/>
      <c r="U6757" s="28"/>
    </row>
    <row r="6758" ht="15.75" customHeight="1">
      <c r="P6758" s="25"/>
      <c r="Q6758" s="25"/>
      <c r="R6758" s="25"/>
      <c r="S6758" s="25"/>
      <c r="T6758" s="141"/>
      <c r="U6758" s="28"/>
    </row>
    <row r="6759" ht="15.75" customHeight="1">
      <c r="P6759" s="25"/>
      <c r="Q6759" s="25"/>
      <c r="R6759" s="25"/>
      <c r="S6759" s="25"/>
      <c r="T6759" s="141"/>
      <c r="U6759" s="28"/>
    </row>
    <row r="6760" ht="15.75" customHeight="1">
      <c r="P6760" s="25"/>
      <c r="Q6760" s="25"/>
      <c r="R6760" s="25"/>
      <c r="S6760" s="25"/>
      <c r="T6760" s="141"/>
      <c r="U6760" s="28"/>
    </row>
    <row r="6761" ht="15.75" customHeight="1">
      <c r="P6761" s="25"/>
      <c r="Q6761" s="25"/>
      <c r="R6761" s="25"/>
      <c r="S6761" s="25"/>
      <c r="T6761" s="141"/>
      <c r="U6761" s="28"/>
    </row>
    <row r="6762" ht="15.75" customHeight="1">
      <c r="P6762" s="25"/>
      <c r="Q6762" s="25"/>
      <c r="R6762" s="25"/>
      <c r="S6762" s="25"/>
      <c r="T6762" s="141"/>
      <c r="U6762" s="28"/>
    </row>
    <row r="6763" ht="15.75" customHeight="1">
      <c r="P6763" s="25"/>
      <c r="Q6763" s="25"/>
      <c r="R6763" s="25"/>
      <c r="S6763" s="25"/>
      <c r="T6763" s="141"/>
      <c r="U6763" s="28"/>
    </row>
    <row r="6764" ht="15.75" customHeight="1">
      <c r="P6764" s="25"/>
      <c r="Q6764" s="25"/>
      <c r="R6764" s="25"/>
      <c r="S6764" s="25"/>
      <c r="T6764" s="141"/>
      <c r="U6764" s="28"/>
    </row>
    <row r="6765" ht="15.75" customHeight="1">
      <c r="P6765" s="25"/>
      <c r="Q6765" s="25"/>
      <c r="R6765" s="25"/>
      <c r="S6765" s="25"/>
      <c r="T6765" s="141"/>
      <c r="U6765" s="28"/>
    </row>
    <row r="6766" ht="15.75" customHeight="1">
      <c r="P6766" s="25"/>
      <c r="Q6766" s="25"/>
      <c r="R6766" s="25"/>
      <c r="S6766" s="25"/>
      <c r="T6766" s="141"/>
      <c r="U6766" s="28"/>
    </row>
    <row r="6767" ht="15.75" customHeight="1">
      <c r="P6767" s="25"/>
      <c r="Q6767" s="25"/>
      <c r="R6767" s="25"/>
      <c r="S6767" s="25"/>
      <c r="T6767" s="141"/>
      <c r="U6767" s="28"/>
    </row>
    <row r="6768" ht="15.75" customHeight="1">
      <c r="P6768" s="25"/>
      <c r="Q6768" s="25"/>
      <c r="R6768" s="25"/>
      <c r="S6768" s="25"/>
      <c r="T6768" s="141"/>
      <c r="U6768" s="28"/>
    </row>
    <row r="6769" ht="15.75" customHeight="1">
      <c r="P6769" s="25"/>
      <c r="Q6769" s="25"/>
      <c r="R6769" s="25"/>
      <c r="S6769" s="25"/>
      <c r="T6769" s="141"/>
      <c r="U6769" s="28"/>
    </row>
    <row r="6770" ht="15.75" customHeight="1">
      <c r="P6770" s="25"/>
      <c r="Q6770" s="25"/>
      <c r="R6770" s="25"/>
      <c r="S6770" s="25"/>
      <c r="T6770" s="141"/>
      <c r="U6770" s="28"/>
    </row>
    <row r="6771" ht="15.75" customHeight="1">
      <c r="P6771" s="25"/>
      <c r="Q6771" s="25"/>
      <c r="R6771" s="25"/>
      <c r="S6771" s="25"/>
      <c r="T6771" s="141"/>
      <c r="U6771" s="28"/>
    </row>
    <row r="6772" ht="15.75" customHeight="1">
      <c r="P6772" s="25"/>
      <c r="Q6772" s="25"/>
      <c r="R6772" s="25"/>
      <c r="S6772" s="25"/>
      <c r="T6772" s="141"/>
      <c r="U6772" s="28"/>
    </row>
    <row r="6773" ht="15.75" customHeight="1">
      <c r="P6773" s="25"/>
      <c r="Q6773" s="25"/>
      <c r="R6773" s="25"/>
      <c r="S6773" s="25"/>
      <c r="T6773" s="141"/>
      <c r="U6773" s="28"/>
    </row>
    <row r="6774" ht="15.75" customHeight="1">
      <c r="P6774" s="25"/>
      <c r="Q6774" s="25"/>
      <c r="R6774" s="25"/>
      <c r="S6774" s="25"/>
      <c r="T6774" s="141"/>
      <c r="U6774" s="28"/>
    </row>
    <row r="6775" ht="15.75" customHeight="1">
      <c r="P6775" s="25"/>
      <c r="Q6775" s="25"/>
      <c r="R6775" s="25"/>
      <c r="S6775" s="25"/>
      <c r="T6775" s="141"/>
      <c r="U6775" s="28"/>
    </row>
    <row r="6776" ht="15.75" customHeight="1">
      <c r="P6776" s="25"/>
      <c r="Q6776" s="25"/>
      <c r="R6776" s="25"/>
      <c r="S6776" s="25"/>
      <c r="T6776" s="141"/>
      <c r="U6776" s="28"/>
    </row>
    <row r="6777" ht="15.75" customHeight="1">
      <c r="P6777" s="25"/>
      <c r="Q6777" s="25"/>
      <c r="R6777" s="25"/>
      <c r="S6777" s="25"/>
      <c r="T6777" s="141"/>
      <c r="U6777" s="28"/>
    </row>
    <row r="6778" ht="15.75" customHeight="1">
      <c r="P6778" s="25"/>
      <c r="Q6778" s="25"/>
      <c r="R6778" s="25"/>
      <c r="S6778" s="25"/>
      <c r="T6778" s="141"/>
      <c r="U6778" s="28"/>
    </row>
    <row r="6779" ht="15.75" customHeight="1">
      <c r="P6779" s="25"/>
      <c r="Q6779" s="25"/>
      <c r="R6779" s="25"/>
      <c r="S6779" s="25"/>
      <c r="T6779" s="141"/>
      <c r="U6779" s="28"/>
    </row>
    <row r="6780" ht="15.75" customHeight="1">
      <c r="P6780" s="25"/>
      <c r="Q6780" s="25"/>
      <c r="R6780" s="25"/>
      <c r="S6780" s="25"/>
      <c r="T6780" s="141"/>
      <c r="U6780" s="28"/>
    </row>
    <row r="6781" ht="15.75" customHeight="1">
      <c r="P6781" s="25"/>
      <c r="Q6781" s="25"/>
      <c r="R6781" s="25"/>
      <c r="S6781" s="25"/>
      <c r="T6781" s="141"/>
      <c r="U6781" s="28"/>
    </row>
    <row r="6782" ht="15.75" customHeight="1">
      <c r="P6782" s="25"/>
      <c r="Q6782" s="25"/>
      <c r="R6782" s="25"/>
      <c r="S6782" s="25"/>
      <c r="T6782" s="141"/>
      <c r="U6782" s="28"/>
    </row>
    <row r="6783" ht="15.75" customHeight="1">
      <c r="P6783" s="25"/>
      <c r="Q6783" s="25"/>
      <c r="R6783" s="25"/>
      <c r="S6783" s="25"/>
      <c r="T6783" s="141"/>
      <c r="U6783" s="28"/>
    </row>
    <row r="6784" ht="15.75" customHeight="1">
      <c r="P6784" s="25"/>
      <c r="Q6784" s="25"/>
      <c r="R6784" s="25"/>
      <c r="S6784" s="25"/>
      <c r="T6784" s="141"/>
      <c r="U6784" s="28"/>
    </row>
    <row r="6785" ht="15.75" customHeight="1">
      <c r="P6785" s="25"/>
      <c r="Q6785" s="25"/>
      <c r="R6785" s="25"/>
      <c r="S6785" s="25"/>
      <c r="T6785" s="141"/>
      <c r="U6785" s="28"/>
    </row>
    <row r="6786" ht="15.75" customHeight="1">
      <c r="P6786" s="25"/>
      <c r="Q6786" s="25"/>
      <c r="R6786" s="25"/>
      <c r="S6786" s="25"/>
      <c r="T6786" s="141"/>
      <c r="U6786" s="28"/>
    </row>
    <row r="6787" ht="15.75" customHeight="1">
      <c r="P6787" s="25"/>
      <c r="Q6787" s="25"/>
      <c r="R6787" s="25"/>
      <c r="S6787" s="25"/>
      <c r="T6787" s="141"/>
      <c r="U6787" s="28"/>
    </row>
    <row r="6788" ht="15.75" customHeight="1">
      <c r="P6788" s="25"/>
      <c r="Q6788" s="25"/>
      <c r="R6788" s="25"/>
      <c r="S6788" s="25"/>
      <c r="T6788" s="141"/>
      <c r="U6788" s="28"/>
    </row>
    <row r="6789" ht="15.75" customHeight="1">
      <c r="P6789" s="25"/>
      <c r="Q6789" s="25"/>
      <c r="R6789" s="25"/>
      <c r="S6789" s="25"/>
      <c r="T6789" s="141"/>
      <c r="U6789" s="28"/>
    </row>
    <row r="6790" ht="15.75" customHeight="1">
      <c r="P6790" s="25"/>
      <c r="Q6790" s="25"/>
      <c r="R6790" s="25"/>
      <c r="S6790" s="25"/>
      <c r="T6790" s="141"/>
      <c r="U6790" s="28"/>
    </row>
    <row r="6791" ht="15.75" customHeight="1">
      <c r="P6791" s="25"/>
      <c r="Q6791" s="25"/>
      <c r="R6791" s="25"/>
      <c r="S6791" s="25"/>
      <c r="T6791" s="141"/>
      <c r="U6791" s="28"/>
    </row>
    <row r="6792" ht="15.75" customHeight="1">
      <c r="P6792" s="25"/>
      <c r="Q6792" s="25"/>
      <c r="R6792" s="25"/>
      <c r="S6792" s="25"/>
      <c r="T6792" s="141"/>
      <c r="U6792" s="28"/>
    </row>
    <row r="6793" ht="15.75" customHeight="1">
      <c r="P6793" s="25"/>
      <c r="Q6793" s="25"/>
      <c r="R6793" s="25"/>
      <c r="S6793" s="25"/>
      <c r="T6793" s="141"/>
      <c r="U6793" s="28"/>
    </row>
    <row r="6794" ht="15.75" customHeight="1">
      <c r="P6794" s="25"/>
      <c r="Q6794" s="25"/>
      <c r="R6794" s="25"/>
      <c r="S6794" s="25"/>
      <c r="T6794" s="141"/>
      <c r="U6794" s="28"/>
    </row>
    <row r="6795" ht="15.75" customHeight="1">
      <c r="P6795" s="25"/>
      <c r="Q6795" s="25"/>
      <c r="R6795" s="25"/>
      <c r="S6795" s="25"/>
      <c r="T6795" s="141"/>
      <c r="U6795" s="28"/>
    </row>
    <row r="6796" ht="15.75" customHeight="1">
      <c r="P6796" s="25"/>
      <c r="Q6796" s="25"/>
      <c r="R6796" s="25"/>
      <c r="S6796" s="25"/>
      <c r="T6796" s="141"/>
      <c r="U6796" s="28"/>
    </row>
    <row r="6797" ht="15.75" customHeight="1">
      <c r="P6797" s="25"/>
      <c r="Q6797" s="25"/>
      <c r="R6797" s="25"/>
      <c r="S6797" s="25"/>
      <c r="T6797" s="141"/>
      <c r="U6797" s="28"/>
    </row>
    <row r="6798" ht="15.75" customHeight="1">
      <c r="P6798" s="25"/>
      <c r="Q6798" s="25"/>
      <c r="R6798" s="25"/>
      <c r="S6798" s="25"/>
      <c r="T6798" s="141"/>
      <c r="U6798" s="28"/>
    </row>
    <row r="6799" ht="15.75" customHeight="1">
      <c r="P6799" s="25"/>
      <c r="Q6799" s="25"/>
      <c r="R6799" s="25"/>
      <c r="S6799" s="25"/>
      <c r="T6799" s="141"/>
      <c r="U6799" s="28"/>
    </row>
    <row r="6800" ht="15.75" customHeight="1">
      <c r="P6800" s="25"/>
      <c r="Q6800" s="25"/>
      <c r="R6800" s="25"/>
      <c r="S6800" s="25"/>
      <c r="T6800" s="141"/>
      <c r="U6800" s="28"/>
    </row>
    <row r="6801" ht="15.75" customHeight="1">
      <c r="P6801" s="25"/>
      <c r="Q6801" s="25"/>
      <c r="R6801" s="25"/>
      <c r="S6801" s="25"/>
      <c r="T6801" s="141"/>
      <c r="U6801" s="28"/>
    </row>
    <row r="6802" ht="15.75" customHeight="1">
      <c r="P6802" s="25"/>
      <c r="Q6802" s="25"/>
      <c r="R6802" s="25"/>
      <c r="S6802" s="25"/>
      <c r="T6802" s="141"/>
      <c r="U6802" s="28"/>
    </row>
    <row r="6803" ht="15.75" customHeight="1">
      <c r="P6803" s="25"/>
      <c r="Q6803" s="25"/>
      <c r="R6803" s="25"/>
      <c r="S6803" s="25"/>
      <c r="T6803" s="141"/>
      <c r="U6803" s="28"/>
    </row>
    <row r="6804" ht="15.75" customHeight="1">
      <c r="P6804" s="25"/>
      <c r="Q6804" s="25"/>
      <c r="R6804" s="25"/>
      <c r="S6804" s="25"/>
      <c r="T6804" s="141"/>
      <c r="U6804" s="28"/>
    </row>
    <row r="6805" ht="15.75" customHeight="1">
      <c r="P6805" s="25"/>
      <c r="Q6805" s="25"/>
      <c r="R6805" s="25"/>
      <c r="S6805" s="25"/>
      <c r="T6805" s="141"/>
      <c r="U6805" s="28"/>
    </row>
    <row r="6806" ht="15.75" customHeight="1">
      <c r="P6806" s="25"/>
      <c r="Q6806" s="25"/>
      <c r="R6806" s="25"/>
      <c r="S6806" s="25"/>
      <c r="T6806" s="141"/>
      <c r="U6806" s="28"/>
    </row>
    <row r="6807" ht="15.75" customHeight="1">
      <c r="P6807" s="25"/>
      <c r="Q6807" s="25"/>
      <c r="R6807" s="25"/>
      <c r="S6807" s="25"/>
      <c r="T6807" s="141"/>
      <c r="U6807" s="28"/>
    </row>
    <row r="6808" ht="15.75" customHeight="1">
      <c r="P6808" s="25"/>
      <c r="Q6808" s="25"/>
      <c r="R6808" s="25"/>
      <c r="S6808" s="25"/>
      <c r="T6808" s="141"/>
      <c r="U6808" s="28"/>
    </row>
    <row r="6809" ht="15.75" customHeight="1">
      <c r="P6809" s="25"/>
      <c r="Q6809" s="25"/>
      <c r="R6809" s="25"/>
      <c r="S6809" s="25"/>
      <c r="T6809" s="141"/>
      <c r="U6809" s="28"/>
    </row>
    <row r="6810" ht="15.75" customHeight="1">
      <c r="P6810" s="25"/>
      <c r="Q6810" s="25"/>
      <c r="R6810" s="25"/>
      <c r="S6810" s="25"/>
      <c r="T6810" s="141"/>
      <c r="U6810" s="28"/>
    </row>
    <row r="6811" ht="15.75" customHeight="1">
      <c r="P6811" s="25"/>
      <c r="Q6811" s="25"/>
      <c r="R6811" s="25"/>
      <c r="S6811" s="25"/>
      <c r="T6811" s="141"/>
      <c r="U6811" s="28"/>
    </row>
    <row r="6812" ht="15.75" customHeight="1">
      <c r="P6812" s="25"/>
      <c r="Q6812" s="25"/>
      <c r="R6812" s="25"/>
      <c r="S6812" s="25"/>
      <c r="T6812" s="141"/>
      <c r="U6812" s="28"/>
    </row>
    <row r="6813" ht="15.75" customHeight="1">
      <c r="P6813" s="25"/>
      <c r="Q6813" s="25"/>
      <c r="R6813" s="25"/>
      <c r="S6813" s="25"/>
      <c r="T6813" s="141"/>
      <c r="U6813" s="28"/>
    </row>
    <row r="6814" ht="15.75" customHeight="1">
      <c r="P6814" s="25"/>
      <c r="Q6814" s="25"/>
      <c r="R6814" s="25"/>
      <c r="S6814" s="25"/>
      <c r="T6814" s="141"/>
      <c r="U6814" s="28"/>
    </row>
    <row r="6815" ht="15.75" customHeight="1">
      <c r="P6815" s="25"/>
      <c r="Q6815" s="25"/>
      <c r="R6815" s="25"/>
      <c r="S6815" s="25"/>
      <c r="T6815" s="141"/>
      <c r="U6815" s="28"/>
    </row>
    <row r="6816" ht="15.75" customHeight="1">
      <c r="P6816" s="25"/>
      <c r="Q6816" s="25"/>
      <c r="R6816" s="25"/>
      <c r="S6816" s="25"/>
      <c r="T6816" s="141"/>
      <c r="U6816" s="28"/>
    </row>
    <row r="6817" ht="15.75" customHeight="1">
      <c r="P6817" s="25"/>
      <c r="Q6817" s="25"/>
      <c r="R6817" s="25"/>
      <c r="S6817" s="25"/>
      <c r="T6817" s="141"/>
      <c r="U6817" s="28"/>
    </row>
    <row r="6818" ht="15.75" customHeight="1">
      <c r="P6818" s="25"/>
      <c r="Q6818" s="25"/>
      <c r="R6818" s="25"/>
      <c r="S6818" s="25"/>
      <c r="T6818" s="141"/>
      <c r="U6818" s="28"/>
    </row>
    <row r="6819" ht="15.75" customHeight="1">
      <c r="P6819" s="25"/>
      <c r="Q6819" s="25"/>
      <c r="R6819" s="25"/>
      <c r="S6819" s="25"/>
      <c r="T6819" s="141"/>
      <c r="U6819" s="28"/>
    </row>
    <row r="6820" ht="15.75" customHeight="1">
      <c r="P6820" s="25"/>
      <c r="Q6820" s="25"/>
      <c r="R6820" s="25"/>
      <c r="S6820" s="25"/>
      <c r="T6820" s="141"/>
      <c r="U6820" s="28"/>
    </row>
    <row r="6821" ht="15.75" customHeight="1">
      <c r="P6821" s="25"/>
      <c r="Q6821" s="25"/>
      <c r="R6821" s="25"/>
      <c r="S6821" s="25"/>
      <c r="T6821" s="141"/>
      <c r="U6821" s="28"/>
    </row>
    <row r="6822" ht="15.75" customHeight="1">
      <c r="P6822" s="25"/>
      <c r="Q6822" s="25"/>
      <c r="R6822" s="25"/>
      <c r="S6822" s="25"/>
      <c r="T6822" s="141"/>
      <c r="U6822" s="28"/>
    </row>
    <row r="6823" ht="15.75" customHeight="1">
      <c r="P6823" s="25"/>
      <c r="Q6823" s="25"/>
      <c r="R6823" s="25"/>
      <c r="S6823" s="25"/>
      <c r="T6823" s="141"/>
      <c r="U6823" s="28"/>
    </row>
    <row r="6824" ht="15.75" customHeight="1">
      <c r="P6824" s="25"/>
      <c r="Q6824" s="25"/>
      <c r="R6824" s="25"/>
      <c r="S6824" s="25"/>
      <c r="T6824" s="141"/>
      <c r="U6824" s="28"/>
    </row>
    <row r="6825" ht="15.75" customHeight="1">
      <c r="P6825" s="25"/>
      <c r="Q6825" s="25"/>
      <c r="R6825" s="25"/>
      <c r="S6825" s="25"/>
      <c r="T6825" s="141"/>
      <c r="U6825" s="28"/>
    </row>
    <row r="6826" ht="15.75" customHeight="1">
      <c r="P6826" s="25"/>
      <c r="Q6826" s="25"/>
      <c r="R6826" s="25"/>
      <c r="S6826" s="25"/>
      <c r="T6826" s="141"/>
      <c r="U6826" s="28"/>
    </row>
    <row r="6827" ht="15.75" customHeight="1">
      <c r="P6827" s="25"/>
      <c r="Q6827" s="25"/>
      <c r="R6827" s="25"/>
      <c r="S6827" s="25"/>
      <c r="T6827" s="141"/>
      <c r="U6827" s="28"/>
    </row>
    <row r="6828" ht="15.75" customHeight="1">
      <c r="P6828" s="25"/>
      <c r="Q6828" s="25"/>
      <c r="R6828" s="25"/>
      <c r="S6828" s="25"/>
      <c r="T6828" s="141"/>
      <c r="U6828" s="28"/>
    </row>
    <row r="6829" ht="15.75" customHeight="1">
      <c r="P6829" s="25"/>
      <c r="Q6829" s="25"/>
      <c r="R6829" s="25"/>
      <c r="S6829" s="25"/>
      <c r="T6829" s="141"/>
      <c r="U6829" s="28"/>
    </row>
    <row r="6830" ht="15.75" customHeight="1">
      <c r="P6830" s="25"/>
      <c r="Q6830" s="25"/>
      <c r="R6830" s="25"/>
      <c r="S6830" s="25"/>
      <c r="T6830" s="141"/>
      <c r="U6830" s="28"/>
    </row>
    <row r="6831" ht="15.75" customHeight="1">
      <c r="P6831" s="25"/>
      <c r="Q6831" s="25"/>
      <c r="R6831" s="25"/>
      <c r="S6831" s="25"/>
      <c r="T6831" s="141"/>
      <c r="U6831" s="28"/>
    </row>
    <row r="6832" ht="15.75" customHeight="1">
      <c r="P6832" s="25"/>
      <c r="Q6832" s="25"/>
      <c r="R6832" s="25"/>
      <c r="S6832" s="25"/>
      <c r="T6832" s="141"/>
      <c r="U6832" s="28"/>
    </row>
    <row r="6833" ht="15.75" customHeight="1">
      <c r="P6833" s="25"/>
      <c r="Q6833" s="25"/>
      <c r="R6833" s="25"/>
      <c r="S6833" s="25"/>
      <c r="T6833" s="141"/>
      <c r="U6833" s="28"/>
    </row>
    <row r="6834" ht="15.75" customHeight="1">
      <c r="P6834" s="25"/>
      <c r="Q6834" s="25"/>
      <c r="R6834" s="25"/>
      <c r="S6834" s="25"/>
      <c r="T6834" s="141"/>
      <c r="U6834" s="28"/>
    </row>
    <row r="6835" ht="15.75" customHeight="1">
      <c r="P6835" s="25"/>
      <c r="Q6835" s="25"/>
      <c r="R6835" s="25"/>
      <c r="S6835" s="25"/>
      <c r="T6835" s="141"/>
      <c r="U6835" s="28"/>
    </row>
    <row r="6836" ht="15.75" customHeight="1">
      <c r="P6836" s="25"/>
      <c r="Q6836" s="25"/>
      <c r="R6836" s="25"/>
      <c r="S6836" s="25"/>
      <c r="T6836" s="141"/>
      <c r="U6836" s="28"/>
    </row>
    <row r="6837" ht="15.75" customHeight="1">
      <c r="P6837" s="25"/>
      <c r="Q6837" s="25"/>
      <c r="R6837" s="25"/>
      <c r="S6837" s="25"/>
      <c r="T6837" s="141"/>
      <c r="U6837" s="28"/>
    </row>
    <row r="6838" ht="15.75" customHeight="1">
      <c r="P6838" s="25"/>
      <c r="Q6838" s="25"/>
      <c r="R6838" s="25"/>
      <c r="S6838" s="25"/>
      <c r="T6838" s="141"/>
      <c r="U6838" s="28"/>
    </row>
    <row r="6839" ht="15.75" customHeight="1">
      <c r="P6839" s="25"/>
      <c r="Q6839" s="25"/>
      <c r="R6839" s="25"/>
      <c r="S6839" s="25"/>
      <c r="T6839" s="141"/>
      <c r="U6839" s="28"/>
    </row>
    <row r="6840" ht="15.75" customHeight="1">
      <c r="P6840" s="25"/>
      <c r="Q6840" s="25"/>
      <c r="R6840" s="25"/>
      <c r="S6840" s="25"/>
      <c r="T6840" s="141"/>
      <c r="U6840" s="28"/>
    </row>
    <row r="6841" ht="15.75" customHeight="1">
      <c r="P6841" s="25"/>
      <c r="Q6841" s="25"/>
      <c r="R6841" s="25"/>
      <c r="S6841" s="25"/>
      <c r="T6841" s="141"/>
      <c r="U6841" s="28"/>
    </row>
    <row r="6842" ht="15.75" customHeight="1">
      <c r="P6842" s="25"/>
      <c r="Q6842" s="25"/>
      <c r="R6842" s="25"/>
      <c r="S6842" s="25"/>
      <c r="T6842" s="141"/>
      <c r="U6842" s="28"/>
    </row>
    <row r="6843" ht="15.75" customHeight="1">
      <c r="P6843" s="25"/>
      <c r="Q6843" s="25"/>
      <c r="R6843" s="25"/>
      <c r="S6843" s="25"/>
      <c r="T6843" s="141"/>
      <c r="U6843" s="28"/>
    </row>
    <row r="6844" ht="15.75" customHeight="1">
      <c r="P6844" s="25"/>
      <c r="Q6844" s="25"/>
      <c r="R6844" s="25"/>
      <c r="S6844" s="25"/>
      <c r="T6844" s="141"/>
      <c r="U6844" s="28"/>
    </row>
    <row r="6845" ht="15.75" customHeight="1">
      <c r="P6845" s="25"/>
      <c r="Q6845" s="25"/>
      <c r="R6845" s="25"/>
      <c r="S6845" s="25"/>
      <c r="T6845" s="141"/>
      <c r="U6845" s="28"/>
    </row>
    <row r="6846" ht="15.75" customHeight="1">
      <c r="P6846" s="25"/>
      <c r="Q6846" s="25"/>
      <c r="R6846" s="25"/>
      <c r="S6846" s="25"/>
      <c r="T6846" s="141"/>
      <c r="U6846" s="28"/>
    </row>
    <row r="6847" ht="15.75" customHeight="1">
      <c r="P6847" s="25"/>
      <c r="Q6847" s="25"/>
      <c r="R6847" s="25"/>
      <c r="S6847" s="25"/>
      <c r="T6847" s="141"/>
      <c r="U6847" s="28"/>
    </row>
    <row r="6848" ht="15.75" customHeight="1">
      <c r="P6848" s="25"/>
      <c r="Q6848" s="25"/>
      <c r="R6848" s="25"/>
      <c r="S6848" s="25"/>
      <c r="T6848" s="141"/>
      <c r="U6848" s="28"/>
    </row>
    <row r="6849" ht="15.75" customHeight="1">
      <c r="P6849" s="25"/>
      <c r="Q6849" s="25"/>
      <c r="R6849" s="25"/>
      <c r="S6849" s="25"/>
      <c r="T6849" s="141"/>
      <c r="U6849" s="28"/>
    </row>
    <row r="6850" ht="15.75" customHeight="1">
      <c r="P6850" s="25"/>
      <c r="Q6850" s="25"/>
      <c r="R6850" s="25"/>
      <c r="S6850" s="25"/>
      <c r="T6850" s="141"/>
      <c r="U6850" s="28"/>
    </row>
    <row r="6851" ht="15.75" customHeight="1">
      <c r="P6851" s="25"/>
      <c r="Q6851" s="25"/>
      <c r="R6851" s="25"/>
      <c r="S6851" s="25"/>
      <c r="T6851" s="141"/>
      <c r="U6851" s="28"/>
    </row>
    <row r="6852" ht="15.75" customHeight="1">
      <c r="P6852" s="25"/>
      <c r="Q6852" s="25"/>
      <c r="R6852" s="25"/>
      <c r="S6852" s="25"/>
      <c r="T6852" s="141"/>
      <c r="U6852" s="28"/>
    </row>
    <row r="6853" ht="15.75" customHeight="1">
      <c r="P6853" s="25"/>
      <c r="Q6853" s="25"/>
      <c r="R6853" s="25"/>
      <c r="S6853" s="25"/>
      <c r="T6853" s="141"/>
      <c r="U6853" s="28"/>
    </row>
    <row r="6854" ht="15.75" customHeight="1">
      <c r="P6854" s="25"/>
      <c r="Q6854" s="25"/>
      <c r="R6854" s="25"/>
      <c r="S6854" s="25"/>
      <c r="T6854" s="141"/>
      <c r="U6854" s="28"/>
    </row>
    <row r="6855" ht="15.75" customHeight="1">
      <c r="P6855" s="25"/>
      <c r="Q6855" s="25"/>
      <c r="R6855" s="25"/>
      <c r="S6855" s="25"/>
      <c r="T6855" s="141"/>
      <c r="U6855" s="28"/>
    </row>
    <row r="6856" ht="15.75" customHeight="1">
      <c r="P6856" s="25"/>
      <c r="Q6856" s="25"/>
      <c r="R6856" s="25"/>
      <c r="S6856" s="25"/>
      <c r="T6856" s="141"/>
      <c r="U6856" s="28"/>
    </row>
    <row r="6857" ht="15.75" customHeight="1">
      <c r="P6857" s="25"/>
      <c r="Q6857" s="25"/>
      <c r="R6857" s="25"/>
      <c r="S6857" s="25"/>
      <c r="T6857" s="141"/>
      <c r="U6857" s="28"/>
    </row>
    <row r="6858" ht="15.75" customHeight="1">
      <c r="P6858" s="25"/>
      <c r="Q6858" s="25"/>
      <c r="R6858" s="25"/>
      <c r="S6858" s="25"/>
      <c r="T6858" s="141"/>
      <c r="U6858" s="28"/>
    </row>
    <row r="6859" ht="15.75" customHeight="1">
      <c r="P6859" s="25"/>
      <c r="Q6859" s="25"/>
      <c r="R6859" s="25"/>
      <c r="S6859" s="25"/>
      <c r="T6859" s="141"/>
      <c r="U6859" s="28"/>
    </row>
    <row r="6860" ht="15.75" customHeight="1">
      <c r="P6860" s="25"/>
      <c r="Q6860" s="25"/>
      <c r="R6860" s="25"/>
      <c r="S6860" s="25"/>
      <c r="T6860" s="141"/>
      <c r="U6860" s="28"/>
    </row>
    <row r="6861" ht="15.75" customHeight="1">
      <c r="P6861" s="25"/>
      <c r="Q6861" s="25"/>
      <c r="R6861" s="25"/>
      <c r="S6861" s="25"/>
      <c r="T6861" s="141"/>
      <c r="U6861" s="28"/>
    </row>
    <row r="6862" ht="15.75" customHeight="1">
      <c r="P6862" s="25"/>
      <c r="Q6862" s="25"/>
      <c r="R6862" s="25"/>
      <c r="S6862" s="25"/>
      <c r="T6862" s="141"/>
      <c r="U6862" s="28"/>
    </row>
    <row r="6863" ht="15.75" customHeight="1">
      <c r="P6863" s="25"/>
      <c r="Q6863" s="25"/>
      <c r="R6863" s="25"/>
      <c r="S6863" s="25"/>
      <c r="T6863" s="141"/>
      <c r="U6863" s="28"/>
    </row>
    <row r="6864" ht="15.75" customHeight="1">
      <c r="P6864" s="25"/>
      <c r="Q6864" s="25"/>
      <c r="R6864" s="25"/>
      <c r="S6864" s="25"/>
      <c r="T6864" s="141"/>
      <c r="U6864" s="28"/>
    </row>
    <row r="6865" ht="15.75" customHeight="1">
      <c r="P6865" s="25"/>
      <c r="Q6865" s="25"/>
      <c r="R6865" s="25"/>
      <c r="S6865" s="25"/>
      <c r="T6865" s="141"/>
      <c r="U6865" s="28"/>
    </row>
    <row r="6866" ht="15.75" customHeight="1">
      <c r="P6866" s="25"/>
      <c r="Q6866" s="25"/>
      <c r="R6866" s="25"/>
      <c r="S6866" s="25"/>
      <c r="T6866" s="141"/>
      <c r="U6866" s="28"/>
    </row>
    <row r="6867" ht="15.75" customHeight="1">
      <c r="P6867" s="25"/>
      <c r="Q6867" s="25"/>
      <c r="R6867" s="25"/>
      <c r="S6867" s="25"/>
      <c r="T6867" s="141"/>
      <c r="U6867" s="28"/>
    </row>
    <row r="6868" ht="15.75" customHeight="1">
      <c r="P6868" s="25"/>
      <c r="Q6868" s="25"/>
      <c r="R6868" s="25"/>
      <c r="S6868" s="25"/>
      <c r="T6868" s="141"/>
      <c r="U6868" s="28"/>
    </row>
    <row r="6869" ht="15.75" customHeight="1">
      <c r="P6869" s="25"/>
      <c r="Q6869" s="25"/>
      <c r="R6869" s="25"/>
      <c r="S6869" s="25"/>
      <c r="T6869" s="141"/>
      <c r="U6869" s="28"/>
    </row>
    <row r="6870" ht="15.75" customHeight="1">
      <c r="P6870" s="25"/>
      <c r="Q6870" s="25"/>
      <c r="R6870" s="25"/>
      <c r="S6870" s="25"/>
      <c r="T6870" s="141"/>
      <c r="U6870" s="28"/>
    </row>
    <row r="6871" ht="15.75" customHeight="1">
      <c r="P6871" s="25"/>
      <c r="Q6871" s="25"/>
      <c r="R6871" s="25"/>
      <c r="S6871" s="25"/>
      <c r="T6871" s="141"/>
      <c r="U6871" s="28"/>
    </row>
    <row r="6872" ht="15.75" customHeight="1">
      <c r="P6872" s="25"/>
      <c r="Q6872" s="25"/>
      <c r="R6872" s="25"/>
      <c r="S6872" s="25"/>
      <c r="T6872" s="141"/>
      <c r="U6872" s="28"/>
    </row>
    <row r="6873" ht="15.75" customHeight="1">
      <c r="P6873" s="25"/>
      <c r="Q6873" s="25"/>
      <c r="R6873" s="25"/>
      <c r="S6873" s="25"/>
      <c r="T6873" s="141"/>
      <c r="U6873" s="28"/>
    </row>
    <row r="6874" ht="15.75" customHeight="1">
      <c r="P6874" s="25"/>
      <c r="Q6874" s="25"/>
      <c r="R6874" s="25"/>
      <c r="S6874" s="25"/>
      <c r="T6874" s="141"/>
      <c r="U6874" s="28"/>
    </row>
    <row r="6875" ht="15.75" customHeight="1">
      <c r="P6875" s="25"/>
      <c r="Q6875" s="25"/>
      <c r="R6875" s="25"/>
      <c r="S6875" s="25"/>
      <c r="T6875" s="141"/>
      <c r="U6875" s="28"/>
    </row>
    <row r="6876" ht="15.75" customHeight="1">
      <c r="P6876" s="25"/>
      <c r="Q6876" s="25"/>
      <c r="R6876" s="25"/>
      <c r="S6876" s="25"/>
      <c r="T6876" s="141"/>
      <c r="U6876" s="28"/>
    </row>
    <row r="6877" ht="15.75" customHeight="1">
      <c r="P6877" s="25"/>
      <c r="Q6877" s="25"/>
      <c r="R6877" s="25"/>
      <c r="S6877" s="25"/>
      <c r="T6877" s="141"/>
      <c r="U6877" s="28"/>
    </row>
    <row r="6878" ht="15.75" customHeight="1">
      <c r="P6878" s="25"/>
      <c r="Q6878" s="25"/>
      <c r="R6878" s="25"/>
      <c r="S6878" s="25"/>
      <c r="T6878" s="141"/>
      <c r="U6878" s="28"/>
    </row>
    <row r="6879" ht="15.75" customHeight="1">
      <c r="P6879" s="25"/>
      <c r="Q6879" s="25"/>
      <c r="R6879" s="25"/>
      <c r="S6879" s="25"/>
      <c r="T6879" s="141"/>
      <c r="U6879" s="28"/>
    </row>
    <row r="6880" ht="15.75" customHeight="1">
      <c r="P6880" s="25"/>
      <c r="Q6880" s="25"/>
      <c r="R6880" s="25"/>
      <c r="S6880" s="25"/>
      <c r="T6880" s="141"/>
      <c r="U6880" s="28"/>
    </row>
    <row r="6881" ht="15.75" customHeight="1">
      <c r="P6881" s="25"/>
      <c r="Q6881" s="25"/>
      <c r="R6881" s="25"/>
      <c r="S6881" s="25"/>
      <c r="T6881" s="141"/>
      <c r="U6881" s="28"/>
    </row>
    <row r="6882" ht="15.75" customHeight="1">
      <c r="P6882" s="25"/>
      <c r="Q6882" s="25"/>
      <c r="R6882" s="25"/>
      <c r="S6882" s="25"/>
      <c r="T6882" s="141"/>
      <c r="U6882" s="28"/>
    </row>
    <row r="6883" ht="15.75" customHeight="1">
      <c r="P6883" s="25"/>
      <c r="Q6883" s="25"/>
      <c r="R6883" s="25"/>
      <c r="S6883" s="25"/>
      <c r="T6883" s="141"/>
      <c r="U6883" s="28"/>
    </row>
    <row r="6884" ht="15.75" customHeight="1">
      <c r="P6884" s="25"/>
      <c r="Q6884" s="25"/>
      <c r="R6884" s="25"/>
      <c r="S6884" s="25"/>
      <c r="T6884" s="141"/>
      <c r="U6884" s="28"/>
    </row>
    <row r="6885" ht="15.75" customHeight="1">
      <c r="P6885" s="25"/>
      <c r="Q6885" s="25"/>
      <c r="R6885" s="25"/>
      <c r="S6885" s="25"/>
      <c r="T6885" s="141"/>
      <c r="U6885" s="28"/>
    </row>
    <row r="6886" ht="15.75" customHeight="1">
      <c r="P6886" s="25"/>
      <c r="Q6886" s="25"/>
      <c r="R6886" s="25"/>
      <c r="S6886" s="25"/>
      <c r="T6886" s="141"/>
      <c r="U6886" s="28"/>
    </row>
    <row r="6887" ht="15.75" customHeight="1">
      <c r="P6887" s="25"/>
      <c r="Q6887" s="25"/>
      <c r="R6887" s="25"/>
      <c r="S6887" s="25"/>
      <c r="T6887" s="141"/>
      <c r="U6887" s="28"/>
    </row>
    <row r="6888" ht="15.75" customHeight="1">
      <c r="P6888" s="25"/>
      <c r="Q6888" s="25"/>
      <c r="R6888" s="25"/>
      <c r="S6888" s="25"/>
      <c r="T6888" s="141"/>
      <c r="U6888" s="28"/>
    </row>
    <row r="6889" ht="15.75" customHeight="1">
      <c r="P6889" s="25"/>
      <c r="Q6889" s="25"/>
      <c r="R6889" s="25"/>
      <c r="S6889" s="25"/>
      <c r="T6889" s="141"/>
      <c r="U6889" s="28"/>
    </row>
    <row r="6890" ht="15.75" customHeight="1">
      <c r="P6890" s="25"/>
      <c r="Q6890" s="25"/>
      <c r="R6890" s="25"/>
      <c r="S6890" s="25"/>
      <c r="T6890" s="141"/>
      <c r="U6890" s="28"/>
    </row>
    <row r="6891" ht="15.75" customHeight="1">
      <c r="P6891" s="25"/>
      <c r="Q6891" s="25"/>
      <c r="R6891" s="25"/>
      <c r="S6891" s="25"/>
      <c r="T6891" s="141"/>
      <c r="U6891" s="28"/>
    </row>
    <row r="6892" ht="15.75" customHeight="1">
      <c r="P6892" s="25"/>
      <c r="Q6892" s="25"/>
      <c r="R6892" s="25"/>
      <c r="S6892" s="25"/>
      <c r="T6892" s="141"/>
      <c r="U6892" s="28"/>
    </row>
    <row r="6893" ht="15.75" customHeight="1">
      <c r="P6893" s="25"/>
      <c r="Q6893" s="25"/>
      <c r="R6893" s="25"/>
      <c r="S6893" s="25"/>
      <c r="T6893" s="141"/>
      <c r="U6893" s="28"/>
    </row>
    <row r="6894" ht="15.75" customHeight="1">
      <c r="P6894" s="25"/>
      <c r="Q6894" s="25"/>
      <c r="R6894" s="25"/>
      <c r="S6894" s="25"/>
      <c r="T6894" s="141"/>
      <c r="U6894" s="28"/>
    </row>
    <row r="6895" ht="15.75" customHeight="1">
      <c r="P6895" s="25"/>
      <c r="Q6895" s="25"/>
      <c r="R6895" s="25"/>
      <c r="S6895" s="25"/>
      <c r="T6895" s="141"/>
      <c r="U6895" s="28"/>
    </row>
    <row r="6896" ht="15.75" customHeight="1">
      <c r="P6896" s="25"/>
      <c r="Q6896" s="25"/>
      <c r="R6896" s="25"/>
      <c r="S6896" s="25"/>
      <c r="T6896" s="141"/>
      <c r="U6896" s="28"/>
    </row>
    <row r="6897" ht="15.75" customHeight="1">
      <c r="P6897" s="25"/>
      <c r="Q6897" s="25"/>
      <c r="R6897" s="25"/>
      <c r="S6897" s="25"/>
      <c r="T6897" s="141"/>
      <c r="U6897" s="28"/>
    </row>
    <row r="6898" ht="15.75" customHeight="1">
      <c r="P6898" s="25"/>
      <c r="Q6898" s="25"/>
      <c r="R6898" s="25"/>
      <c r="S6898" s="25"/>
      <c r="T6898" s="141"/>
      <c r="U6898" s="28"/>
    </row>
    <row r="6899" ht="15.75" customHeight="1">
      <c r="P6899" s="25"/>
      <c r="Q6899" s="25"/>
      <c r="R6899" s="25"/>
      <c r="S6899" s="25"/>
      <c r="T6899" s="141"/>
      <c r="U6899" s="28"/>
    </row>
    <row r="6900" ht="15.75" customHeight="1">
      <c r="P6900" s="25"/>
      <c r="Q6900" s="25"/>
      <c r="R6900" s="25"/>
      <c r="S6900" s="25"/>
      <c r="T6900" s="141"/>
      <c r="U6900" s="28"/>
    </row>
    <row r="6901" ht="15.75" customHeight="1">
      <c r="P6901" s="25"/>
      <c r="Q6901" s="25"/>
      <c r="R6901" s="25"/>
      <c r="S6901" s="25"/>
      <c r="T6901" s="141"/>
      <c r="U6901" s="28"/>
    </row>
    <row r="6902" ht="15.75" customHeight="1">
      <c r="P6902" s="25"/>
      <c r="Q6902" s="25"/>
      <c r="R6902" s="25"/>
      <c r="S6902" s="25"/>
      <c r="T6902" s="141"/>
      <c r="U6902" s="28"/>
    </row>
    <row r="6903" ht="15.75" customHeight="1">
      <c r="P6903" s="25"/>
      <c r="Q6903" s="25"/>
      <c r="R6903" s="25"/>
      <c r="S6903" s="25"/>
      <c r="T6903" s="141"/>
      <c r="U6903" s="28"/>
    </row>
    <row r="6904" ht="15.75" customHeight="1">
      <c r="P6904" s="25"/>
      <c r="Q6904" s="25"/>
      <c r="R6904" s="25"/>
      <c r="S6904" s="25"/>
      <c r="T6904" s="141"/>
      <c r="U6904" s="28"/>
    </row>
    <row r="6905" ht="15.75" customHeight="1">
      <c r="P6905" s="25"/>
      <c r="Q6905" s="25"/>
      <c r="R6905" s="25"/>
      <c r="S6905" s="25"/>
      <c r="T6905" s="141"/>
      <c r="U6905" s="28"/>
    </row>
    <row r="6906" ht="15.75" customHeight="1">
      <c r="P6906" s="25"/>
      <c r="Q6906" s="25"/>
      <c r="R6906" s="25"/>
      <c r="S6906" s="25"/>
      <c r="T6906" s="141"/>
      <c r="U6906" s="28"/>
    </row>
    <row r="6907" ht="15.75" customHeight="1">
      <c r="P6907" s="25"/>
      <c r="Q6907" s="25"/>
      <c r="R6907" s="25"/>
      <c r="S6907" s="25"/>
      <c r="T6907" s="141"/>
      <c r="U6907" s="28"/>
    </row>
    <row r="6908" ht="15.75" customHeight="1">
      <c r="P6908" s="25"/>
      <c r="Q6908" s="25"/>
      <c r="R6908" s="25"/>
      <c r="S6908" s="25"/>
      <c r="T6908" s="141"/>
      <c r="U6908" s="28"/>
    </row>
    <row r="6909" ht="15.75" customHeight="1">
      <c r="P6909" s="25"/>
      <c r="Q6909" s="25"/>
      <c r="R6909" s="25"/>
      <c r="S6909" s="25"/>
      <c r="T6909" s="141"/>
      <c r="U6909" s="28"/>
    </row>
    <row r="6910" ht="15.75" customHeight="1">
      <c r="P6910" s="25"/>
      <c r="Q6910" s="25"/>
      <c r="R6910" s="25"/>
      <c r="S6910" s="25"/>
      <c r="T6910" s="141"/>
      <c r="U6910" s="28"/>
    </row>
    <row r="6911" ht="15.75" customHeight="1">
      <c r="P6911" s="25"/>
      <c r="Q6911" s="25"/>
      <c r="R6911" s="25"/>
      <c r="S6911" s="25"/>
      <c r="T6911" s="141"/>
      <c r="U6911" s="28"/>
    </row>
    <row r="6912" ht="15.75" customHeight="1">
      <c r="P6912" s="25"/>
      <c r="Q6912" s="25"/>
      <c r="R6912" s="25"/>
      <c r="S6912" s="25"/>
      <c r="T6912" s="141"/>
      <c r="U6912" s="28"/>
    </row>
    <row r="6913" ht="15.75" customHeight="1">
      <c r="P6913" s="25"/>
      <c r="Q6913" s="25"/>
      <c r="R6913" s="25"/>
      <c r="S6913" s="25"/>
      <c r="T6913" s="141"/>
      <c r="U6913" s="28"/>
    </row>
    <row r="6914" ht="15.75" customHeight="1">
      <c r="P6914" s="25"/>
      <c r="Q6914" s="25"/>
      <c r="R6914" s="25"/>
      <c r="S6914" s="25"/>
      <c r="T6914" s="141"/>
      <c r="U6914" s="28"/>
    </row>
    <row r="6915" ht="15.75" customHeight="1">
      <c r="P6915" s="25"/>
      <c r="Q6915" s="25"/>
      <c r="R6915" s="25"/>
      <c r="S6915" s="25"/>
      <c r="T6915" s="141"/>
      <c r="U6915" s="28"/>
    </row>
    <row r="6916" ht="15.75" customHeight="1">
      <c r="P6916" s="25"/>
      <c r="Q6916" s="25"/>
      <c r="R6916" s="25"/>
      <c r="S6916" s="25"/>
      <c r="T6916" s="141"/>
      <c r="U6916" s="28"/>
    </row>
    <row r="6917" ht="15.75" customHeight="1">
      <c r="P6917" s="25"/>
      <c r="Q6917" s="25"/>
      <c r="R6917" s="25"/>
      <c r="S6917" s="25"/>
      <c r="T6917" s="141"/>
      <c r="U6917" s="28"/>
    </row>
    <row r="6918" ht="15.75" customHeight="1">
      <c r="P6918" s="25"/>
      <c r="Q6918" s="25"/>
      <c r="R6918" s="25"/>
      <c r="S6918" s="25"/>
      <c r="T6918" s="141"/>
      <c r="U6918" s="28"/>
    </row>
    <row r="6919" ht="15.75" customHeight="1">
      <c r="P6919" s="25"/>
      <c r="Q6919" s="25"/>
      <c r="R6919" s="25"/>
      <c r="S6919" s="25"/>
      <c r="T6919" s="141"/>
      <c r="U6919" s="28"/>
    </row>
    <row r="6920" ht="15.75" customHeight="1">
      <c r="P6920" s="25"/>
      <c r="Q6920" s="25"/>
      <c r="R6920" s="25"/>
      <c r="S6920" s="25"/>
      <c r="T6920" s="141"/>
      <c r="U6920" s="28"/>
    </row>
    <row r="6921" ht="15.75" customHeight="1">
      <c r="P6921" s="25"/>
      <c r="Q6921" s="25"/>
      <c r="R6921" s="25"/>
      <c r="S6921" s="25"/>
      <c r="T6921" s="141"/>
      <c r="U6921" s="28"/>
    </row>
    <row r="6922" ht="15.75" customHeight="1">
      <c r="P6922" s="25"/>
      <c r="Q6922" s="25"/>
      <c r="R6922" s="25"/>
      <c r="S6922" s="25"/>
      <c r="T6922" s="141"/>
      <c r="U6922" s="28"/>
    </row>
    <row r="6923" ht="15.75" customHeight="1">
      <c r="P6923" s="25"/>
      <c r="Q6923" s="25"/>
      <c r="R6923" s="25"/>
      <c r="S6923" s="25"/>
      <c r="T6923" s="141"/>
      <c r="U6923" s="28"/>
    </row>
    <row r="6924" ht="15.75" customHeight="1">
      <c r="P6924" s="25"/>
      <c r="Q6924" s="25"/>
      <c r="R6924" s="25"/>
      <c r="S6924" s="25"/>
      <c r="T6924" s="141"/>
      <c r="U6924" s="28"/>
    </row>
    <row r="6925" ht="15.75" customHeight="1">
      <c r="P6925" s="25"/>
      <c r="Q6925" s="25"/>
      <c r="R6925" s="25"/>
      <c r="S6925" s="25"/>
      <c r="T6925" s="141"/>
      <c r="U6925" s="28"/>
    </row>
    <row r="6926" ht="15.75" customHeight="1">
      <c r="P6926" s="25"/>
      <c r="Q6926" s="25"/>
      <c r="R6926" s="25"/>
      <c r="S6926" s="25"/>
      <c r="T6926" s="141"/>
      <c r="U6926" s="28"/>
    </row>
    <row r="6927" ht="15.75" customHeight="1">
      <c r="P6927" s="25"/>
      <c r="Q6927" s="25"/>
      <c r="R6927" s="25"/>
      <c r="S6927" s="25"/>
      <c r="T6927" s="141"/>
      <c r="U6927" s="28"/>
    </row>
    <row r="6928" ht="15.75" customHeight="1">
      <c r="P6928" s="25"/>
      <c r="Q6928" s="25"/>
      <c r="R6928" s="25"/>
      <c r="S6928" s="25"/>
      <c r="T6928" s="141"/>
      <c r="U6928" s="28"/>
    </row>
    <row r="6929" ht="15.75" customHeight="1">
      <c r="P6929" s="25"/>
      <c r="Q6929" s="25"/>
      <c r="R6929" s="25"/>
      <c r="S6929" s="25"/>
      <c r="T6929" s="141"/>
      <c r="U6929" s="28"/>
    </row>
    <row r="6930" ht="15.75" customHeight="1">
      <c r="P6930" s="25"/>
      <c r="Q6930" s="25"/>
      <c r="R6930" s="25"/>
      <c r="S6930" s="25"/>
      <c r="T6930" s="141"/>
      <c r="U6930" s="28"/>
    </row>
    <row r="6931" ht="15.75" customHeight="1">
      <c r="P6931" s="25"/>
      <c r="Q6931" s="25"/>
      <c r="R6931" s="25"/>
      <c r="S6931" s="25"/>
      <c r="T6931" s="141"/>
      <c r="U6931" s="28"/>
    </row>
    <row r="6932" ht="15.75" customHeight="1">
      <c r="P6932" s="25"/>
      <c r="Q6932" s="25"/>
      <c r="R6932" s="25"/>
      <c r="S6932" s="25"/>
      <c r="T6932" s="141"/>
      <c r="U6932" s="28"/>
    </row>
    <row r="6933" ht="15.75" customHeight="1">
      <c r="P6933" s="25"/>
      <c r="Q6933" s="25"/>
      <c r="R6933" s="25"/>
      <c r="S6933" s="25"/>
      <c r="T6933" s="141"/>
      <c r="U6933" s="28"/>
    </row>
    <row r="6934" ht="15.75" customHeight="1">
      <c r="P6934" s="25"/>
      <c r="Q6934" s="25"/>
      <c r="R6934" s="25"/>
      <c r="S6934" s="25"/>
      <c r="T6934" s="141"/>
      <c r="U6934" s="28"/>
    </row>
    <row r="6935" ht="15.75" customHeight="1">
      <c r="P6935" s="25"/>
      <c r="Q6935" s="25"/>
      <c r="R6935" s="25"/>
      <c r="S6935" s="25"/>
      <c r="T6935" s="141"/>
      <c r="U6935" s="28"/>
    </row>
    <row r="6936" ht="15.75" customHeight="1">
      <c r="P6936" s="25"/>
      <c r="Q6936" s="25"/>
      <c r="R6936" s="25"/>
      <c r="S6936" s="25"/>
      <c r="T6936" s="141"/>
      <c r="U6936" s="28"/>
    </row>
    <row r="6937" ht="15.75" customHeight="1">
      <c r="P6937" s="25"/>
      <c r="Q6937" s="25"/>
      <c r="R6937" s="25"/>
      <c r="S6937" s="25"/>
      <c r="T6937" s="141"/>
      <c r="U6937" s="28"/>
    </row>
    <row r="6938" ht="15.75" customHeight="1">
      <c r="P6938" s="25"/>
      <c r="Q6938" s="25"/>
      <c r="R6938" s="25"/>
      <c r="S6938" s="25"/>
      <c r="T6938" s="141"/>
      <c r="U6938" s="28"/>
    </row>
    <row r="6939" ht="15.75" customHeight="1">
      <c r="P6939" s="25"/>
      <c r="Q6939" s="25"/>
      <c r="R6939" s="25"/>
      <c r="S6939" s="25"/>
      <c r="T6939" s="141"/>
      <c r="U6939" s="28"/>
    </row>
    <row r="6940" ht="15.75" customHeight="1">
      <c r="P6940" s="25"/>
      <c r="Q6940" s="25"/>
      <c r="R6940" s="25"/>
      <c r="S6940" s="25"/>
      <c r="T6940" s="141"/>
      <c r="U6940" s="28"/>
    </row>
    <row r="6941" ht="15.75" customHeight="1">
      <c r="P6941" s="25"/>
      <c r="Q6941" s="25"/>
      <c r="R6941" s="25"/>
      <c r="S6941" s="25"/>
      <c r="T6941" s="141"/>
      <c r="U6941" s="28"/>
    </row>
    <row r="6942" ht="15.75" customHeight="1">
      <c r="P6942" s="25"/>
      <c r="Q6942" s="25"/>
      <c r="R6942" s="25"/>
      <c r="S6942" s="25"/>
      <c r="T6942" s="141"/>
      <c r="U6942" s="28"/>
    </row>
    <row r="6943" ht="15.75" customHeight="1">
      <c r="P6943" s="25"/>
      <c r="Q6943" s="25"/>
      <c r="R6943" s="25"/>
      <c r="S6943" s="25"/>
      <c r="T6943" s="141"/>
      <c r="U6943" s="28"/>
    </row>
    <row r="6944" ht="15.75" customHeight="1">
      <c r="P6944" s="25"/>
      <c r="Q6944" s="25"/>
      <c r="R6944" s="25"/>
      <c r="S6944" s="25"/>
      <c r="T6944" s="141"/>
      <c r="U6944" s="28"/>
    </row>
    <row r="6945" ht="15.75" customHeight="1">
      <c r="P6945" s="25"/>
      <c r="Q6945" s="25"/>
      <c r="R6945" s="25"/>
      <c r="S6945" s="25"/>
      <c r="T6945" s="141"/>
      <c r="U6945" s="28"/>
    </row>
    <row r="6946" ht="15.75" customHeight="1">
      <c r="P6946" s="25"/>
      <c r="Q6946" s="25"/>
      <c r="R6946" s="25"/>
      <c r="S6946" s="25"/>
      <c r="T6946" s="141"/>
      <c r="U6946" s="28"/>
    </row>
    <row r="6947" ht="15.75" customHeight="1">
      <c r="P6947" s="25"/>
      <c r="Q6947" s="25"/>
      <c r="R6947" s="25"/>
      <c r="S6947" s="25"/>
      <c r="T6947" s="141"/>
      <c r="U6947" s="28"/>
    </row>
    <row r="6948" ht="15.75" customHeight="1">
      <c r="P6948" s="25"/>
      <c r="Q6948" s="25"/>
      <c r="R6948" s="25"/>
      <c r="S6948" s="25"/>
      <c r="T6948" s="141"/>
      <c r="U6948" s="28"/>
    </row>
    <row r="6949" ht="15.75" customHeight="1">
      <c r="P6949" s="25"/>
      <c r="Q6949" s="25"/>
      <c r="R6949" s="25"/>
      <c r="S6949" s="25"/>
      <c r="T6949" s="141"/>
      <c r="U6949" s="28"/>
    </row>
    <row r="6950" ht="15.75" customHeight="1">
      <c r="P6950" s="25"/>
      <c r="Q6950" s="25"/>
      <c r="R6950" s="25"/>
      <c r="S6950" s="25"/>
      <c r="T6950" s="141"/>
      <c r="U6950" s="28"/>
    </row>
    <row r="6951" ht="15.75" customHeight="1">
      <c r="P6951" s="25"/>
      <c r="Q6951" s="25"/>
      <c r="R6951" s="25"/>
      <c r="S6951" s="25"/>
      <c r="T6951" s="141"/>
      <c r="U6951" s="28"/>
    </row>
    <row r="6952" ht="15.75" customHeight="1">
      <c r="P6952" s="25"/>
      <c r="Q6952" s="25"/>
      <c r="R6952" s="25"/>
      <c r="S6952" s="25"/>
      <c r="T6952" s="141"/>
      <c r="U6952" s="28"/>
    </row>
    <row r="6953" ht="15.75" customHeight="1">
      <c r="P6953" s="25"/>
      <c r="Q6953" s="25"/>
      <c r="R6953" s="25"/>
      <c r="S6953" s="25"/>
      <c r="T6953" s="141"/>
      <c r="U6953" s="28"/>
    </row>
    <row r="6954" ht="15.75" customHeight="1">
      <c r="P6954" s="25"/>
      <c r="Q6954" s="25"/>
      <c r="R6954" s="25"/>
      <c r="S6954" s="25"/>
      <c r="T6954" s="141"/>
      <c r="U6954" s="28"/>
    </row>
    <row r="6955" ht="15.75" customHeight="1">
      <c r="P6955" s="25"/>
      <c r="Q6955" s="25"/>
      <c r="R6955" s="25"/>
      <c r="S6955" s="25"/>
      <c r="T6955" s="141"/>
      <c r="U6955" s="28"/>
    </row>
    <row r="6956" ht="15.75" customHeight="1">
      <c r="P6956" s="25"/>
      <c r="Q6956" s="25"/>
      <c r="R6956" s="25"/>
      <c r="S6956" s="25"/>
      <c r="T6956" s="141"/>
      <c r="U6956" s="28"/>
    </row>
    <row r="6957" ht="15.75" customHeight="1">
      <c r="P6957" s="25"/>
      <c r="Q6957" s="25"/>
      <c r="R6957" s="25"/>
      <c r="S6957" s="25"/>
      <c r="T6957" s="141"/>
      <c r="U6957" s="28"/>
    </row>
    <row r="6958" ht="15.75" customHeight="1">
      <c r="P6958" s="25"/>
      <c r="Q6958" s="25"/>
      <c r="R6958" s="25"/>
      <c r="S6958" s="25"/>
      <c r="T6958" s="141"/>
      <c r="U6958" s="28"/>
    </row>
    <row r="6959" ht="15.75" customHeight="1">
      <c r="P6959" s="25"/>
      <c r="Q6959" s="25"/>
      <c r="R6959" s="25"/>
      <c r="S6959" s="25"/>
      <c r="T6959" s="141"/>
      <c r="U6959" s="28"/>
    </row>
    <row r="6960" ht="15.75" customHeight="1">
      <c r="P6960" s="25"/>
      <c r="Q6960" s="25"/>
      <c r="R6960" s="25"/>
      <c r="S6960" s="25"/>
      <c r="T6960" s="141"/>
      <c r="U6960" s="28"/>
    </row>
    <row r="6961" ht="15.75" customHeight="1">
      <c r="P6961" s="25"/>
      <c r="Q6961" s="25"/>
      <c r="R6961" s="25"/>
      <c r="S6961" s="25"/>
      <c r="T6961" s="141"/>
      <c r="U6961" s="28"/>
    </row>
    <row r="6962" ht="15.75" customHeight="1">
      <c r="P6962" s="25"/>
      <c r="Q6962" s="25"/>
      <c r="R6962" s="25"/>
      <c r="S6962" s="25"/>
      <c r="T6962" s="141"/>
      <c r="U6962" s="28"/>
    </row>
    <row r="6963" ht="15.75" customHeight="1">
      <c r="P6963" s="25"/>
      <c r="Q6963" s="25"/>
      <c r="R6963" s="25"/>
      <c r="S6963" s="25"/>
      <c r="T6963" s="141"/>
      <c r="U6963" s="28"/>
    </row>
    <row r="6964" ht="15.75" customHeight="1">
      <c r="P6964" s="25"/>
      <c r="Q6964" s="25"/>
      <c r="R6964" s="25"/>
      <c r="S6964" s="25"/>
      <c r="T6964" s="141"/>
      <c r="U6964" s="28"/>
    </row>
    <row r="6965" ht="15.75" customHeight="1">
      <c r="P6965" s="25"/>
      <c r="Q6965" s="25"/>
      <c r="R6965" s="25"/>
      <c r="S6965" s="25"/>
      <c r="T6965" s="141"/>
      <c r="U6965" s="28"/>
    </row>
    <row r="6966" ht="15.75" customHeight="1">
      <c r="P6966" s="25"/>
      <c r="Q6966" s="25"/>
      <c r="R6966" s="25"/>
      <c r="S6966" s="25"/>
      <c r="T6966" s="141"/>
      <c r="U6966" s="28"/>
    </row>
    <row r="6967" ht="15.75" customHeight="1">
      <c r="P6967" s="25"/>
      <c r="Q6967" s="25"/>
      <c r="R6967" s="25"/>
      <c r="S6967" s="25"/>
      <c r="T6967" s="141"/>
      <c r="U6967" s="28"/>
    </row>
    <row r="6968" ht="15.75" customHeight="1">
      <c r="P6968" s="25"/>
      <c r="Q6968" s="25"/>
      <c r="R6968" s="25"/>
      <c r="S6968" s="25"/>
      <c r="T6968" s="141"/>
      <c r="U6968" s="28"/>
    </row>
    <row r="6969" ht="15.75" customHeight="1">
      <c r="P6969" s="25"/>
      <c r="Q6969" s="25"/>
      <c r="R6969" s="25"/>
      <c r="S6969" s="25"/>
      <c r="T6969" s="141"/>
      <c r="U6969" s="28"/>
    </row>
    <row r="6970" ht="15.75" customHeight="1">
      <c r="P6970" s="25"/>
      <c r="Q6970" s="25"/>
      <c r="R6970" s="25"/>
      <c r="S6970" s="25"/>
      <c r="T6970" s="141"/>
      <c r="U6970" s="28"/>
    </row>
    <row r="6971" ht="15.75" customHeight="1">
      <c r="P6971" s="25"/>
      <c r="Q6971" s="25"/>
      <c r="R6971" s="25"/>
      <c r="S6971" s="25"/>
      <c r="T6971" s="141"/>
      <c r="U6971" s="28"/>
    </row>
    <row r="6972" ht="15.75" customHeight="1">
      <c r="P6972" s="25"/>
      <c r="Q6972" s="25"/>
      <c r="R6972" s="25"/>
      <c r="S6972" s="25"/>
      <c r="T6972" s="141"/>
      <c r="U6972" s="28"/>
    </row>
    <row r="6973" ht="15.75" customHeight="1">
      <c r="P6973" s="25"/>
      <c r="Q6973" s="25"/>
      <c r="R6973" s="25"/>
      <c r="S6973" s="25"/>
      <c r="T6973" s="141"/>
      <c r="U6973" s="28"/>
    </row>
    <row r="6974" ht="15.75" customHeight="1">
      <c r="P6974" s="25"/>
      <c r="Q6974" s="25"/>
      <c r="R6974" s="25"/>
      <c r="S6974" s="25"/>
      <c r="T6974" s="141"/>
      <c r="U6974" s="28"/>
    </row>
    <row r="6975" ht="15.75" customHeight="1">
      <c r="P6975" s="25"/>
      <c r="Q6975" s="25"/>
      <c r="R6975" s="25"/>
      <c r="S6975" s="25"/>
      <c r="T6975" s="141"/>
      <c r="U6975" s="28"/>
    </row>
    <row r="6976" ht="15.75" customHeight="1">
      <c r="P6976" s="25"/>
      <c r="Q6976" s="25"/>
      <c r="R6976" s="25"/>
      <c r="S6976" s="25"/>
      <c r="T6976" s="141"/>
      <c r="U6976" s="28"/>
    </row>
    <row r="6977" ht="15.75" customHeight="1">
      <c r="P6977" s="25"/>
      <c r="Q6977" s="25"/>
      <c r="R6977" s="25"/>
      <c r="S6977" s="25"/>
      <c r="T6977" s="141"/>
      <c r="U6977" s="28"/>
    </row>
    <row r="6978" ht="15.75" customHeight="1">
      <c r="P6978" s="25"/>
      <c r="Q6978" s="25"/>
      <c r="R6978" s="25"/>
      <c r="S6978" s="25"/>
      <c r="T6978" s="141"/>
      <c r="U6978" s="28"/>
    </row>
    <row r="6979" ht="15.75" customHeight="1">
      <c r="P6979" s="25"/>
      <c r="Q6979" s="25"/>
      <c r="R6979" s="25"/>
      <c r="S6979" s="25"/>
      <c r="T6979" s="141"/>
      <c r="U6979" s="28"/>
    </row>
    <row r="6980" ht="15.75" customHeight="1">
      <c r="P6980" s="25"/>
      <c r="Q6980" s="25"/>
      <c r="R6980" s="25"/>
      <c r="S6980" s="25"/>
      <c r="T6980" s="141"/>
      <c r="U6980" s="28"/>
    </row>
    <row r="6981" ht="15.75" customHeight="1">
      <c r="P6981" s="25"/>
      <c r="Q6981" s="25"/>
      <c r="R6981" s="25"/>
      <c r="S6981" s="25"/>
      <c r="T6981" s="141"/>
      <c r="U6981" s="28"/>
    </row>
    <row r="6982" ht="15.75" customHeight="1">
      <c r="P6982" s="25"/>
      <c r="Q6982" s="25"/>
      <c r="R6982" s="25"/>
      <c r="S6982" s="25"/>
      <c r="T6982" s="141"/>
      <c r="U6982" s="28"/>
    </row>
    <row r="6983" ht="15.75" customHeight="1">
      <c r="P6983" s="25"/>
      <c r="Q6983" s="25"/>
      <c r="R6983" s="25"/>
      <c r="S6983" s="25"/>
      <c r="T6983" s="141"/>
      <c r="U6983" s="28"/>
    </row>
    <row r="6984" ht="15.75" customHeight="1">
      <c r="P6984" s="25"/>
      <c r="Q6984" s="25"/>
      <c r="R6984" s="25"/>
      <c r="S6984" s="25"/>
      <c r="T6984" s="141"/>
      <c r="U6984" s="28"/>
    </row>
    <row r="6985" ht="15.75" customHeight="1">
      <c r="P6985" s="25"/>
      <c r="Q6985" s="25"/>
      <c r="R6985" s="25"/>
      <c r="S6985" s="25"/>
      <c r="T6985" s="141"/>
      <c r="U6985" s="28"/>
    </row>
    <row r="6986" ht="15.75" customHeight="1">
      <c r="P6986" s="25"/>
      <c r="Q6986" s="25"/>
      <c r="R6986" s="25"/>
      <c r="S6986" s="25"/>
      <c r="T6986" s="141"/>
      <c r="U6986" s="28"/>
    </row>
    <row r="6987" ht="15.75" customHeight="1">
      <c r="P6987" s="25"/>
      <c r="Q6987" s="25"/>
      <c r="R6987" s="25"/>
      <c r="S6987" s="25"/>
      <c r="T6987" s="141"/>
      <c r="U6987" s="28"/>
    </row>
    <row r="6988" ht="15.75" customHeight="1">
      <c r="P6988" s="25"/>
      <c r="Q6988" s="25"/>
      <c r="R6988" s="25"/>
      <c r="S6988" s="25"/>
      <c r="T6988" s="141"/>
      <c r="U6988" s="28"/>
    </row>
    <row r="6989" ht="15.75" customHeight="1">
      <c r="P6989" s="25"/>
      <c r="Q6989" s="25"/>
      <c r="R6989" s="25"/>
      <c r="S6989" s="25"/>
      <c r="T6989" s="141"/>
      <c r="U6989" s="28"/>
    </row>
    <row r="6990" ht="15.75" customHeight="1">
      <c r="P6990" s="25"/>
      <c r="Q6990" s="25"/>
      <c r="R6990" s="25"/>
      <c r="S6990" s="25"/>
      <c r="T6990" s="141"/>
      <c r="U6990" s="28"/>
    </row>
    <row r="6991" ht="15.75" customHeight="1">
      <c r="P6991" s="25"/>
      <c r="Q6991" s="25"/>
      <c r="R6991" s="25"/>
      <c r="S6991" s="25"/>
      <c r="T6991" s="141"/>
      <c r="U6991" s="28"/>
    </row>
    <row r="6992" ht="15.75" customHeight="1">
      <c r="P6992" s="25"/>
      <c r="Q6992" s="25"/>
      <c r="R6992" s="25"/>
      <c r="S6992" s="25"/>
      <c r="T6992" s="141"/>
      <c r="U6992" s="28"/>
    </row>
    <row r="6993" ht="15.75" customHeight="1">
      <c r="P6993" s="25"/>
      <c r="Q6993" s="25"/>
      <c r="R6993" s="25"/>
      <c r="S6993" s="25"/>
      <c r="T6993" s="141"/>
      <c r="U6993" s="28"/>
    </row>
    <row r="6994" ht="15.75" customHeight="1">
      <c r="P6994" s="25"/>
      <c r="Q6994" s="25"/>
      <c r="R6994" s="25"/>
      <c r="S6994" s="25"/>
      <c r="T6994" s="141"/>
      <c r="U6994" s="28"/>
    </row>
    <row r="6995" ht="15.75" customHeight="1">
      <c r="P6995" s="25"/>
      <c r="Q6995" s="25"/>
      <c r="R6995" s="25"/>
      <c r="S6995" s="25"/>
      <c r="T6995" s="141"/>
      <c r="U6995" s="28"/>
    </row>
    <row r="6996" ht="15.75" customHeight="1">
      <c r="P6996" s="25"/>
      <c r="Q6996" s="25"/>
      <c r="R6996" s="25"/>
      <c r="S6996" s="25"/>
      <c r="T6996" s="141"/>
      <c r="U6996" s="28"/>
    </row>
    <row r="6997" ht="15.75" customHeight="1">
      <c r="P6997" s="25"/>
      <c r="Q6997" s="25"/>
      <c r="R6997" s="25"/>
      <c r="S6997" s="25"/>
      <c r="T6997" s="141"/>
      <c r="U6997" s="28"/>
    </row>
    <row r="6998" ht="15.75" customHeight="1">
      <c r="P6998" s="25"/>
      <c r="Q6998" s="25"/>
      <c r="R6998" s="25"/>
      <c r="S6998" s="25"/>
      <c r="T6998" s="141"/>
      <c r="U6998" s="28"/>
    </row>
    <row r="6999" ht="15.75" customHeight="1">
      <c r="P6999" s="25"/>
      <c r="Q6999" s="25"/>
      <c r="R6999" s="25"/>
      <c r="S6999" s="25"/>
      <c r="T6999" s="141"/>
      <c r="U6999" s="28"/>
    </row>
    <row r="7000" ht="15.75" customHeight="1">
      <c r="P7000" s="25"/>
      <c r="Q7000" s="25"/>
      <c r="R7000" s="25"/>
      <c r="S7000" s="25"/>
      <c r="T7000" s="141"/>
      <c r="U7000" s="28"/>
    </row>
    <row r="7001" ht="15.75" customHeight="1">
      <c r="P7001" s="25"/>
      <c r="Q7001" s="25"/>
      <c r="R7001" s="25"/>
      <c r="S7001" s="25"/>
      <c r="T7001" s="141"/>
      <c r="U7001" s="28"/>
    </row>
    <row r="7002" ht="15.75" customHeight="1">
      <c r="P7002" s="25"/>
      <c r="Q7002" s="25"/>
      <c r="R7002" s="25"/>
      <c r="S7002" s="25"/>
      <c r="T7002" s="141"/>
      <c r="U7002" s="28"/>
    </row>
    <row r="7003" ht="15.75" customHeight="1">
      <c r="P7003" s="25"/>
      <c r="Q7003" s="25"/>
      <c r="R7003" s="25"/>
      <c r="S7003" s="25"/>
      <c r="T7003" s="141"/>
      <c r="U7003" s="28"/>
    </row>
    <row r="7004" ht="15.75" customHeight="1">
      <c r="P7004" s="25"/>
      <c r="Q7004" s="25"/>
      <c r="R7004" s="25"/>
      <c r="S7004" s="25"/>
      <c r="T7004" s="141"/>
      <c r="U7004" s="28"/>
    </row>
    <row r="7005" ht="15.75" customHeight="1">
      <c r="P7005" s="25"/>
      <c r="Q7005" s="25"/>
      <c r="R7005" s="25"/>
      <c r="S7005" s="25"/>
      <c r="T7005" s="141"/>
      <c r="U7005" s="28"/>
    </row>
    <row r="7006" ht="15.75" customHeight="1">
      <c r="P7006" s="25"/>
      <c r="Q7006" s="25"/>
      <c r="R7006" s="25"/>
      <c r="S7006" s="25"/>
      <c r="T7006" s="141"/>
      <c r="U7006" s="28"/>
    </row>
    <row r="7007" ht="15.75" customHeight="1">
      <c r="P7007" s="25"/>
      <c r="Q7007" s="25"/>
      <c r="R7007" s="25"/>
      <c r="S7007" s="25"/>
      <c r="T7007" s="141"/>
      <c r="U7007" s="28"/>
    </row>
    <row r="7008" ht="15.75" customHeight="1">
      <c r="P7008" s="25"/>
      <c r="Q7008" s="25"/>
      <c r="R7008" s="25"/>
      <c r="S7008" s="25"/>
      <c r="T7008" s="141"/>
      <c r="U7008" s="28"/>
    </row>
    <row r="7009" ht="15.75" customHeight="1">
      <c r="P7009" s="25"/>
      <c r="Q7009" s="25"/>
      <c r="R7009" s="25"/>
      <c r="S7009" s="25"/>
      <c r="T7009" s="141"/>
      <c r="U7009" s="28"/>
    </row>
    <row r="7010" ht="15.75" customHeight="1">
      <c r="P7010" s="25"/>
      <c r="Q7010" s="25"/>
      <c r="R7010" s="25"/>
      <c r="S7010" s="25"/>
      <c r="T7010" s="141"/>
      <c r="U7010" s="28"/>
    </row>
    <row r="7011" ht="15.75" customHeight="1">
      <c r="P7011" s="25"/>
      <c r="Q7011" s="25"/>
      <c r="R7011" s="25"/>
      <c r="S7011" s="25"/>
      <c r="T7011" s="141"/>
      <c r="U7011" s="28"/>
    </row>
    <row r="7012" ht="15.75" customHeight="1">
      <c r="P7012" s="25"/>
      <c r="Q7012" s="25"/>
      <c r="R7012" s="25"/>
      <c r="S7012" s="25"/>
      <c r="T7012" s="141"/>
      <c r="U7012" s="28"/>
    </row>
    <row r="7013" ht="15.75" customHeight="1">
      <c r="P7013" s="25"/>
      <c r="Q7013" s="25"/>
      <c r="R7013" s="25"/>
      <c r="S7013" s="25"/>
      <c r="T7013" s="141"/>
      <c r="U7013" s="28"/>
    </row>
    <row r="7014" ht="15.75" customHeight="1">
      <c r="P7014" s="25"/>
      <c r="Q7014" s="25"/>
      <c r="R7014" s="25"/>
      <c r="S7014" s="25"/>
      <c r="T7014" s="141"/>
      <c r="U7014" s="28"/>
    </row>
    <row r="7015" ht="15.75" customHeight="1">
      <c r="P7015" s="25"/>
      <c r="Q7015" s="25"/>
      <c r="R7015" s="25"/>
      <c r="S7015" s="25"/>
      <c r="T7015" s="141"/>
      <c r="U7015" s="28"/>
    </row>
    <row r="7016" ht="15.75" customHeight="1">
      <c r="P7016" s="25"/>
      <c r="Q7016" s="25"/>
      <c r="R7016" s="25"/>
      <c r="S7016" s="25"/>
      <c r="T7016" s="141"/>
      <c r="U7016" s="28"/>
    </row>
    <row r="7017" ht="15.75" customHeight="1">
      <c r="P7017" s="25"/>
      <c r="Q7017" s="25"/>
      <c r="R7017" s="25"/>
      <c r="S7017" s="25"/>
      <c r="T7017" s="141"/>
      <c r="U7017" s="28"/>
    </row>
    <row r="7018" ht="15.75" customHeight="1">
      <c r="P7018" s="25"/>
      <c r="Q7018" s="25"/>
      <c r="R7018" s="25"/>
      <c r="S7018" s="25"/>
      <c r="T7018" s="141"/>
      <c r="U7018" s="28"/>
    </row>
    <row r="7019" ht="15.75" customHeight="1">
      <c r="P7019" s="25"/>
      <c r="Q7019" s="25"/>
      <c r="R7019" s="25"/>
      <c r="S7019" s="25"/>
      <c r="T7019" s="141"/>
      <c r="U7019" s="28"/>
    </row>
    <row r="7020" ht="15.75" customHeight="1">
      <c r="P7020" s="25"/>
      <c r="Q7020" s="25"/>
      <c r="R7020" s="25"/>
      <c r="S7020" s="25"/>
      <c r="T7020" s="141"/>
      <c r="U7020" s="28"/>
    </row>
    <row r="7021" ht="15.75" customHeight="1">
      <c r="P7021" s="25"/>
      <c r="Q7021" s="25"/>
      <c r="R7021" s="25"/>
      <c r="S7021" s="25"/>
      <c r="T7021" s="141"/>
      <c r="U7021" s="28"/>
    </row>
    <row r="7022" ht="15.75" customHeight="1">
      <c r="P7022" s="25"/>
      <c r="Q7022" s="25"/>
      <c r="R7022" s="25"/>
      <c r="S7022" s="25"/>
      <c r="T7022" s="141"/>
      <c r="U7022" s="28"/>
    </row>
    <row r="7023" ht="15.75" customHeight="1">
      <c r="P7023" s="25"/>
      <c r="Q7023" s="25"/>
      <c r="R7023" s="25"/>
      <c r="S7023" s="25"/>
      <c r="T7023" s="141"/>
      <c r="U7023" s="28"/>
    </row>
    <row r="7024" ht="15.75" customHeight="1">
      <c r="P7024" s="25"/>
      <c r="Q7024" s="25"/>
      <c r="R7024" s="25"/>
      <c r="S7024" s="25"/>
      <c r="T7024" s="141"/>
      <c r="U7024" s="28"/>
    </row>
    <row r="7025" ht="15.75" customHeight="1">
      <c r="P7025" s="25"/>
      <c r="Q7025" s="25"/>
      <c r="R7025" s="25"/>
      <c r="S7025" s="25"/>
      <c r="T7025" s="141"/>
      <c r="U7025" s="28"/>
    </row>
    <row r="7026" ht="15.75" customHeight="1">
      <c r="P7026" s="25"/>
      <c r="Q7026" s="25"/>
      <c r="R7026" s="25"/>
      <c r="S7026" s="25"/>
      <c r="T7026" s="141"/>
      <c r="U7026" s="28"/>
    </row>
    <row r="7027" ht="15.75" customHeight="1">
      <c r="P7027" s="25"/>
      <c r="Q7027" s="25"/>
      <c r="R7027" s="25"/>
      <c r="S7027" s="25"/>
      <c r="T7027" s="141"/>
      <c r="U7027" s="28"/>
    </row>
    <row r="7028" ht="15.75" customHeight="1">
      <c r="P7028" s="25"/>
      <c r="Q7028" s="25"/>
      <c r="R7028" s="25"/>
      <c r="S7028" s="25"/>
      <c r="T7028" s="141"/>
      <c r="U7028" s="28"/>
    </row>
    <row r="7029" ht="15.75" customHeight="1">
      <c r="P7029" s="25"/>
      <c r="Q7029" s="25"/>
      <c r="R7029" s="25"/>
      <c r="S7029" s="25"/>
      <c r="T7029" s="141"/>
      <c r="U7029" s="28"/>
    </row>
    <row r="7030" ht="15.75" customHeight="1">
      <c r="P7030" s="25"/>
      <c r="Q7030" s="25"/>
      <c r="R7030" s="25"/>
      <c r="S7030" s="25"/>
      <c r="T7030" s="141"/>
      <c r="U7030" s="28"/>
    </row>
    <row r="7031" ht="15.75" customHeight="1">
      <c r="P7031" s="25"/>
      <c r="Q7031" s="25"/>
      <c r="R7031" s="25"/>
      <c r="S7031" s="25"/>
      <c r="T7031" s="141"/>
      <c r="U7031" s="28"/>
    </row>
    <row r="7032" ht="15.75" customHeight="1">
      <c r="P7032" s="25"/>
      <c r="Q7032" s="25"/>
      <c r="R7032" s="25"/>
      <c r="S7032" s="25"/>
      <c r="T7032" s="141"/>
      <c r="U7032" s="28"/>
    </row>
    <row r="7033" ht="15.75" customHeight="1">
      <c r="P7033" s="25"/>
      <c r="Q7033" s="25"/>
      <c r="R7033" s="25"/>
      <c r="S7033" s="25"/>
      <c r="T7033" s="141"/>
      <c r="U7033" s="28"/>
    </row>
    <row r="7034" ht="15.75" customHeight="1">
      <c r="P7034" s="25"/>
      <c r="Q7034" s="25"/>
      <c r="R7034" s="25"/>
      <c r="S7034" s="25"/>
      <c r="T7034" s="141"/>
      <c r="U7034" s="28"/>
    </row>
    <row r="7035" ht="15.75" customHeight="1">
      <c r="P7035" s="25"/>
      <c r="Q7035" s="25"/>
      <c r="R7035" s="25"/>
      <c r="S7035" s="25"/>
      <c r="T7035" s="141"/>
      <c r="U7035" s="28"/>
    </row>
    <row r="7036" ht="15.75" customHeight="1">
      <c r="P7036" s="25"/>
      <c r="Q7036" s="25"/>
      <c r="R7036" s="25"/>
      <c r="S7036" s="25"/>
      <c r="T7036" s="141"/>
      <c r="U7036" s="28"/>
    </row>
    <row r="7037" ht="15.75" customHeight="1">
      <c r="P7037" s="25"/>
      <c r="Q7037" s="25"/>
      <c r="R7037" s="25"/>
      <c r="S7037" s="25"/>
      <c r="T7037" s="141"/>
      <c r="U7037" s="28"/>
    </row>
    <row r="7038" ht="15.75" customHeight="1">
      <c r="P7038" s="25"/>
      <c r="Q7038" s="25"/>
      <c r="R7038" s="25"/>
      <c r="S7038" s="25"/>
      <c r="T7038" s="141"/>
      <c r="U7038" s="28"/>
    </row>
    <row r="7039" ht="15.75" customHeight="1">
      <c r="P7039" s="25"/>
      <c r="Q7039" s="25"/>
      <c r="R7039" s="25"/>
      <c r="S7039" s="25"/>
      <c r="T7039" s="141"/>
      <c r="U7039" s="28"/>
    </row>
    <row r="7040" ht="15.75" customHeight="1">
      <c r="P7040" s="25"/>
      <c r="Q7040" s="25"/>
      <c r="R7040" s="25"/>
      <c r="S7040" s="25"/>
      <c r="T7040" s="141"/>
      <c r="U7040" s="28"/>
    </row>
    <row r="7041" ht="15.75" customHeight="1">
      <c r="P7041" s="25"/>
      <c r="Q7041" s="25"/>
      <c r="R7041" s="25"/>
      <c r="S7041" s="25"/>
      <c r="T7041" s="141"/>
      <c r="U7041" s="28"/>
    </row>
    <row r="7042" ht="15.75" customHeight="1">
      <c r="P7042" s="25"/>
      <c r="Q7042" s="25"/>
      <c r="R7042" s="25"/>
      <c r="S7042" s="25"/>
      <c r="T7042" s="141"/>
      <c r="U7042" s="28"/>
    </row>
    <row r="7043" ht="15.75" customHeight="1">
      <c r="P7043" s="25"/>
      <c r="Q7043" s="25"/>
      <c r="R7043" s="25"/>
      <c r="S7043" s="25"/>
      <c r="T7043" s="141"/>
      <c r="U7043" s="28"/>
    </row>
    <row r="7044" ht="15.75" customHeight="1">
      <c r="P7044" s="25"/>
      <c r="Q7044" s="25"/>
      <c r="R7044" s="25"/>
      <c r="S7044" s="25"/>
      <c r="T7044" s="141"/>
      <c r="U7044" s="28"/>
    </row>
    <row r="7045" ht="15.75" customHeight="1">
      <c r="P7045" s="25"/>
      <c r="Q7045" s="25"/>
      <c r="R7045" s="25"/>
      <c r="S7045" s="25"/>
      <c r="T7045" s="141"/>
      <c r="U7045" s="28"/>
    </row>
    <row r="7046" ht="15.75" customHeight="1">
      <c r="P7046" s="25"/>
      <c r="Q7046" s="25"/>
      <c r="R7046" s="25"/>
      <c r="S7046" s="25"/>
      <c r="T7046" s="141"/>
      <c r="U7046" s="28"/>
    </row>
    <row r="7047" ht="15.75" customHeight="1">
      <c r="P7047" s="25"/>
      <c r="Q7047" s="25"/>
      <c r="R7047" s="25"/>
      <c r="S7047" s="25"/>
      <c r="T7047" s="141"/>
      <c r="U7047" s="28"/>
    </row>
    <row r="7048" ht="15.75" customHeight="1">
      <c r="P7048" s="25"/>
      <c r="Q7048" s="25"/>
      <c r="R7048" s="25"/>
      <c r="S7048" s="25"/>
      <c r="T7048" s="141"/>
      <c r="U7048" s="28"/>
    </row>
    <row r="7049" ht="15.75" customHeight="1">
      <c r="P7049" s="25"/>
      <c r="Q7049" s="25"/>
      <c r="R7049" s="25"/>
      <c r="S7049" s="25"/>
      <c r="T7049" s="141"/>
      <c r="U7049" s="28"/>
    </row>
    <row r="7050" ht="15.75" customHeight="1">
      <c r="P7050" s="25"/>
      <c r="Q7050" s="25"/>
      <c r="R7050" s="25"/>
      <c r="S7050" s="25"/>
      <c r="T7050" s="141"/>
      <c r="U7050" s="28"/>
    </row>
    <row r="7051" ht="15.75" customHeight="1">
      <c r="P7051" s="25"/>
      <c r="Q7051" s="25"/>
      <c r="R7051" s="25"/>
      <c r="S7051" s="25"/>
      <c r="T7051" s="141"/>
      <c r="U7051" s="28"/>
    </row>
    <row r="7052" ht="15.75" customHeight="1">
      <c r="P7052" s="25"/>
      <c r="Q7052" s="25"/>
      <c r="R7052" s="25"/>
      <c r="S7052" s="25"/>
      <c r="T7052" s="141"/>
      <c r="U7052" s="28"/>
    </row>
    <row r="7053" ht="15.75" customHeight="1">
      <c r="P7053" s="25"/>
      <c r="Q7053" s="25"/>
      <c r="R7053" s="25"/>
      <c r="S7053" s="25"/>
      <c r="T7053" s="141"/>
      <c r="U7053" s="28"/>
    </row>
    <row r="7054" ht="15.75" customHeight="1">
      <c r="P7054" s="25"/>
      <c r="Q7054" s="25"/>
      <c r="R7054" s="25"/>
      <c r="S7054" s="25"/>
      <c r="T7054" s="141"/>
      <c r="U7054" s="28"/>
    </row>
    <row r="7055" ht="15.75" customHeight="1">
      <c r="P7055" s="25"/>
      <c r="Q7055" s="25"/>
      <c r="R7055" s="25"/>
      <c r="S7055" s="25"/>
      <c r="T7055" s="141"/>
      <c r="U7055" s="28"/>
    </row>
    <row r="7056" ht="15.75" customHeight="1">
      <c r="P7056" s="25"/>
      <c r="Q7056" s="25"/>
      <c r="R7056" s="25"/>
      <c r="S7056" s="25"/>
      <c r="T7056" s="141"/>
      <c r="U7056" s="28"/>
    </row>
    <row r="7057" ht="15.75" customHeight="1">
      <c r="P7057" s="25"/>
      <c r="Q7057" s="25"/>
      <c r="R7057" s="25"/>
      <c r="S7057" s="25"/>
      <c r="T7057" s="141"/>
      <c r="U7057" s="28"/>
    </row>
    <row r="7058" ht="15.75" customHeight="1">
      <c r="P7058" s="25"/>
      <c r="Q7058" s="25"/>
      <c r="R7058" s="25"/>
      <c r="S7058" s="25"/>
      <c r="T7058" s="141"/>
      <c r="U7058" s="28"/>
    </row>
    <row r="7059" ht="15.75" customHeight="1">
      <c r="P7059" s="25"/>
      <c r="Q7059" s="25"/>
      <c r="R7059" s="25"/>
      <c r="S7059" s="25"/>
      <c r="T7059" s="141"/>
      <c r="U7059" s="28"/>
    </row>
    <row r="7060" ht="15.75" customHeight="1">
      <c r="P7060" s="25"/>
      <c r="Q7060" s="25"/>
      <c r="R7060" s="25"/>
      <c r="S7060" s="25"/>
      <c r="T7060" s="141"/>
      <c r="U7060" s="28"/>
    </row>
    <row r="7061" ht="15.75" customHeight="1">
      <c r="P7061" s="25"/>
      <c r="Q7061" s="25"/>
      <c r="R7061" s="25"/>
      <c r="S7061" s="25"/>
      <c r="T7061" s="141"/>
      <c r="U7061" s="28"/>
    </row>
    <row r="7062" ht="15.75" customHeight="1">
      <c r="P7062" s="25"/>
      <c r="Q7062" s="25"/>
      <c r="R7062" s="25"/>
      <c r="S7062" s="25"/>
      <c r="T7062" s="141"/>
      <c r="U7062" s="28"/>
    </row>
    <row r="7063" ht="15.75" customHeight="1">
      <c r="P7063" s="25"/>
      <c r="Q7063" s="25"/>
      <c r="R7063" s="25"/>
      <c r="S7063" s="25"/>
      <c r="T7063" s="141"/>
      <c r="U7063" s="28"/>
    </row>
    <row r="7064" ht="15.75" customHeight="1">
      <c r="P7064" s="25"/>
      <c r="Q7064" s="25"/>
      <c r="R7064" s="25"/>
      <c r="S7064" s="25"/>
      <c r="T7064" s="141"/>
      <c r="U7064" s="28"/>
    </row>
    <row r="7065" ht="15.75" customHeight="1">
      <c r="P7065" s="25"/>
      <c r="Q7065" s="25"/>
      <c r="R7065" s="25"/>
      <c r="S7065" s="25"/>
      <c r="T7065" s="141"/>
      <c r="U7065" s="28"/>
    </row>
    <row r="7066" ht="15.75" customHeight="1">
      <c r="P7066" s="25"/>
      <c r="Q7066" s="25"/>
      <c r="R7066" s="25"/>
      <c r="S7066" s="25"/>
      <c r="T7066" s="141"/>
      <c r="U7066" s="28"/>
    </row>
    <row r="7067" ht="15.75" customHeight="1">
      <c r="P7067" s="25"/>
      <c r="Q7067" s="25"/>
      <c r="R7067" s="25"/>
      <c r="S7067" s="25"/>
      <c r="T7067" s="141"/>
      <c r="U7067" s="28"/>
    </row>
    <row r="7068" ht="15.75" customHeight="1">
      <c r="P7068" s="25"/>
      <c r="Q7068" s="25"/>
      <c r="R7068" s="25"/>
      <c r="S7068" s="25"/>
      <c r="T7068" s="141"/>
      <c r="U7068" s="28"/>
    </row>
    <row r="7069" ht="15.75" customHeight="1">
      <c r="P7069" s="25"/>
      <c r="Q7069" s="25"/>
      <c r="R7069" s="25"/>
      <c r="S7069" s="25"/>
      <c r="T7069" s="141"/>
      <c r="U7069" s="28"/>
    </row>
    <row r="7070" ht="15.75" customHeight="1">
      <c r="P7070" s="25"/>
      <c r="Q7070" s="25"/>
      <c r="R7070" s="25"/>
      <c r="S7070" s="25"/>
      <c r="T7070" s="141"/>
      <c r="U7070" s="28"/>
    </row>
    <row r="7071" ht="15.75" customHeight="1">
      <c r="P7071" s="25"/>
      <c r="Q7071" s="25"/>
      <c r="R7071" s="25"/>
      <c r="S7071" s="25"/>
      <c r="T7071" s="141"/>
      <c r="U7071" s="28"/>
    </row>
    <row r="7072" ht="15.75" customHeight="1">
      <c r="P7072" s="25"/>
      <c r="Q7072" s="25"/>
      <c r="R7072" s="25"/>
      <c r="S7072" s="25"/>
      <c r="T7072" s="141"/>
      <c r="U7072" s="28"/>
    </row>
    <row r="7073" ht="15.75" customHeight="1">
      <c r="P7073" s="25"/>
      <c r="Q7073" s="25"/>
      <c r="R7073" s="25"/>
      <c r="S7073" s="25"/>
      <c r="T7073" s="141"/>
      <c r="U7073" s="28"/>
    </row>
    <row r="7074" ht="15.75" customHeight="1">
      <c r="P7074" s="25"/>
      <c r="Q7074" s="25"/>
      <c r="R7074" s="25"/>
      <c r="S7074" s="25"/>
      <c r="T7074" s="141"/>
      <c r="U7074" s="28"/>
    </row>
    <row r="7075" ht="15.75" customHeight="1">
      <c r="P7075" s="25"/>
      <c r="Q7075" s="25"/>
      <c r="R7075" s="25"/>
      <c r="S7075" s="25"/>
      <c r="T7075" s="141"/>
      <c r="U7075" s="28"/>
    </row>
    <row r="7076" ht="15.75" customHeight="1">
      <c r="P7076" s="25"/>
      <c r="Q7076" s="25"/>
      <c r="R7076" s="25"/>
      <c r="S7076" s="25"/>
      <c r="T7076" s="141"/>
      <c r="U7076" s="28"/>
    </row>
    <row r="7077" ht="15.75" customHeight="1">
      <c r="P7077" s="25"/>
      <c r="Q7077" s="25"/>
      <c r="R7077" s="25"/>
      <c r="S7077" s="25"/>
      <c r="T7077" s="141"/>
      <c r="U7077" s="28"/>
    </row>
    <row r="7078" ht="15.75" customHeight="1">
      <c r="P7078" s="25"/>
      <c r="Q7078" s="25"/>
      <c r="R7078" s="25"/>
      <c r="S7078" s="25"/>
      <c r="T7078" s="141"/>
      <c r="U7078" s="28"/>
    </row>
    <row r="7079" ht="15.75" customHeight="1">
      <c r="P7079" s="25"/>
      <c r="Q7079" s="25"/>
      <c r="R7079" s="25"/>
      <c r="S7079" s="25"/>
      <c r="T7079" s="141"/>
      <c r="U7079" s="28"/>
    </row>
    <row r="7080" ht="15.75" customHeight="1">
      <c r="P7080" s="25"/>
      <c r="Q7080" s="25"/>
      <c r="R7080" s="25"/>
      <c r="S7080" s="25"/>
      <c r="T7080" s="141"/>
      <c r="U7080" s="28"/>
    </row>
    <row r="7081" ht="15.75" customHeight="1">
      <c r="P7081" s="25"/>
      <c r="Q7081" s="25"/>
      <c r="R7081" s="25"/>
      <c r="S7081" s="25"/>
      <c r="T7081" s="141"/>
      <c r="U7081" s="28"/>
    </row>
    <row r="7082" ht="15.75" customHeight="1">
      <c r="P7082" s="25"/>
      <c r="Q7082" s="25"/>
      <c r="R7082" s="25"/>
      <c r="S7082" s="25"/>
      <c r="T7082" s="141"/>
      <c r="U7082" s="28"/>
    </row>
    <row r="7083" ht="15.75" customHeight="1">
      <c r="P7083" s="25"/>
      <c r="Q7083" s="25"/>
      <c r="R7083" s="25"/>
      <c r="S7083" s="25"/>
      <c r="T7083" s="141"/>
      <c r="U7083" s="28"/>
    </row>
    <row r="7084" ht="15.75" customHeight="1">
      <c r="P7084" s="25"/>
      <c r="Q7084" s="25"/>
      <c r="R7084" s="25"/>
      <c r="S7084" s="25"/>
      <c r="T7084" s="141"/>
      <c r="U7084" s="28"/>
    </row>
    <row r="7085" ht="15.75" customHeight="1">
      <c r="P7085" s="25"/>
      <c r="Q7085" s="25"/>
      <c r="R7085" s="25"/>
      <c r="S7085" s="25"/>
      <c r="T7085" s="141"/>
      <c r="U7085" s="28"/>
    </row>
    <row r="7086" ht="15.75" customHeight="1">
      <c r="P7086" s="25"/>
      <c r="Q7086" s="25"/>
      <c r="R7086" s="25"/>
      <c r="S7086" s="25"/>
      <c r="T7086" s="141"/>
      <c r="U7086" s="28"/>
    </row>
    <row r="7087" ht="15.75" customHeight="1">
      <c r="P7087" s="25"/>
      <c r="Q7087" s="25"/>
      <c r="R7087" s="25"/>
      <c r="S7087" s="25"/>
      <c r="T7087" s="141"/>
      <c r="U7087" s="28"/>
    </row>
    <row r="7088" ht="15.75" customHeight="1">
      <c r="P7088" s="25"/>
      <c r="Q7088" s="25"/>
      <c r="R7088" s="25"/>
      <c r="S7088" s="25"/>
      <c r="T7088" s="141"/>
      <c r="U7088" s="28"/>
    </row>
    <row r="7089" ht="15.75" customHeight="1">
      <c r="P7089" s="25"/>
      <c r="Q7089" s="25"/>
      <c r="R7089" s="25"/>
      <c r="S7089" s="25"/>
      <c r="T7089" s="141"/>
      <c r="U7089" s="28"/>
    </row>
    <row r="7090" ht="15.75" customHeight="1">
      <c r="P7090" s="25"/>
      <c r="Q7090" s="25"/>
      <c r="R7090" s="25"/>
      <c r="S7090" s="25"/>
      <c r="T7090" s="141"/>
      <c r="U7090" s="28"/>
    </row>
    <row r="7091" ht="15.75" customHeight="1">
      <c r="P7091" s="25"/>
      <c r="Q7091" s="25"/>
      <c r="R7091" s="25"/>
      <c r="S7091" s="25"/>
      <c r="T7091" s="141"/>
      <c r="U7091" s="28"/>
    </row>
    <row r="7092" ht="15.75" customHeight="1">
      <c r="P7092" s="25"/>
      <c r="Q7092" s="25"/>
      <c r="R7092" s="25"/>
      <c r="S7092" s="25"/>
      <c r="T7092" s="141"/>
      <c r="U7092" s="28"/>
    </row>
    <row r="7093" ht="15.75" customHeight="1">
      <c r="P7093" s="25"/>
      <c r="Q7093" s="25"/>
      <c r="R7093" s="25"/>
      <c r="S7093" s="25"/>
      <c r="T7093" s="141"/>
      <c r="U7093" s="28"/>
    </row>
    <row r="7094" ht="15.75" customHeight="1">
      <c r="P7094" s="25"/>
      <c r="Q7094" s="25"/>
      <c r="R7094" s="25"/>
      <c r="S7094" s="25"/>
      <c r="T7094" s="141"/>
      <c r="U7094" s="28"/>
    </row>
    <row r="7095" ht="15.75" customHeight="1">
      <c r="P7095" s="25"/>
      <c r="Q7095" s="25"/>
      <c r="R7095" s="25"/>
      <c r="S7095" s="25"/>
      <c r="T7095" s="141"/>
      <c r="U7095" s="28"/>
    </row>
    <row r="7096" ht="15.75" customHeight="1">
      <c r="P7096" s="25"/>
      <c r="Q7096" s="25"/>
      <c r="R7096" s="25"/>
      <c r="S7096" s="25"/>
      <c r="T7096" s="141"/>
      <c r="U7096" s="28"/>
    </row>
    <row r="7097" ht="15.75" customHeight="1">
      <c r="P7097" s="25"/>
      <c r="Q7097" s="25"/>
      <c r="R7097" s="25"/>
      <c r="S7097" s="25"/>
      <c r="T7097" s="141"/>
      <c r="U7097" s="28"/>
    </row>
    <row r="7098" ht="15.75" customHeight="1">
      <c r="P7098" s="25"/>
      <c r="Q7098" s="25"/>
      <c r="R7098" s="25"/>
      <c r="S7098" s="25"/>
      <c r="T7098" s="141"/>
      <c r="U7098" s="28"/>
    </row>
    <row r="7099" ht="15.75" customHeight="1">
      <c r="P7099" s="25"/>
      <c r="Q7099" s="25"/>
      <c r="R7099" s="25"/>
      <c r="S7099" s="25"/>
      <c r="T7099" s="141"/>
      <c r="U7099" s="28"/>
    </row>
    <row r="7100" ht="15.75" customHeight="1">
      <c r="P7100" s="25"/>
      <c r="Q7100" s="25"/>
      <c r="R7100" s="25"/>
      <c r="S7100" s="25"/>
      <c r="T7100" s="141"/>
      <c r="U7100" s="28"/>
    </row>
    <row r="7101" ht="15.75" customHeight="1">
      <c r="P7101" s="25"/>
      <c r="Q7101" s="25"/>
      <c r="R7101" s="25"/>
      <c r="S7101" s="25"/>
      <c r="T7101" s="141"/>
      <c r="U7101" s="28"/>
    </row>
    <row r="7102" ht="15.75" customHeight="1">
      <c r="P7102" s="25"/>
      <c r="Q7102" s="25"/>
      <c r="R7102" s="25"/>
      <c r="S7102" s="25"/>
      <c r="T7102" s="141"/>
      <c r="U7102" s="28"/>
    </row>
    <row r="7103" ht="15.75" customHeight="1">
      <c r="P7103" s="25"/>
      <c r="Q7103" s="25"/>
      <c r="R7103" s="25"/>
      <c r="S7103" s="25"/>
      <c r="T7103" s="141"/>
      <c r="U7103" s="28"/>
    </row>
    <row r="7104" ht="15.75" customHeight="1">
      <c r="P7104" s="25"/>
      <c r="Q7104" s="25"/>
      <c r="R7104" s="25"/>
      <c r="S7104" s="25"/>
      <c r="T7104" s="141"/>
      <c r="U7104" s="28"/>
    </row>
    <row r="7105" ht="15.75" customHeight="1">
      <c r="P7105" s="25"/>
      <c r="Q7105" s="25"/>
      <c r="R7105" s="25"/>
      <c r="S7105" s="25"/>
      <c r="T7105" s="141"/>
      <c r="U7105" s="28"/>
    </row>
    <row r="7106" ht="15.75" customHeight="1">
      <c r="P7106" s="25"/>
      <c r="Q7106" s="25"/>
      <c r="R7106" s="25"/>
      <c r="S7106" s="25"/>
      <c r="T7106" s="141"/>
      <c r="U7106" s="28"/>
    </row>
    <row r="7107" ht="15.75" customHeight="1">
      <c r="P7107" s="25"/>
      <c r="Q7107" s="25"/>
      <c r="R7107" s="25"/>
      <c r="S7107" s="25"/>
      <c r="T7107" s="141"/>
      <c r="U7107" s="28"/>
    </row>
    <row r="7108" ht="15.75" customHeight="1">
      <c r="P7108" s="25"/>
      <c r="Q7108" s="25"/>
      <c r="R7108" s="25"/>
      <c r="S7108" s="25"/>
      <c r="T7108" s="141"/>
      <c r="U7108" s="28"/>
    </row>
    <row r="7109" ht="15.75" customHeight="1">
      <c r="P7109" s="25"/>
      <c r="Q7109" s="25"/>
      <c r="R7109" s="25"/>
      <c r="S7109" s="25"/>
      <c r="T7109" s="141"/>
      <c r="U7109" s="28"/>
    </row>
    <row r="7110" ht="15.75" customHeight="1">
      <c r="P7110" s="25"/>
      <c r="Q7110" s="25"/>
      <c r="R7110" s="25"/>
      <c r="S7110" s="25"/>
      <c r="T7110" s="141"/>
      <c r="U7110" s="28"/>
    </row>
    <row r="7111" ht="15.75" customHeight="1">
      <c r="P7111" s="25"/>
      <c r="Q7111" s="25"/>
      <c r="R7111" s="25"/>
      <c r="S7111" s="25"/>
      <c r="T7111" s="141"/>
      <c r="U7111" s="28"/>
    </row>
    <row r="7112" ht="15.75" customHeight="1">
      <c r="P7112" s="25"/>
      <c r="Q7112" s="25"/>
      <c r="R7112" s="25"/>
      <c r="S7112" s="25"/>
      <c r="T7112" s="141"/>
      <c r="U7112" s="28"/>
    </row>
    <row r="7113" ht="15.75" customHeight="1">
      <c r="P7113" s="25"/>
      <c r="Q7113" s="25"/>
      <c r="R7113" s="25"/>
      <c r="S7113" s="25"/>
      <c r="T7113" s="141"/>
      <c r="U7113" s="28"/>
    </row>
    <row r="7114" ht="15.75" customHeight="1">
      <c r="P7114" s="25"/>
      <c r="Q7114" s="25"/>
      <c r="R7114" s="25"/>
      <c r="S7114" s="25"/>
      <c r="T7114" s="141"/>
      <c r="U7114" s="28"/>
    </row>
    <row r="7115" ht="15.75" customHeight="1">
      <c r="P7115" s="25"/>
      <c r="Q7115" s="25"/>
      <c r="R7115" s="25"/>
      <c r="S7115" s="25"/>
      <c r="T7115" s="141"/>
      <c r="U7115" s="28"/>
    </row>
    <row r="7116" ht="15.75" customHeight="1">
      <c r="P7116" s="25"/>
      <c r="Q7116" s="25"/>
      <c r="R7116" s="25"/>
      <c r="S7116" s="25"/>
      <c r="T7116" s="141"/>
      <c r="U7116" s="28"/>
    </row>
    <row r="7117" ht="15.75" customHeight="1">
      <c r="P7117" s="25"/>
      <c r="Q7117" s="25"/>
      <c r="R7117" s="25"/>
      <c r="S7117" s="25"/>
      <c r="T7117" s="141"/>
      <c r="U7117" s="28"/>
    </row>
    <row r="7118" ht="15.75" customHeight="1">
      <c r="P7118" s="25"/>
      <c r="Q7118" s="25"/>
      <c r="R7118" s="25"/>
      <c r="S7118" s="25"/>
      <c r="T7118" s="141"/>
      <c r="U7118" s="28"/>
    </row>
    <row r="7119" ht="15.75" customHeight="1">
      <c r="P7119" s="25"/>
      <c r="Q7119" s="25"/>
      <c r="R7119" s="25"/>
      <c r="S7119" s="25"/>
      <c r="T7119" s="141"/>
      <c r="U7119" s="28"/>
    </row>
    <row r="7120" ht="15.75" customHeight="1">
      <c r="P7120" s="25"/>
      <c r="Q7120" s="25"/>
      <c r="R7120" s="25"/>
      <c r="S7120" s="25"/>
      <c r="T7120" s="141"/>
      <c r="U7120" s="28"/>
    </row>
    <row r="7121" ht="15.75" customHeight="1">
      <c r="P7121" s="25"/>
      <c r="Q7121" s="25"/>
      <c r="R7121" s="25"/>
      <c r="S7121" s="25"/>
      <c r="T7121" s="141"/>
      <c r="U7121" s="28"/>
    </row>
    <row r="7122" ht="15.75" customHeight="1">
      <c r="P7122" s="25"/>
      <c r="Q7122" s="25"/>
      <c r="R7122" s="25"/>
      <c r="S7122" s="25"/>
      <c r="T7122" s="141"/>
      <c r="U7122" s="28"/>
    </row>
    <row r="7123" ht="15.75" customHeight="1">
      <c r="P7123" s="25"/>
      <c r="Q7123" s="25"/>
      <c r="R7123" s="25"/>
      <c r="S7123" s="25"/>
      <c r="T7123" s="141"/>
      <c r="U7123" s="28"/>
    </row>
    <row r="7124" ht="15.75" customHeight="1">
      <c r="P7124" s="25"/>
      <c r="Q7124" s="25"/>
      <c r="R7124" s="25"/>
      <c r="S7124" s="25"/>
      <c r="T7124" s="141"/>
      <c r="U7124" s="28"/>
    </row>
    <row r="7125" ht="15.75" customHeight="1">
      <c r="P7125" s="25"/>
      <c r="Q7125" s="25"/>
      <c r="R7125" s="25"/>
      <c r="S7125" s="25"/>
      <c r="T7125" s="141"/>
      <c r="U7125" s="28"/>
    </row>
    <row r="7126" ht="15.75" customHeight="1">
      <c r="P7126" s="25"/>
      <c r="Q7126" s="25"/>
      <c r="R7126" s="25"/>
      <c r="S7126" s="25"/>
      <c r="T7126" s="141"/>
      <c r="U7126" s="28"/>
    </row>
    <row r="7127" ht="15.75" customHeight="1">
      <c r="P7127" s="25"/>
      <c r="Q7127" s="25"/>
      <c r="R7127" s="25"/>
      <c r="S7127" s="25"/>
      <c r="T7127" s="141"/>
      <c r="U7127" s="28"/>
    </row>
    <row r="7128" ht="15.75" customHeight="1">
      <c r="P7128" s="25"/>
      <c r="Q7128" s="25"/>
      <c r="R7128" s="25"/>
      <c r="S7128" s="25"/>
      <c r="T7128" s="141"/>
      <c r="U7128" s="28"/>
    </row>
    <row r="7129" ht="15.75" customHeight="1">
      <c r="P7129" s="25"/>
      <c r="Q7129" s="25"/>
      <c r="R7129" s="25"/>
      <c r="S7129" s="25"/>
      <c r="T7129" s="141"/>
      <c r="U7129" s="28"/>
    </row>
    <row r="7130" ht="15.75" customHeight="1">
      <c r="P7130" s="25"/>
      <c r="Q7130" s="25"/>
      <c r="R7130" s="25"/>
      <c r="S7130" s="25"/>
      <c r="T7130" s="141"/>
      <c r="U7130" s="28"/>
    </row>
    <row r="7131" ht="15.75" customHeight="1">
      <c r="P7131" s="25"/>
      <c r="Q7131" s="25"/>
      <c r="R7131" s="25"/>
      <c r="S7131" s="25"/>
      <c r="T7131" s="141"/>
      <c r="U7131" s="28"/>
    </row>
    <row r="7132" ht="15.75" customHeight="1">
      <c r="P7132" s="25"/>
      <c r="Q7132" s="25"/>
      <c r="R7132" s="25"/>
      <c r="S7132" s="25"/>
      <c r="T7132" s="141"/>
      <c r="U7132" s="28"/>
    </row>
    <row r="7133" ht="15.75" customHeight="1">
      <c r="P7133" s="25"/>
      <c r="Q7133" s="25"/>
      <c r="R7133" s="25"/>
      <c r="S7133" s="25"/>
      <c r="T7133" s="141"/>
      <c r="U7133" s="28"/>
    </row>
    <row r="7134" ht="15.75" customHeight="1">
      <c r="P7134" s="25"/>
      <c r="Q7134" s="25"/>
      <c r="R7134" s="25"/>
      <c r="S7134" s="25"/>
      <c r="T7134" s="141"/>
      <c r="U7134" s="28"/>
    </row>
    <row r="7135" ht="15.75" customHeight="1">
      <c r="P7135" s="25"/>
      <c r="Q7135" s="25"/>
      <c r="R7135" s="25"/>
      <c r="S7135" s="25"/>
      <c r="T7135" s="141"/>
      <c r="U7135" s="28"/>
    </row>
    <row r="7136" ht="15.75" customHeight="1">
      <c r="P7136" s="25"/>
      <c r="Q7136" s="25"/>
      <c r="R7136" s="25"/>
      <c r="S7136" s="25"/>
      <c r="T7136" s="141"/>
      <c r="U7136" s="28"/>
    </row>
    <row r="7137" ht="15.75" customHeight="1">
      <c r="P7137" s="25"/>
      <c r="Q7137" s="25"/>
      <c r="R7137" s="25"/>
      <c r="S7137" s="25"/>
      <c r="T7137" s="141"/>
      <c r="U7137" s="28"/>
    </row>
    <row r="7138" ht="15.75" customHeight="1">
      <c r="P7138" s="25"/>
      <c r="Q7138" s="25"/>
      <c r="R7138" s="25"/>
      <c r="S7138" s="25"/>
      <c r="T7138" s="141"/>
      <c r="U7138" s="28"/>
    </row>
    <row r="7139" ht="15.75" customHeight="1">
      <c r="P7139" s="25"/>
      <c r="Q7139" s="25"/>
      <c r="R7139" s="25"/>
      <c r="S7139" s="25"/>
      <c r="T7139" s="141"/>
      <c r="U7139" s="28"/>
    </row>
    <row r="7140" ht="15.75" customHeight="1">
      <c r="P7140" s="25"/>
      <c r="Q7140" s="25"/>
      <c r="R7140" s="25"/>
      <c r="S7140" s="25"/>
      <c r="T7140" s="141"/>
      <c r="U7140" s="28"/>
    </row>
    <row r="7141" ht="15.75" customHeight="1">
      <c r="P7141" s="25"/>
      <c r="Q7141" s="25"/>
      <c r="R7141" s="25"/>
      <c r="S7141" s="25"/>
      <c r="T7141" s="141"/>
      <c r="U7141" s="28"/>
    </row>
    <row r="7142" ht="15.75" customHeight="1">
      <c r="P7142" s="25"/>
      <c r="Q7142" s="25"/>
      <c r="R7142" s="25"/>
      <c r="S7142" s="25"/>
      <c r="T7142" s="141"/>
      <c r="U7142" s="28"/>
    </row>
    <row r="7143" ht="15.75" customHeight="1">
      <c r="P7143" s="25"/>
      <c r="Q7143" s="25"/>
      <c r="R7143" s="25"/>
      <c r="S7143" s="25"/>
      <c r="T7143" s="141"/>
      <c r="U7143" s="28"/>
    </row>
    <row r="7144" ht="15.75" customHeight="1">
      <c r="P7144" s="25"/>
      <c r="Q7144" s="25"/>
      <c r="R7144" s="25"/>
      <c r="S7144" s="25"/>
      <c r="T7144" s="141"/>
      <c r="U7144" s="28"/>
    </row>
    <row r="7145" ht="15.75" customHeight="1">
      <c r="P7145" s="25"/>
      <c r="Q7145" s="25"/>
      <c r="R7145" s="25"/>
      <c r="S7145" s="25"/>
      <c r="T7145" s="141"/>
      <c r="U7145" s="28"/>
    </row>
    <row r="7146" ht="15.75" customHeight="1">
      <c r="P7146" s="25"/>
      <c r="Q7146" s="25"/>
      <c r="R7146" s="25"/>
      <c r="S7146" s="25"/>
      <c r="T7146" s="141"/>
      <c r="U7146" s="28"/>
    </row>
    <row r="7147" ht="15.75" customHeight="1">
      <c r="P7147" s="25"/>
      <c r="Q7147" s="25"/>
      <c r="R7147" s="25"/>
      <c r="S7147" s="25"/>
      <c r="T7147" s="141"/>
      <c r="U7147" s="28"/>
    </row>
    <row r="7148" ht="15.75" customHeight="1">
      <c r="P7148" s="25"/>
      <c r="Q7148" s="25"/>
      <c r="R7148" s="25"/>
      <c r="S7148" s="25"/>
      <c r="T7148" s="141"/>
      <c r="U7148" s="28"/>
    </row>
    <row r="7149" ht="15.75" customHeight="1">
      <c r="P7149" s="25"/>
      <c r="Q7149" s="25"/>
      <c r="R7149" s="25"/>
      <c r="S7149" s="25"/>
      <c r="T7149" s="141"/>
      <c r="U7149" s="28"/>
    </row>
    <row r="7150" ht="15.75" customHeight="1">
      <c r="P7150" s="25"/>
      <c r="Q7150" s="25"/>
      <c r="R7150" s="25"/>
      <c r="S7150" s="25"/>
      <c r="T7150" s="141"/>
      <c r="U7150" s="28"/>
    </row>
    <row r="7151" ht="15.75" customHeight="1">
      <c r="P7151" s="25"/>
      <c r="Q7151" s="25"/>
      <c r="R7151" s="25"/>
      <c r="S7151" s="25"/>
      <c r="T7151" s="141"/>
      <c r="U7151" s="28"/>
    </row>
    <row r="7152" ht="15.75" customHeight="1">
      <c r="P7152" s="25"/>
      <c r="Q7152" s="25"/>
      <c r="R7152" s="25"/>
      <c r="S7152" s="25"/>
      <c r="T7152" s="141"/>
      <c r="U7152" s="28"/>
    </row>
    <row r="7153" ht="15.75" customHeight="1">
      <c r="P7153" s="25"/>
      <c r="Q7153" s="25"/>
      <c r="R7153" s="25"/>
      <c r="S7153" s="25"/>
      <c r="T7153" s="141"/>
      <c r="U7153" s="28"/>
    </row>
    <row r="7154" ht="15.75" customHeight="1">
      <c r="P7154" s="25"/>
      <c r="Q7154" s="25"/>
      <c r="R7154" s="25"/>
      <c r="S7154" s="25"/>
      <c r="T7154" s="141"/>
      <c r="U7154" s="28"/>
    </row>
    <row r="7155" ht="15.75" customHeight="1">
      <c r="P7155" s="25"/>
      <c r="Q7155" s="25"/>
      <c r="R7155" s="25"/>
      <c r="S7155" s="25"/>
      <c r="T7155" s="141"/>
      <c r="U7155" s="28"/>
    </row>
    <row r="7156" ht="15.75" customHeight="1">
      <c r="P7156" s="25"/>
      <c r="Q7156" s="25"/>
      <c r="R7156" s="25"/>
      <c r="S7156" s="25"/>
      <c r="T7156" s="141"/>
      <c r="U7156" s="28"/>
    </row>
    <row r="7157" ht="15.75" customHeight="1">
      <c r="P7157" s="25"/>
      <c r="Q7157" s="25"/>
      <c r="R7157" s="25"/>
      <c r="S7157" s="25"/>
      <c r="T7157" s="141"/>
      <c r="U7157" s="28"/>
    </row>
    <row r="7158" ht="15.75" customHeight="1">
      <c r="P7158" s="25"/>
      <c r="Q7158" s="25"/>
      <c r="R7158" s="25"/>
      <c r="S7158" s="25"/>
      <c r="T7158" s="141"/>
      <c r="U7158" s="28"/>
    </row>
    <row r="7159" ht="15.75" customHeight="1">
      <c r="P7159" s="25"/>
      <c r="Q7159" s="25"/>
      <c r="R7159" s="25"/>
      <c r="S7159" s="25"/>
      <c r="T7159" s="141"/>
      <c r="U7159" s="28"/>
    </row>
    <row r="7160" ht="15.75" customHeight="1">
      <c r="P7160" s="25"/>
      <c r="Q7160" s="25"/>
      <c r="R7160" s="25"/>
      <c r="S7160" s="25"/>
      <c r="T7160" s="141"/>
      <c r="U7160" s="28"/>
    </row>
    <row r="7161" ht="15.75" customHeight="1">
      <c r="P7161" s="25"/>
      <c r="Q7161" s="25"/>
      <c r="R7161" s="25"/>
      <c r="S7161" s="25"/>
      <c r="T7161" s="141"/>
      <c r="U7161" s="28"/>
    </row>
    <row r="7162" ht="15.75" customHeight="1">
      <c r="P7162" s="25"/>
      <c r="Q7162" s="25"/>
      <c r="R7162" s="25"/>
      <c r="S7162" s="25"/>
      <c r="T7162" s="141"/>
      <c r="U7162" s="28"/>
    </row>
    <row r="7163" ht="15.75" customHeight="1">
      <c r="P7163" s="25"/>
      <c r="Q7163" s="25"/>
      <c r="R7163" s="25"/>
      <c r="S7163" s="25"/>
      <c r="T7163" s="141"/>
      <c r="U7163" s="28"/>
    </row>
    <row r="7164" ht="15.75" customHeight="1">
      <c r="P7164" s="25"/>
      <c r="Q7164" s="25"/>
      <c r="R7164" s="25"/>
      <c r="S7164" s="25"/>
      <c r="T7164" s="141"/>
      <c r="U7164" s="28"/>
    </row>
    <row r="7165" ht="15.75" customHeight="1">
      <c r="P7165" s="25"/>
      <c r="Q7165" s="25"/>
      <c r="R7165" s="25"/>
      <c r="S7165" s="25"/>
      <c r="T7165" s="141"/>
      <c r="U7165" s="28"/>
    </row>
    <row r="7166" ht="15.75" customHeight="1">
      <c r="P7166" s="25"/>
      <c r="Q7166" s="25"/>
      <c r="R7166" s="25"/>
      <c r="S7166" s="25"/>
      <c r="T7166" s="141"/>
      <c r="U7166" s="28"/>
    </row>
    <row r="7167" ht="15.75" customHeight="1">
      <c r="P7167" s="25"/>
      <c r="Q7167" s="25"/>
      <c r="R7167" s="25"/>
      <c r="S7167" s="25"/>
      <c r="T7167" s="141"/>
      <c r="U7167" s="28"/>
    </row>
    <row r="7168" ht="15.75" customHeight="1">
      <c r="P7168" s="25"/>
      <c r="Q7168" s="25"/>
      <c r="R7168" s="25"/>
      <c r="S7168" s="25"/>
      <c r="T7168" s="141"/>
      <c r="U7168" s="28"/>
    </row>
    <row r="7169" ht="15.75" customHeight="1">
      <c r="P7169" s="25"/>
      <c r="Q7169" s="25"/>
      <c r="R7169" s="25"/>
      <c r="S7169" s="25"/>
      <c r="T7169" s="141"/>
      <c r="U7169" s="28"/>
    </row>
    <row r="7170" ht="15.75" customHeight="1">
      <c r="P7170" s="25"/>
      <c r="Q7170" s="25"/>
      <c r="R7170" s="25"/>
      <c r="S7170" s="25"/>
      <c r="T7170" s="141"/>
      <c r="U7170" s="28"/>
    </row>
    <row r="7171" ht="15.75" customHeight="1">
      <c r="P7171" s="25"/>
      <c r="Q7171" s="25"/>
      <c r="R7171" s="25"/>
      <c r="S7171" s="25"/>
      <c r="T7171" s="141"/>
      <c r="U7171" s="28"/>
    </row>
    <row r="7172" ht="15.75" customHeight="1">
      <c r="P7172" s="25"/>
      <c r="Q7172" s="25"/>
      <c r="R7172" s="25"/>
      <c r="S7172" s="25"/>
      <c r="T7172" s="141"/>
      <c r="U7172" s="28"/>
    </row>
    <row r="7173" ht="15.75" customHeight="1">
      <c r="P7173" s="25"/>
      <c r="Q7173" s="25"/>
      <c r="R7173" s="25"/>
      <c r="S7173" s="25"/>
      <c r="T7173" s="141"/>
      <c r="U7173" s="28"/>
    </row>
    <row r="7174" ht="15.75" customHeight="1">
      <c r="P7174" s="25"/>
      <c r="Q7174" s="25"/>
      <c r="R7174" s="25"/>
      <c r="S7174" s="25"/>
      <c r="T7174" s="141"/>
      <c r="U7174" s="28"/>
    </row>
    <row r="7175" ht="15.75" customHeight="1">
      <c r="P7175" s="25"/>
      <c r="Q7175" s="25"/>
      <c r="R7175" s="25"/>
      <c r="S7175" s="25"/>
      <c r="T7175" s="141"/>
      <c r="U7175" s="28"/>
    </row>
    <row r="7176" ht="15.75" customHeight="1">
      <c r="P7176" s="25"/>
      <c r="Q7176" s="25"/>
      <c r="R7176" s="25"/>
      <c r="S7176" s="25"/>
      <c r="T7176" s="141"/>
      <c r="U7176" s="28"/>
    </row>
    <row r="7177" ht="15.75" customHeight="1">
      <c r="P7177" s="25"/>
      <c r="Q7177" s="25"/>
      <c r="R7177" s="25"/>
      <c r="S7177" s="25"/>
      <c r="T7177" s="141"/>
      <c r="U7177" s="28"/>
    </row>
    <row r="7178" ht="15.75" customHeight="1">
      <c r="P7178" s="25"/>
      <c r="Q7178" s="25"/>
      <c r="R7178" s="25"/>
      <c r="S7178" s="25"/>
      <c r="T7178" s="141"/>
      <c r="U7178" s="28"/>
    </row>
    <row r="7179" ht="15.75" customHeight="1">
      <c r="P7179" s="25"/>
      <c r="Q7179" s="25"/>
      <c r="R7179" s="25"/>
      <c r="S7179" s="25"/>
      <c r="T7179" s="141"/>
      <c r="U7179" s="28"/>
    </row>
    <row r="7180" ht="15.75" customHeight="1">
      <c r="P7180" s="25"/>
      <c r="Q7180" s="25"/>
      <c r="R7180" s="25"/>
      <c r="S7180" s="25"/>
      <c r="T7180" s="141"/>
      <c r="U7180" s="28"/>
    </row>
    <row r="7181" ht="15.75" customHeight="1">
      <c r="P7181" s="25"/>
      <c r="Q7181" s="25"/>
      <c r="R7181" s="25"/>
      <c r="S7181" s="25"/>
      <c r="T7181" s="141"/>
      <c r="U7181" s="28"/>
    </row>
    <row r="7182" ht="15.75" customHeight="1">
      <c r="P7182" s="25"/>
      <c r="Q7182" s="25"/>
      <c r="R7182" s="25"/>
      <c r="S7182" s="25"/>
      <c r="T7182" s="141"/>
      <c r="U7182" s="28"/>
    </row>
    <row r="7183" ht="15.75" customHeight="1">
      <c r="P7183" s="25"/>
      <c r="Q7183" s="25"/>
      <c r="R7183" s="25"/>
      <c r="S7183" s="25"/>
      <c r="T7183" s="141"/>
      <c r="U7183" s="28"/>
    </row>
    <row r="7184" ht="15.75" customHeight="1">
      <c r="P7184" s="25"/>
      <c r="Q7184" s="25"/>
      <c r="R7184" s="25"/>
      <c r="S7184" s="25"/>
      <c r="T7184" s="141"/>
      <c r="U7184" s="28"/>
    </row>
    <row r="7185" ht="15.75" customHeight="1">
      <c r="P7185" s="25"/>
      <c r="Q7185" s="25"/>
      <c r="R7185" s="25"/>
      <c r="S7185" s="25"/>
      <c r="T7185" s="141"/>
      <c r="U7185" s="28"/>
    </row>
    <row r="7186" ht="15.75" customHeight="1">
      <c r="P7186" s="25"/>
      <c r="Q7186" s="25"/>
      <c r="R7186" s="25"/>
      <c r="S7186" s="25"/>
      <c r="T7186" s="141"/>
      <c r="U7186" s="28"/>
    </row>
    <row r="7187" ht="15.75" customHeight="1">
      <c r="P7187" s="25"/>
      <c r="Q7187" s="25"/>
      <c r="R7187" s="25"/>
      <c r="S7187" s="25"/>
      <c r="T7187" s="141"/>
      <c r="U7187" s="28"/>
    </row>
    <row r="7188" ht="15.75" customHeight="1">
      <c r="P7188" s="25"/>
      <c r="Q7188" s="25"/>
      <c r="R7188" s="25"/>
      <c r="S7188" s="25"/>
      <c r="T7188" s="141"/>
      <c r="U7188" s="28"/>
    </row>
    <row r="7189" ht="15.75" customHeight="1">
      <c r="P7189" s="25"/>
      <c r="Q7189" s="25"/>
      <c r="R7189" s="25"/>
      <c r="S7189" s="25"/>
      <c r="T7189" s="141"/>
      <c r="U7189" s="28"/>
    </row>
    <row r="7190" ht="15.75" customHeight="1">
      <c r="P7190" s="25"/>
      <c r="Q7190" s="25"/>
      <c r="R7190" s="25"/>
      <c r="S7190" s="25"/>
      <c r="T7190" s="141"/>
      <c r="U7190" s="28"/>
    </row>
    <row r="7191" ht="15.75" customHeight="1">
      <c r="P7191" s="25"/>
      <c r="Q7191" s="25"/>
      <c r="R7191" s="25"/>
      <c r="S7191" s="25"/>
      <c r="T7191" s="141"/>
      <c r="U7191" s="28"/>
    </row>
    <row r="7192" ht="15.75" customHeight="1">
      <c r="P7192" s="25"/>
      <c r="Q7192" s="25"/>
      <c r="R7192" s="25"/>
      <c r="S7192" s="25"/>
      <c r="T7192" s="141"/>
      <c r="U7192" s="28"/>
    </row>
    <row r="7193" ht="15.75" customHeight="1">
      <c r="P7193" s="25"/>
      <c r="Q7193" s="25"/>
      <c r="R7193" s="25"/>
      <c r="S7193" s="25"/>
      <c r="T7193" s="141"/>
      <c r="U7193" s="28"/>
    </row>
    <row r="7194" ht="15.75" customHeight="1">
      <c r="P7194" s="25"/>
      <c r="Q7194" s="25"/>
      <c r="R7194" s="25"/>
      <c r="S7194" s="25"/>
      <c r="T7194" s="141"/>
      <c r="U7194" s="28"/>
    </row>
    <row r="7195" ht="15.75" customHeight="1">
      <c r="P7195" s="25"/>
      <c r="Q7195" s="25"/>
      <c r="R7195" s="25"/>
      <c r="S7195" s="25"/>
      <c r="T7195" s="141"/>
      <c r="U7195" s="28"/>
    </row>
    <row r="7196" ht="15.75" customHeight="1">
      <c r="P7196" s="25"/>
      <c r="Q7196" s="25"/>
      <c r="R7196" s="25"/>
      <c r="S7196" s="25"/>
      <c r="T7196" s="141"/>
      <c r="U7196" s="28"/>
    </row>
    <row r="7197" ht="15.75" customHeight="1">
      <c r="P7197" s="25"/>
      <c r="Q7197" s="25"/>
      <c r="R7197" s="25"/>
      <c r="S7197" s="25"/>
      <c r="T7197" s="141"/>
      <c r="U7197" s="28"/>
    </row>
    <row r="7198" ht="15.75" customHeight="1">
      <c r="P7198" s="25"/>
      <c r="Q7198" s="25"/>
      <c r="R7198" s="25"/>
      <c r="S7198" s="25"/>
      <c r="T7198" s="141"/>
      <c r="U7198" s="28"/>
    </row>
    <row r="7199" ht="15.75" customHeight="1">
      <c r="P7199" s="25"/>
      <c r="Q7199" s="25"/>
      <c r="R7199" s="25"/>
      <c r="S7199" s="25"/>
      <c r="T7199" s="141"/>
      <c r="U7199" s="28"/>
    </row>
    <row r="7200" ht="15.75" customHeight="1">
      <c r="P7200" s="25"/>
      <c r="Q7200" s="25"/>
      <c r="R7200" s="25"/>
      <c r="S7200" s="25"/>
      <c r="T7200" s="141"/>
      <c r="U7200" s="28"/>
    </row>
    <row r="7201" ht="15.75" customHeight="1">
      <c r="P7201" s="25"/>
      <c r="Q7201" s="25"/>
      <c r="R7201" s="25"/>
      <c r="S7201" s="25"/>
      <c r="T7201" s="141"/>
      <c r="U7201" s="28"/>
    </row>
    <row r="7202" ht="15.75" customHeight="1">
      <c r="P7202" s="25"/>
      <c r="Q7202" s="25"/>
      <c r="R7202" s="25"/>
      <c r="S7202" s="25"/>
      <c r="T7202" s="141"/>
      <c r="U7202" s="28"/>
    </row>
    <row r="7203" ht="15.75" customHeight="1">
      <c r="P7203" s="25"/>
      <c r="Q7203" s="25"/>
      <c r="R7203" s="25"/>
      <c r="S7203" s="25"/>
      <c r="T7203" s="141"/>
      <c r="U7203" s="28"/>
    </row>
    <row r="7204" ht="15.75" customHeight="1">
      <c r="P7204" s="25"/>
      <c r="Q7204" s="25"/>
      <c r="R7204" s="25"/>
      <c r="S7204" s="25"/>
      <c r="T7204" s="141"/>
      <c r="U7204" s="28"/>
    </row>
    <row r="7205" ht="15.75" customHeight="1">
      <c r="P7205" s="25"/>
      <c r="Q7205" s="25"/>
      <c r="R7205" s="25"/>
      <c r="S7205" s="25"/>
      <c r="T7205" s="141"/>
      <c r="U7205" s="28"/>
    </row>
    <row r="7206" ht="15.75" customHeight="1">
      <c r="P7206" s="25"/>
      <c r="Q7206" s="25"/>
      <c r="R7206" s="25"/>
      <c r="S7206" s="25"/>
      <c r="T7206" s="141"/>
      <c r="U7206" s="28"/>
    </row>
    <row r="7207" ht="15.75" customHeight="1">
      <c r="P7207" s="25"/>
      <c r="Q7207" s="25"/>
      <c r="R7207" s="25"/>
      <c r="S7207" s="25"/>
      <c r="T7207" s="141"/>
      <c r="U7207" s="28"/>
    </row>
    <row r="7208" ht="15.75" customHeight="1">
      <c r="P7208" s="25"/>
      <c r="Q7208" s="25"/>
      <c r="R7208" s="25"/>
      <c r="S7208" s="25"/>
      <c r="T7208" s="141"/>
      <c r="U7208" s="28"/>
    </row>
    <row r="7209" ht="15.75" customHeight="1">
      <c r="P7209" s="25"/>
      <c r="Q7209" s="25"/>
      <c r="R7209" s="25"/>
      <c r="S7209" s="25"/>
      <c r="T7209" s="141"/>
      <c r="U7209" s="28"/>
    </row>
    <row r="7210" ht="15.75" customHeight="1">
      <c r="P7210" s="25"/>
      <c r="Q7210" s="25"/>
      <c r="R7210" s="25"/>
      <c r="S7210" s="25"/>
      <c r="T7210" s="141"/>
      <c r="U7210" s="28"/>
    </row>
    <row r="7211" ht="15.75" customHeight="1">
      <c r="P7211" s="25"/>
      <c r="Q7211" s="25"/>
      <c r="R7211" s="25"/>
      <c r="S7211" s="25"/>
      <c r="T7211" s="141"/>
      <c r="U7211" s="28"/>
    </row>
    <row r="7212" ht="15.75" customHeight="1">
      <c r="P7212" s="25"/>
      <c r="Q7212" s="25"/>
      <c r="R7212" s="25"/>
      <c r="S7212" s="25"/>
      <c r="T7212" s="141"/>
      <c r="U7212" s="28"/>
    </row>
    <row r="7213" ht="15.75" customHeight="1">
      <c r="P7213" s="25"/>
      <c r="Q7213" s="25"/>
      <c r="R7213" s="25"/>
      <c r="S7213" s="25"/>
      <c r="T7213" s="141"/>
      <c r="U7213" s="28"/>
    </row>
    <row r="7214" ht="15.75" customHeight="1">
      <c r="P7214" s="25"/>
      <c r="Q7214" s="25"/>
      <c r="R7214" s="25"/>
      <c r="S7214" s="25"/>
      <c r="T7214" s="141"/>
      <c r="U7214" s="28"/>
    </row>
    <row r="7215" ht="15.75" customHeight="1">
      <c r="P7215" s="25"/>
      <c r="Q7215" s="25"/>
      <c r="R7215" s="25"/>
      <c r="S7215" s="25"/>
      <c r="T7215" s="141"/>
      <c r="U7215" s="28"/>
    </row>
    <row r="7216" ht="15.75" customHeight="1">
      <c r="P7216" s="25"/>
      <c r="Q7216" s="25"/>
      <c r="R7216" s="25"/>
      <c r="S7216" s="25"/>
      <c r="T7216" s="141"/>
      <c r="U7216" s="28"/>
    </row>
    <row r="7217" ht="15.75" customHeight="1">
      <c r="P7217" s="25"/>
      <c r="Q7217" s="25"/>
      <c r="R7217" s="25"/>
      <c r="S7217" s="25"/>
      <c r="T7217" s="141"/>
      <c r="U7217" s="28"/>
    </row>
    <row r="7218" ht="15.75" customHeight="1">
      <c r="P7218" s="25"/>
      <c r="Q7218" s="25"/>
      <c r="R7218" s="25"/>
      <c r="S7218" s="25"/>
      <c r="T7218" s="141"/>
      <c r="U7218" s="28"/>
    </row>
    <row r="7219" ht="15.75" customHeight="1">
      <c r="P7219" s="25"/>
      <c r="Q7219" s="25"/>
      <c r="R7219" s="25"/>
      <c r="S7219" s="25"/>
      <c r="T7219" s="141"/>
      <c r="U7219" s="28"/>
    </row>
    <row r="7220" ht="15.75" customHeight="1">
      <c r="P7220" s="25"/>
      <c r="Q7220" s="25"/>
      <c r="R7220" s="25"/>
      <c r="S7220" s="25"/>
      <c r="T7220" s="141"/>
      <c r="U7220" s="28"/>
    </row>
    <row r="7221" ht="15.75" customHeight="1">
      <c r="P7221" s="25"/>
      <c r="Q7221" s="25"/>
      <c r="R7221" s="25"/>
      <c r="S7221" s="25"/>
      <c r="T7221" s="141"/>
      <c r="U7221" s="28"/>
    </row>
    <row r="7222" ht="15.75" customHeight="1">
      <c r="P7222" s="25"/>
      <c r="Q7222" s="25"/>
      <c r="R7222" s="25"/>
      <c r="S7222" s="25"/>
      <c r="T7222" s="141"/>
      <c r="U7222" s="28"/>
    </row>
    <row r="7223" ht="15.75" customHeight="1">
      <c r="P7223" s="25"/>
      <c r="Q7223" s="25"/>
      <c r="R7223" s="25"/>
      <c r="S7223" s="25"/>
      <c r="T7223" s="141"/>
      <c r="U7223" s="28"/>
    </row>
    <row r="7224" ht="15.75" customHeight="1">
      <c r="P7224" s="25"/>
      <c r="Q7224" s="25"/>
      <c r="R7224" s="25"/>
      <c r="S7224" s="25"/>
      <c r="T7224" s="141"/>
      <c r="U7224" s="28"/>
    </row>
    <row r="7225" ht="15.75" customHeight="1">
      <c r="P7225" s="25"/>
      <c r="Q7225" s="25"/>
      <c r="R7225" s="25"/>
      <c r="S7225" s="25"/>
      <c r="T7225" s="141"/>
      <c r="U7225" s="28"/>
    </row>
    <row r="7226" ht="15.75" customHeight="1">
      <c r="P7226" s="25"/>
      <c r="Q7226" s="25"/>
      <c r="R7226" s="25"/>
      <c r="S7226" s="25"/>
      <c r="T7226" s="141"/>
      <c r="U7226" s="28"/>
    </row>
    <row r="7227" ht="15.75" customHeight="1">
      <c r="P7227" s="25"/>
      <c r="Q7227" s="25"/>
      <c r="R7227" s="25"/>
      <c r="S7227" s="25"/>
      <c r="T7227" s="141"/>
      <c r="U7227" s="28"/>
    </row>
    <row r="7228" ht="15.75" customHeight="1">
      <c r="P7228" s="25"/>
      <c r="Q7228" s="25"/>
      <c r="R7228" s="25"/>
      <c r="S7228" s="25"/>
      <c r="T7228" s="141"/>
      <c r="U7228" s="28"/>
    </row>
    <row r="7229" ht="15.75" customHeight="1">
      <c r="P7229" s="25"/>
      <c r="Q7229" s="25"/>
      <c r="R7229" s="25"/>
      <c r="S7229" s="25"/>
      <c r="T7229" s="141"/>
      <c r="U7229" s="28"/>
    </row>
    <row r="7230" ht="15.75" customHeight="1">
      <c r="P7230" s="25"/>
      <c r="Q7230" s="25"/>
      <c r="R7230" s="25"/>
      <c r="S7230" s="25"/>
      <c r="T7230" s="141"/>
      <c r="U7230" s="28"/>
    </row>
    <row r="7231" ht="15.75" customHeight="1">
      <c r="P7231" s="25"/>
      <c r="Q7231" s="25"/>
      <c r="R7231" s="25"/>
      <c r="S7231" s="25"/>
      <c r="T7231" s="141"/>
      <c r="U7231" s="28"/>
    </row>
    <row r="7232" ht="15.75" customHeight="1">
      <c r="P7232" s="25"/>
      <c r="Q7232" s="25"/>
      <c r="R7232" s="25"/>
      <c r="S7232" s="25"/>
      <c r="T7232" s="141"/>
      <c r="U7232" s="28"/>
    </row>
    <row r="7233" ht="15.75" customHeight="1">
      <c r="P7233" s="25"/>
      <c r="Q7233" s="25"/>
      <c r="R7233" s="25"/>
      <c r="S7233" s="25"/>
      <c r="T7233" s="141"/>
      <c r="U7233" s="28"/>
    </row>
    <row r="7234" ht="15.75" customHeight="1">
      <c r="P7234" s="25"/>
      <c r="Q7234" s="25"/>
      <c r="R7234" s="25"/>
      <c r="S7234" s="25"/>
      <c r="T7234" s="141"/>
      <c r="U7234" s="28"/>
    </row>
    <row r="7235" ht="15.75" customHeight="1">
      <c r="P7235" s="25"/>
      <c r="Q7235" s="25"/>
      <c r="R7235" s="25"/>
      <c r="S7235" s="25"/>
      <c r="T7235" s="141"/>
      <c r="U7235" s="28"/>
    </row>
    <row r="7236" ht="15.75" customHeight="1">
      <c r="P7236" s="25"/>
      <c r="Q7236" s="25"/>
      <c r="R7236" s="25"/>
      <c r="S7236" s="25"/>
      <c r="T7236" s="141"/>
      <c r="U7236" s="28"/>
    </row>
    <row r="7237" ht="15.75" customHeight="1">
      <c r="P7237" s="25"/>
      <c r="Q7237" s="25"/>
      <c r="R7237" s="25"/>
      <c r="S7237" s="25"/>
      <c r="T7237" s="141"/>
      <c r="U7237" s="28"/>
    </row>
    <row r="7238" ht="15.75" customHeight="1">
      <c r="P7238" s="25"/>
      <c r="Q7238" s="25"/>
      <c r="R7238" s="25"/>
      <c r="S7238" s="25"/>
      <c r="T7238" s="141"/>
      <c r="U7238" s="28"/>
    </row>
    <row r="7239" ht="15.75" customHeight="1">
      <c r="P7239" s="25"/>
      <c r="Q7239" s="25"/>
      <c r="R7239" s="25"/>
      <c r="S7239" s="25"/>
      <c r="T7239" s="141"/>
      <c r="U7239" s="28"/>
    </row>
    <row r="7240" ht="15.75" customHeight="1">
      <c r="P7240" s="25"/>
      <c r="Q7240" s="25"/>
      <c r="R7240" s="25"/>
      <c r="S7240" s="25"/>
      <c r="T7240" s="141"/>
      <c r="U7240" s="28"/>
    </row>
    <row r="7241" ht="15.75" customHeight="1">
      <c r="P7241" s="25"/>
      <c r="Q7241" s="25"/>
      <c r="R7241" s="25"/>
      <c r="S7241" s="25"/>
      <c r="T7241" s="141"/>
      <c r="U7241" s="28"/>
    </row>
    <row r="7242" ht="15.75" customHeight="1">
      <c r="P7242" s="25"/>
      <c r="Q7242" s="25"/>
      <c r="R7242" s="25"/>
      <c r="S7242" s="25"/>
      <c r="T7242" s="141"/>
      <c r="U7242" s="28"/>
    </row>
    <row r="7243" ht="15.75" customHeight="1">
      <c r="P7243" s="25"/>
      <c r="Q7243" s="25"/>
      <c r="R7243" s="25"/>
      <c r="S7243" s="25"/>
      <c r="T7243" s="141"/>
      <c r="U7243" s="28"/>
    </row>
    <row r="7244" ht="15.75" customHeight="1">
      <c r="P7244" s="25"/>
      <c r="Q7244" s="25"/>
      <c r="R7244" s="25"/>
      <c r="S7244" s="25"/>
      <c r="T7244" s="141"/>
      <c r="U7244" s="28"/>
    </row>
    <row r="7245" ht="15.75" customHeight="1">
      <c r="P7245" s="25"/>
      <c r="Q7245" s="25"/>
      <c r="R7245" s="25"/>
      <c r="S7245" s="25"/>
      <c r="T7245" s="141"/>
      <c r="U7245" s="28"/>
    </row>
    <row r="7246" ht="15.75" customHeight="1">
      <c r="P7246" s="25"/>
      <c r="Q7246" s="25"/>
      <c r="R7246" s="25"/>
      <c r="S7246" s="25"/>
      <c r="T7246" s="141"/>
      <c r="U7246" s="28"/>
    </row>
    <row r="7247" ht="15.75" customHeight="1">
      <c r="P7247" s="25"/>
      <c r="Q7247" s="25"/>
      <c r="R7247" s="25"/>
      <c r="S7247" s="25"/>
      <c r="T7247" s="141"/>
      <c r="U7247" s="28"/>
    </row>
    <row r="7248" ht="15.75" customHeight="1">
      <c r="P7248" s="25"/>
      <c r="Q7248" s="25"/>
      <c r="R7248" s="25"/>
      <c r="S7248" s="25"/>
      <c r="T7248" s="141"/>
      <c r="U7248" s="28"/>
    </row>
    <row r="7249" ht="15.75" customHeight="1">
      <c r="P7249" s="25"/>
      <c r="Q7249" s="25"/>
      <c r="R7249" s="25"/>
      <c r="S7249" s="25"/>
      <c r="T7249" s="141"/>
      <c r="U7249" s="28"/>
    </row>
    <row r="7250" ht="15.75" customHeight="1">
      <c r="P7250" s="25"/>
      <c r="Q7250" s="25"/>
      <c r="R7250" s="25"/>
      <c r="S7250" s="25"/>
      <c r="T7250" s="141"/>
      <c r="U7250" s="28"/>
    </row>
    <row r="7251" ht="15.75" customHeight="1">
      <c r="P7251" s="25"/>
      <c r="Q7251" s="25"/>
      <c r="R7251" s="25"/>
      <c r="S7251" s="25"/>
      <c r="T7251" s="141"/>
      <c r="U7251" s="28"/>
    </row>
    <row r="7252" ht="15.75" customHeight="1">
      <c r="P7252" s="25"/>
      <c r="Q7252" s="25"/>
      <c r="R7252" s="25"/>
      <c r="S7252" s="25"/>
      <c r="T7252" s="141"/>
      <c r="U7252" s="28"/>
    </row>
    <row r="7253" ht="15.75" customHeight="1">
      <c r="P7253" s="25"/>
      <c r="Q7253" s="25"/>
      <c r="R7253" s="25"/>
      <c r="S7253" s="25"/>
      <c r="T7253" s="141"/>
      <c r="U7253" s="28"/>
    </row>
    <row r="7254" ht="15.75" customHeight="1">
      <c r="P7254" s="25"/>
      <c r="Q7254" s="25"/>
      <c r="R7254" s="25"/>
      <c r="S7254" s="25"/>
      <c r="T7254" s="141"/>
      <c r="U7254" s="28"/>
    </row>
    <row r="7255" ht="15.75" customHeight="1">
      <c r="P7255" s="25"/>
      <c r="Q7255" s="25"/>
      <c r="R7255" s="25"/>
      <c r="S7255" s="25"/>
      <c r="T7255" s="141"/>
      <c r="U7255" s="28"/>
    </row>
    <row r="7256" ht="15.75" customHeight="1">
      <c r="P7256" s="25"/>
      <c r="Q7256" s="25"/>
      <c r="R7256" s="25"/>
      <c r="S7256" s="25"/>
      <c r="T7256" s="141"/>
      <c r="U7256" s="28"/>
    </row>
    <row r="7257" ht="15.75" customHeight="1">
      <c r="P7257" s="25"/>
      <c r="Q7257" s="25"/>
      <c r="R7257" s="25"/>
      <c r="S7257" s="25"/>
      <c r="T7257" s="141"/>
      <c r="U7257" s="28"/>
    </row>
    <row r="7258" ht="15.75" customHeight="1">
      <c r="P7258" s="25"/>
      <c r="Q7258" s="25"/>
      <c r="R7258" s="25"/>
      <c r="S7258" s="25"/>
      <c r="T7258" s="141"/>
      <c r="U7258" s="28"/>
    </row>
    <row r="7259" ht="15.75" customHeight="1">
      <c r="P7259" s="25"/>
      <c r="Q7259" s="25"/>
      <c r="R7259" s="25"/>
      <c r="S7259" s="25"/>
      <c r="T7259" s="141"/>
      <c r="U7259" s="28"/>
    </row>
    <row r="7260" ht="15.75" customHeight="1">
      <c r="P7260" s="25"/>
      <c r="Q7260" s="25"/>
      <c r="R7260" s="25"/>
      <c r="S7260" s="25"/>
      <c r="T7260" s="141"/>
      <c r="U7260" s="28"/>
    </row>
    <row r="7261" ht="15.75" customHeight="1">
      <c r="P7261" s="25"/>
      <c r="Q7261" s="25"/>
      <c r="R7261" s="25"/>
      <c r="S7261" s="25"/>
      <c r="T7261" s="141"/>
      <c r="U7261" s="28"/>
    </row>
    <row r="7262" ht="15.75" customHeight="1">
      <c r="P7262" s="25"/>
      <c r="Q7262" s="25"/>
      <c r="R7262" s="25"/>
      <c r="S7262" s="25"/>
      <c r="T7262" s="141"/>
      <c r="U7262" s="28"/>
    </row>
    <row r="7263" ht="15.75" customHeight="1">
      <c r="P7263" s="25"/>
      <c r="Q7263" s="25"/>
      <c r="R7263" s="25"/>
      <c r="S7263" s="25"/>
      <c r="T7263" s="141"/>
      <c r="U7263" s="28"/>
    </row>
    <row r="7264" ht="15.75" customHeight="1">
      <c r="P7264" s="25"/>
      <c r="Q7264" s="25"/>
      <c r="R7264" s="25"/>
      <c r="S7264" s="25"/>
      <c r="T7264" s="141"/>
      <c r="U7264" s="28"/>
    </row>
    <row r="7265" ht="15.75" customHeight="1">
      <c r="P7265" s="25"/>
      <c r="Q7265" s="25"/>
      <c r="R7265" s="25"/>
      <c r="S7265" s="25"/>
      <c r="T7265" s="141"/>
      <c r="U7265" s="28"/>
    </row>
    <row r="7266" ht="15.75" customHeight="1">
      <c r="P7266" s="25"/>
      <c r="Q7266" s="25"/>
      <c r="R7266" s="25"/>
      <c r="S7266" s="25"/>
      <c r="T7266" s="141"/>
      <c r="U7266" s="28"/>
    </row>
    <row r="7267" ht="15.75" customHeight="1">
      <c r="P7267" s="25"/>
      <c r="Q7267" s="25"/>
      <c r="R7267" s="25"/>
      <c r="S7267" s="25"/>
      <c r="T7267" s="141"/>
      <c r="U7267" s="28"/>
    </row>
    <row r="7268" ht="15.75" customHeight="1">
      <c r="P7268" s="25"/>
      <c r="Q7268" s="25"/>
      <c r="R7268" s="25"/>
      <c r="S7268" s="25"/>
      <c r="T7268" s="141"/>
      <c r="U7268" s="28"/>
    </row>
    <row r="7269" ht="15.75" customHeight="1">
      <c r="P7269" s="25"/>
      <c r="Q7269" s="25"/>
      <c r="R7269" s="25"/>
      <c r="S7269" s="25"/>
      <c r="T7269" s="141"/>
      <c r="U7269" s="28"/>
    </row>
    <row r="7270" ht="15.75" customHeight="1">
      <c r="P7270" s="25"/>
      <c r="Q7270" s="25"/>
      <c r="R7270" s="25"/>
      <c r="S7270" s="25"/>
      <c r="T7270" s="141"/>
      <c r="U7270" s="28"/>
    </row>
    <row r="7271" ht="15.75" customHeight="1">
      <c r="P7271" s="25"/>
      <c r="Q7271" s="25"/>
      <c r="R7271" s="25"/>
      <c r="S7271" s="25"/>
      <c r="T7271" s="141"/>
      <c r="U7271" s="28"/>
    </row>
    <row r="7272" ht="15.75" customHeight="1">
      <c r="P7272" s="25"/>
      <c r="Q7272" s="25"/>
      <c r="R7272" s="25"/>
      <c r="S7272" s="25"/>
      <c r="T7272" s="141"/>
      <c r="U7272" s="28"/>
    </row>
    <row r="7273" ht="15.75" customHeight="1">
      <c r="P7273" s="25"/>
      <c r="Q7273" s="25"/>
      <c r="R7273" s="25"/>
      <c r="S7273" s="25"/>
      <c r="T7273" s="141"/>
      <c r="U7273" s="28"/>
    </row>
    <row r="7274" ht="15.75" customHeight="1">
      <c r="P7274" s="25"/>
      <c r="Q7274" s="25"/>
      <c r="R7274" s="25"/>
      <c r="S7274" s="25"/>
      <c r="T7274" s="141"/>
      <c r="U7274" s="28"/>
    </row>
    <row r="7275" ht="15.75" customHeight="1">
      <c r="P7275" s="25"/>
      <c r="Q7275" s="25"/>
      <c r="R7275" s="25"/>
      <c r="S7275" s="25"/>
      <c r="T7275" s="141"/>
      <c r="U7275" s="28"/>
    </row>
    <row r="7276" ht="15.75" customHeight="1">
      <c r="P7276" s="25"/>
      <c r="Q7276" s="25"/>
      <c r="R7276" s="25"/>
      <c r="S7276" s="25"/>
      <c r="T7276" s="141"/>
      <c r="U7276" s="28"/>
    </row>
    <row r="7277" ht="15.75" customHeight="1">
      <c r="P7277" s="25"/>
      <c r="Q7277" s="25"/>
      <c r="R7277" s="25"/>
      <c r="S7277" s="25"/>
      <c r="T7277" s="141"/>
      <c r="U7277" s="28"/>
    </row>
    <row r="7278" ht="15.75" customHeight="1">
      <c r="P7278" s="25"/>
      <c r="Q7278" s="25"/>
      <c r="R7278" s="25"/>
      <c r="S7278" s="25"/>
      <c r="T7278" s="141"/>
      <c r="U7278" s="28"/>
    </row>
    <row r="7279" ht="15.75" customHeight="1">
      <c r="P7279" s="25"/>
      <c r="Q7279" s="25"/>
      <c r="R7279" s="25"/>
      <c r="S7279" s="25"/>
      <c r="T7279" s="141"/>
      <c r="U7279" s="28"/>
    </row>
    <row r="7280" ht="15.75" customHeight="1">
      <c r="P7280" s="25"/>
      <c r="Q7280" s="25"/>
      <c r="R7280" s="25"/>
      <c r="S7280" s="25"/>
      <c r="T7280" s="141"/>
      <c r="U7280" s="28"/>
    </row>
    <row r="7281" ht="15.75" customHeight="1">
      <c r="P7281" s="25"/>
      <c r="Q7281" s="25"/>
      <c r="R7281" s="25"/>
      <c r="S7281" s="25"/>
      <c r="T7281" s="141"/>
      <c r="U7281" s="28"/>
    </row>
    <row r="7282" ht="15.75" customHeight="1">
      <c r="P7282" s="25"/>
      <c r="Q7282" s="25"/>
      <c r="R7282" s="25"/>
      <c r="S7282" s="25"/>
      <c r="T7282" s="141"/>
      <c r="U7282" s="28"/>
    </row>
    <row r="7283" ht="15.75" customHeight="1">
      <c r="P7283" s="25"/>
      <c r="Q7283" s="25"/>
      <c r="R7283" s="25"/>
      <c r="S7283" s="25"/>
      <c r="T7283" s="141"/>
      <c r="U7283" s="28"/>
    </row>
    <row r="7284" ht="15.75" customHeight="1">
      <c r="P7284" s="25"/>
      <c r="Q7284" s="25"/>
      <c r="R7284" s="25"/>
      <c r="S7284" s="25"/>
      <c r="T7284" s="141"/>
      <c r="U7284" s="28"/>
    </row>
    <row r="7285" ht="15.75" customHeight="1">
      <c r="P7285" s="25"/>
      <c r="Q7285" s="25"/>
      <c r="R7285" s="25"/>
      <c r="S7285" s="25"/>
      <c r="T7285" s="141"/>
      <c r="U7285" s="28"/>
    </row>
    <row r="7286" ht="15.75" customHeight="1">
      <c r="P7286" s="25"/>
      <c r="Q7286" s="25"/>
      <c r="R7286" s="25"/>
      <c r="S7286" s="25"/>
      <c r="T7286" s="141"/>
      <c r="U7286" s="28"/>
    </row>
    <row r="7287" ht="15.75" customHeight="1">
      <c r="P7287" s="25"/>
      <c r="Q7287" s="25"/>
      <c r="R7287" s="25"/>
      <c r="S7287" s="25"/>
      <c r="T7287" s="141"/>
      <c r="U7287" s="28"/>
    </row>
    <row r="7288" ht="15.75" customHeight="1">
      <c r="P7288" s="25"/>
      <c r="Q7288" s="25"/>
      <c r="R7288" s="25"/>
      <c r="S7288" s="25"/>
      <c r="T7288" s="141"/>
      <c r="U7288" s="28"/>
    </row>
    <row r="7289" ht="15.75" customHeight="1">
      <c r="P7289" s="25"/>
      <c r="Q7289" s="25"/>
      <c r="R7289" s="25"/>
      <c r="S7289" s="25"/>
      <c r="T7289" s="141"/>
      <c r="U7289" s="28"/>
    </row>
    <row r="7290" ht="15.75" customHeight="1">
      <c r="P7290" s="25"/>
      <c r="Q7290" s="25"/>
      <c r="R7290" s="25"/>
      <c r="S7290" s="25"/>
      <c r="T7290" s="141"/>
      <c r="U7290" s="28"/>
    </row>
    <row r="7291" ht="15.75" customHeight="1">
      <c r="P7291" s="25"/>
      <c r="Q7291" s="25"/>
      <c r="R7291" s="25"/>
      <c r="S7291" s="25"/>
      <c r="T7291" s="141"/>
      <c r="U7291" s="28"/>
    </row>
    <row r="7292" ht="15.75" customHeight="1">
      <c r="P7292" s="25"/>
      <c r="Q7292" s="25"/>
      <c r="R7292" s="25"/>
      <c r="S7292" s="25"/>
      <c r="T7292" s="141"/>
      <c r="U7292" s="28"/>
    </row>
    <row r="7293" ht="15.75" customHeight="1">
      <c r="P7293" s="25"/>
      <c r="Q7293" s="25"/>
      <c r="R7293" s="25"/>
      <c r="S7293" s="25"/>
      <c r="T7293" s="141"/>
      <c r="U7293" s="28"/>
    </row>
    <row r="7294" ht="15.75" customHeight="1">
      <c r="P7294" s="25"/>
      <c r="Q7294" s="25"/>
      <c r="R7294" s="25"/>
      <c r="S7294" s="25"/>
      <c r="T7294" s="141"/>
      <c r="U7294" s="28"/>
    </row>
    <row r="7295" ht="15.75" customHeight="1">
      <c r="P7295" s="25"/>
      <c r="Q7295" s="25"/>
      <c r="R7295" s="25"/>
      <c r="S7295" s="25"/>
      <c r="T7295" s="141"/>
      <c r="U7295" s="28"/>
    </row>
    <row r="7296" ht="15.75" customHeight="1">
      <c r="P7296" s="25"/>
      <c r="Q7296" s="25"/>
      <c r="R7296" s="25"/>
      <c r="S7296" s="25"/>
      <c r="T7296" s="141"/>
      <c r="U7296" s="28"/>
    </row>
    <row r="7297" ht="15.75" customHeight="1">
      <c r="P7297" s="25"/>
      <c r="Q7297" s="25"/>
      <c r="R7297" s="25"/>
      <c r="S7297" s="25"/>
      <c r="T7297" s="141"/>
      <c r="U7297" s="28"/>
    </row>
    <row r="7298" ht="15.75" customHeight="1">
      <c r="P7298" s="25"/>
      <c r="Q7298" s="25"/>
      <c r="R7298" s="25"/>
      <c r="S7298" s="25"/>
      <c r="T7298" s="141"/>
      <c r="U7298" s="28"/>
    </row>
    <row r="7299" ht="15.75" customHeight="1">
      <c r="P7299" s="25"/>
      <c r="Q7299" s="25"/>
      <c r="R7299" s="25"/>
      <c r="S7299" s="25"/>
      <c r="T7299" s="141"/>
      <c r="U7299" s="28"/>
    </row>
    <row r="7300" ht="15.75" customHeight="1">
      <c r="P7300" s="25"/>
      <c r="Q7300" s="25"/>
      <c r="R7300" s="25"/>
      <c r="S7300" s="25"/>
      <c r="T7300" s="141"/>
      <c r="U7300" s="28"/>
    </row>
    <row r="7301" ht="15.75" customHeight="1">
      <c r="P7301" s="25"/>
      <c r="Q7301" s="25"/>
      <c r="R7301" s="25"/>
      <c r="S7301" s="25"/>
      <c r="T7301" s="141"/>
      <c r="U7301" s="28"/>
    </row>
    <row r="7302" ht="15.75" customHeight="1">
      <c r="P7302" s="25"/>
      <c r="Q7302" s="25"/>
      <c r="R7302" s="25"/>
      <c r="S7302" s="25"/>
      <c r="T7302" s="141"/>
      <c r="U7302" s="28"/>
    </row>
    <row r="7303" ht="15.75" customHeight="1">
      <c r="P7303" s="25"/>
      <c r="Q7303" s="25"/>
      <c r="R7303" s="25"/>
      <c r="S7303" s="25"/>
      <c r="T7303" s="141"/>
      <c r="U7303" s="28"/>
    </row>
    <row r="7304" ht="15.75" customHeight="1">
      <c r="P7304" s="25"/>
      <c r="Q7304" s="25"/>
      <c r="R7304" s="25"/>
      <c r="S7304" s="25"/>
      <c r="T7304" s="141"/>
      <c r="U7304" s="28"/>
    </row>
    <row r="7305" ht="15.75" customHeight="1">
      <c r="P7305" s="25"/>
      <c r="Q7305" s="25"/>
      <c r="R7305" s="25"/>
      <c r="S7305" s="25"/>
      <c r="T7305" s="141"/>
      <c r="U7305" s="28"/>
    </row>
    <row r="7306" ht="15.75" customHeight="1">
      <c r="P7306" s="25"/>
      <c r="Q7306" s="25"/>
      <c r="R7306" s="25"/>
      <c r="S7306" s="25"/>
      <c r="T7306" s="141"/>
      <c r="U7306" s="28"/>
    </row>
    <row r="7307" ht="15.75" customHeight="1">
      <c r="P7307" s="25"/>
      <c r="Q7307" s="25"/>
      <c r="R7307" s="25"/>
      <c r="S7307" s="25"/>
      <c r="T7307" s="141"/>
      <c r="U7307" s="28"/>
    </row>
    <row r="7308" ht="15.75" customHeight="1">
      <c r="P7308" s="25"/>
      <c r="Q7308" s="25"/>
      <c r="R7308" s="25"/>
      <c r="S7308" s="25"/>
      <c r="T7308" s="141"/>
      <c r="U7308" s="28"/>
    </row>
    <row r="7309" ht="15.75" customHeight="1">
      <c r="P7309" s="25"/>
      <c r="Q7309" s="25"/>
      <c r="R7309" s="25"/>
      <c r="S7309" s="25"/>
      <c r="T7309" s="141"/>
      <c r="U7309" s="28"/>
    </row>
    <row r="7310" ht="15.75" customHeight="1">
      <c r="P7310" s="25"/>
      <c r="Q7310" s="25"/>
      <c r="R7310" s="25"/>
      <c r="S7310" s="25"/>
      <c r="T7310" s="141"/>
      <c r="U7310" s="28"/>
    </row>
    <row r="7311" ht="15.75" customHeight="1">
      <c r="P7311" s="25"/>
      <c r="Q7311" s="25"/>
      <c r="R7311" s="25"/>
      <c r="S7311" s="25"/>
      <c r="T7311" s="141"/>
      <c r="U7311" s="28"/>
    </row>
    <row r="7312" ht="15.75" customHeight="1">
      <c r="P7312" s="25"/>
      <c r="Q7312" s="25"/>
      <c r="R7312" s="25"/>
      <c r="S7312" s="25"/>
      <c r="T7312" s="141"/>
      <c r="U7312" s="28"/>
    </row>
    <row r="7313" ht="15.75" customHeight="1">
      <c r="P7313" s="25"/>
      <c r="Q7313" s="25"/>
      <c r="R7313" s="25"/>
      <c r="S7313" s="25"/>
      <c r="T7313" s="141"/>
      <c r="U7313" s="28"/>
    </row>
    <row r="7314" ht="15.75" customHeight="1">
      <c r="P7314" s="25"/>
      <c r="Q7314" s="25"/>
      <c r="R7314" s="25"/>
      <c r="S7314" s="25"/>
      <c r="T7314" s="141"/>
      <c r="U7314" s="28"/>
    </row>
    <row r="7315" ht="15.75" customHeight="1">
      <c r="P7315" s="25"/>
      <c r="Q7315" s="25"/>
      <c r="R7315" s="25"/>
      <c r="S7315" s="25"/>
      <c r="T7315" s="141"/>
      <c r="U7315" s="28"/>
    </row>
    <row r="7316" ht="15.75" customHeight="1">
      <c r="P7316" s="25"/>
      <c r="Q7316" s="25"/>
      <c r="R7316" s="25"/>
      <c r="S7316" s="25"/>
      <c r="T7316" s="141"/>
      <c r="U7316" s="28"/>
    </row>
    <row r="7317" ht="15.75" customHeight="1">
      <c r="P7317" s="25"/>
      <c r="Q7317" s="25"/>
      <c r="R7317" s="25"/>
      <c r="S7317" s="25"/>
      <c r="T7317" s="141"/>
      <c r="U7317" s="28"/>
    </row>
    <row r="7318" ht="15.75" customHeight="1">
      <c r="P7318" s="25"/>
      <c r="Q7318" s="25"/>
      <c r="R7318" s="25"/>
      <c r="S7318" s="25"/>
      <c r="T7318" s="141"/>
      <c r="U7318" s="28"/>
    </row>
    <row r="7319" ht="15.75" customHeight="1">
      <c r="P7319" s="25"/>
      <c r="Q7319" s="25"/>
      <c r="R7319" s="25"/>
      <c r="S7319" s="25"/>
      <c r="T7319" s="141"/>
      <c r="U7319" s="28"/>
    </row>
    <row r="7320" ht="15.75" customHeight="1">
      <c r="P7320" s="25"/>
      <c r="Q7320" s="25"/>
      <c r="R7320" s="25"/>
      <c r="S7320" s="25"/>
      <c r="T7320" s="141"/>
      <c r="U7320" s="28"/>
    </row>
    <row r="7321" ht="15.75" customHeight="1">
      <c r="P7321" s="25"/>
      <c r="Q7321" s="25"/>
      <c r="R7321" s="25"/>
      <c r="S7321" s="25"/>
      <c r="T7321" s="141"/>
      <c r="U7321" s="28"/>
    </row>
    <row r="7322" ht="15.75" customHeight="1">
      <c r="P7322" s="25"/>
      <c r="Q7322" s="25"/>
      <c r="R7322" s="25"/>
      <c r="S7322" s="25"/>
      <c r="T7322" s="141"/>
      <c r="U7322" s="28"/>
    </row>
    <row r="7323" ht="15.75" customHeight="1">
      <c r="P7323" s="25"/>
      <c r="Q7323" s="25"/>
      <c r="R7323" s="25"/>
      <c r="S7323" s="25"/>
      <c r="T7323" s="141"/>
      <c r="U7323" s="28"/>
    </row>
    <row r="7324" ht="15.75" customHeight="1">
      <c r="P7324" s="25"/>
      <c r="Q7324" s="25"/>
      <c r="R7324" s="25"/>
      <c r="S7324" s="25"/>
      <c r="T7324" s="141"/>
      <c r="U7324" s="28"/>
    </row>
    <row r="7325" ht="15.75" customHeight="1">
      <c r="P7325" s="25"/>
      <c r="Q7325" s="25"/>
      <c r="R7325" s="25"/>
      <c r="S7325" s="25"/>
      <c r="T7325" s="141"/>
      <c r="U7325" s="28"/>
    </row>
    <row r="7326" ht="15.75" customHeight="1">
      <c r="P7326" s="25"/>
      <c r="Q7326" s="25"/>
      <c r="R7326" s="25"/>
      <c r="S7326" s="25"/>
      <c r="T7326" s="141"/>
      <c r="U7326" s="28"/>
    </row>
    <row r="7327" ht="15.75" customHeight="1">
      <c r="P7327" s="25"/>
      <c r="Q7327" s="25"/>
      <c r="R7327" s="25"/>
      <c r="S7327" s="25"/>
      <c r="T7327" s="141"/>
      <c r="U7327" s="28"/>
    </row>
    <row r="7328" ht="15.75" customHeight="1">
      <c r="P7328" s="25"/>
      <c r="Q7328" s="25"/>
      <c r="R7328" s="25"/>
      <c r="S7328" s="25"/>
      <c r="T7328" s="141"/>
      <c r="U7328" s="28"/>
    </row>
    <row r="7329" ht="15.75" customHeight="1">
      <c r="P7329" s="25"/>
      <c r="Q7329" s="25"/>
      <c r="R7329" s="25"/>
      <c r="S7329" s="25"/>
      <c r="T7329" s="141"/>
      <c r="U7329" s="28"/>
    </row>
    <row r="7330" ht="15.75" customHeight="1">
      <c r="P7330" s="25"/>
      <c r="Q7330" s="25"/>
      <c r="R7330" s="25"/>
      <c r="S7330" s="25"/>
      <c r="T7330" s="141"/>
      <c r="U7330" s="28"/>
    </row>
    <row r="7331" ht="15.75" customHeight="1">
      <c r="P7331" s="25"/>
      <c r="Q7331" s="25"/>
      <c r="R7331" s="25"/>
      <c r="S7331" s="25"/>
      <c r="T7331" s="141"/>
      <c r="U7331" s="28"/>
    </row>
    <row r="7332" ht="15.75" customHeight="1">
      <c r="P7332" s="25"/>
      <c r="Q7332" s="25"/>
      <c r="R7332" s="25"/>
      <c r="S7332" s="25"/>
      <c r="T7332" s="141"/>
      <c r="U7332" s="28"/>
    </row>
    <row r="7333" ht="15.75" customHeight="1">
      <c r="P7333" s="25"/>
      <c r="Q7333" s="25"/>
      <c r="R7333" s="25"/>
      <c r="S7333" s="25"/>
      <c r="T7333" s="141"/>
      <c r="U7333" s="28"/>
    </row>
    <row r="7334" ht="15.75" customHeight="1">
      <c r="P7334" s="25"/>
      <c r="Q7334" s="25"/>
      <c r="R7334" s="25"/>
      <c r="S7334" s="25"/>
      <c r="T7334" s="141"/>
      <c r="U7334" s="28"/>
    </row>
    <row r="7335" ht="15.75" customHeight="1">
      <c r="P7335" s="25"/>
      <c r="Q7335" s="25"/>
      <c r="R7335" s="25"/>
      <c r="S7335" s="25"/>
      <c r="T7335" s="141"/>
      <c r="U7335" s="28"/>
    </row>
    <row r="7336" ht="15.75" customHeight="1">
      <c r="P7336" s="25"/>
      <c r="Q7336" s="25"/>
      <c r="R7336" s="25"/>
      <c r="S7336" s="25"/>
      <c r="T7336" s="141"/>
      <c r="U7336" s="28"/>
    </row>
    <row r="7337" ht="15.75" customHeight="1">
      <c r="P7337" s="25"/>
      <c r="Q7337" s="25"/>
      <c r="R7337" s="25"/>
      <c r="S7337" s="25"/>
      <c r="T7337" s="141"/>
      <c r="U7337" s="28"/>
    </row>
    <row r="7338" ht="15.75" customHeight="1">
      <c r="P7338" s="25"/>
      <c r="Q7338" s="25"/>
      <c r="R7338" s="25"/>
      <c r="S7338" s="25"/>
      <c r="T7338" s="141"/>
      <c r="U7338" s="28"/>
    </row>
    <row r="7339" ht="15.75" customHeight="1">
      <c r="P7339" s="25"/>
      <c r="Q7339" s="25"/>
      <c r="R7339" s="25"/>
      <c r="S7339" s="25"/>
      <c r="T7339" s="141"/>
      <c r="U7339" s="28"/>
    </row>
    <row r="7340" ht="15.75" customHeight="1">
      <c r="P7340" s="25"/>
      <c r="Q7340" s="25"/>
      <c r="R7340" s="25"/>
      <c r="S7340" s="25"/>
      <c r="T7340" s="141"/>
      <c r="U7340" s="28"/>
    </row>
    <row r="7341" ht="15.75" customHeight="1">
      <c r="P7341" s="25"/>
      <c r="Q7341" s="25"/>
      <c r="R7341" s="25"/>
      <c r="S7341" s="25"/>
      <c r="T7341" s="141"/>
      <c r="U7341" s="28"/>
    </row>
    <row r="7342" ht="15.75" customHeight="1">
      <c r="P7342" s="25"/>
      <c r="Q7342" s="25"/>
      <c r="R7342" s="25"/>
      <c r="S7342" s="25"/>
      <c r="T7342" s="141"/>
      <c r="U7342" s="28"/>
    </row>
    <row r="7343" ht="15.75" customHeight="1">
      <c r="P7343" s="25"/>
      <c r="Q7343" s="25"/>
      <c r="R7343" s="25"/>
      <c r="S7343" s="25"/>
      <c r="T7343" s="141"/>
      <c r="U7343" s="28"/>
    </row>
    <row r="7344" ht="15.75" customHeight="1">
      <c r="P7344" s="25"/>
      <c r="Q7344" s="25"/>
      <c r="R7344" s="25"/>
      <c r="S7344" s="25"/>
      <c r="T7344" s="141"/>
      <c r="U7344" s="28"/>
    </row>
    <row r="7345" ht="15.75" customHeight="1">
      <c r="P7345" s="25"/>
      <c r="Q7345" s="25"/>
      <c r="R7345" s="25"/>
      <c r="S7345" s="25"/>
      <c r="T7345" s="141"/>
      <c r="U7345" s="28"/>
    </row>
    <row r="7346" ht="15.75" customHeight="1">
      <c r="P7346" s="25"/>
      <c r="Q7346" s="25"/>
      <c r="R7346" s="25"/>
      <c r="S7346" s="25"/>
      <c r="T7346" s="141"/>
      <c r="U7346" s="28"/>
    </row>
    <row r="7347" ht="15.75" customHeight="1">
      <c r="P7347" s="25"/>
      <c r="Q7347" s="25"/>
      <c r="R7347" s="25"/>
      <c r="S7347" s="25"/>
      <c r="T7347" s="141"/>
      <c r="U7347" s="28"/>
    </row>
    <row r="7348" ht="15.75" customHeight="1">
      <c r="P7348" s="25"/>
      <c r="Q7348" s="25"/>
      <c r="R7348" s="25"/>
      <c r="S7348" s="25"/>
      <c r="T7348" s="141"/>
      <c r="U7348" s="28"/>
    </row>
    <row r="7349" ht="15.75" customHeight="1">
      <c r="P7349" s="25"/>
      <c r="Q7349" s="25"/>
      <c r="R7349" s="25"/>
      <c r="S7349" s="25"/>
      <c r="T7349" s="141"/>
      <c r="U7349" s="28"/>
    </row>
    <row r="7350" ht="15.75" customHeight="1">
      <c r="P7350" s="25"/>
      <c r="Q7350" s="25"/>
      <c r="R7350" s="25"/>
      <c r="S7350" s="25"/>
      <c r="T7350" s="141"/>
      <c r="U7350" s="28"/>
    </row>
    <row r="7351" ht="15.75" customHeight="1">
      <c r="P7351" s="25"/>
      <c r="Q7351" s="25"/>
      <c r="R7351" s="25"/>
      <c r="S7351" s="25"/>
      <c r="T7351" s="141"/>
      <c r="U7351" s="28"/>
    </row>
    <row r="7352" ht="15.75" customHeight="1">
      <c r="P7352" s="25"/>
      <c r="Q7352" s="25"/>
      <c r="R7352" s="25"/>
      <c r="S7352" s="25"/>
      <c r="T7352" s="141"/>
      <c r="U7352" s="28"/>
    </row>
    <row r="7353" ht="15.75" customHeight="1">
      <c r="P7353" s="25"/>
      <c r="Q7353" s="25"/>
      <c r="R7353" s="25"/>
      <c r="S7353" s="25"/>
      <c r="T7353" s="141"/>
      <c r="U7353" s="28"/>
    </row>
    <row r="7354" ht="15.75" customHeight="1">
      <c r="P7354" s="25"/>
      <c r="Q7354" s="25"/>
      <c r="R7354" s="25"/>
      <c r="S7354" s="25"/>
      <c r="T7354" s="141"/>
      <c r="U7354" s="28"/>
    </row>
    <row r="7355" ht="15.75" customHeight="1">
      <c r="P7355" s="25"/>
      <c r="Q7355" s="25"/>
      <c r="R7355" s="25"/>
      <c r="S7355" s="25"/>
      <c r="T7355" s="141"/>
      <c r="U7355" s="28"/>
    </row>
    <row r="7356" ht="15.75" customHeight="1">
      <c r="P7356" s="25"/>
      <c r="Q7356" s="25"/>
      <c r="R7356" s="25"/>
      <c r="S7356" s="25"/>
      <c r="T7356" s="141"/>
      <c r="U7356" s="28"/>
    </row>
    <row r="7357" ht="15.75" customHeight="1">
      <c r="P7357" s="25"/>
      <c r="Q7357" s="25"/>
      <c r="R7357" s="25"/>
      <c r="S7357" s="25"/>
      <c r="T7357" s="141"/>
      <c r="U7357" s="28"/>
    </row>
    <row r="7358" ht="15.75" customHeight="1">
      <c r="P7358" s="25"/>
      <c r="Q7358" s="25"/>
      <c r="R7358" s="25"/>
      <c r="S7358" s="25"/>
      <c r="T7358" s="141"/>
      <c r="U7358" s="28"/>
    </row>
    <row r="7359" ht="15.75" customHeight="1">
      <c r="P7359" s="25"/>
      <c r="Q7359" s="25"/>
      <c r="R7359" s="25"/>
      <c r="S7359" s="25"/>
      <c r="T7359" s="141"/>
      <c r="U7359" s="28"/>
    </row>
    <row r="7360" ht="15.75" customHeight="1">
      <c r="P7360" s="25"/>
      <c r="Q7360" s="25"/>
      <c r="R7360" s="25"/>
      <c r="S7360" s="25"/>
      <c r="T7360" s="141"/>
      <c r="U7360" s="28"/>
    </row>
    <row r="7361" ht="15.75" customHeight="1">
      <c r="P7361" s="25"/>
      <c r="Q7361" s="25"/>
      <c r="R7361" s="25"/>
      <c r="S7361" s="25"/>
      <c r="T7361" s="141"/>
      <c r="U7361" s="28"/>
    </row>
    <row r="7362" ht="15.75" customHeight="1">
      <c r="P7362" s="25"/>
      <c r="Q7362" s="25"/>
      <c r="R7362" s="25"/>
      <c r="S7362" s="25"/>
      <c r="T7362" s="141"/>
      <c r="U7362" s="28"/>
    </row>
    <row r="7363" ht="15.75" customHeight="1">
      <c r="P7363" s="25"/>
      <c r="Q7363" s="25"/>
      <c r="R7363" s="25"/>
      <c r="S7363" s="25"/>
      <c r="T7363" s="141"/>
      <c r="U7363" s="28"/>
    </row>
    <row r="7364" ht="15.75" customHeight="1">
      <c r="P7364" s="25"/>
      <c r="Q7364" s="25"/>
      <c r="R7364" s="25"/>
      <c r="S7364" s="25"/>
      <c r="T7364" s="141"/>
      <c r="U7364" s="28"/>
    </row>
    <row r="7365" ht="15.75" customHeight="1">
      <c r="P7365" s="25"/>
      <c r="Q7365" s="25"/>
      <c r="R7365" s="25"/>
      <c r="S7365" s="25"/>
      <c r="T7365" s="141"/>
      <c r="U7365" s="28"/>
    </row>
    <row r="7366" ht="15.75" customHeight="1">
      <c r="P7366" s="25"/>
      <c r="Q7366" s="25"/>
      <c r="R7366" s="25"/>
      <c r="S7366" s="25"/>
      <c r="T7366" s="141"/>
      <c r="U7366" s="28"/>
    </row>
    <row r="7367" ht="15.75" customHeight="1">
      <c r="P7367" s="25"/>
      <c r="Q7367" s="25"/>
      <c r="R7367" s="25"/>
      <c r="S7367" s="25"/>
      <c r="T7367" s="141"/>
      <c r="U7367" s="28"/>
    </row>
    <row r="7368" ht="15.75" customHeight="1">
      <c r="P7368" s="25"/>
      <c r="Q7368" s="25"/>
      <c r="R7368" s="25"/>
      <c r="S7368" s="25"/>
      <c r="T7368" s="141"/>
      <c r="U7368" s="28"/>
    </row>
    <row r="7369" ht="15.75" customHeight="1">
      <c r="P7369" s="25"/>
      <c r="Q7369" s="25"/>
      <c r="R7369" s="25"/>
      <c r="S7369" s="25"/>
      <c r="T7369" s="141"/>
      <c r="U7369" s="28"/>
    </row>
    <row r="7370" ht="15.75" customHeight="1">
      <c r="P7370" s="25"/>
      <c r="Q7370" s="25"/>
      <c r="R7370" s="25"/>
      <c r="S7370" s="25"/>
      <c r="T7370" s="141"/>
      <c r="U7370" s="28"/>
    </row>
    <row r="7371" ht="15.75" customHeight="1">
      <c r="P7371" s="25"/>
      <c r="Q7371" s="25"/>
      <c r="R7371" s="25"/>
      <c r="S7371" s="25"/>
      <c r="T7371" s="141"/>
      <c r="U7371" s="28"/>
    </row>
    <row r="7372" ht="15.75" customHeight="1">
      <c r="P7372" s="25"/>
      <c r="Q7372" s="25"/>
      <c r="R7372" s="25"/>
      <c r="S7372" s="25"/>
      <c r="T7372" s="141"/>
      <c r="U7372" s="28"/>
    </row>
    <row r="7373" ht="15.75" customHeight="1">
      <c r="P7373" s="25"/>
      <c r="Q7373" s="25"/>
      <c r="R7373" s="25"/>
      <c r="S7373" s="25"/>
      <c r="T7373" s="141"/>
      <c r="U7373" s="28"/>
    </row>
    <row r="7374" ht="15.75" customHeight="1">
      <c r="P7374" s="25"/>
      <c r="Q7374" s="25"/>
      <c r="R7374" s="25"/>
      <c r="S7374" s="25"/>
      <c r="T7374" s="141"/>
      <c r="U7374" s="28"/>
    </row>
    <row r="7375" ht="15.75" customHeight="1">
      <c r="P7375" s="25"/>
      <c r="Q7375" s="25"/>
      <c r="R7375" s="25"/>
      <c r="S7375" s="25"/>
      <c r="T7375" s="141"/>
      <c r="U7375" s="28"/>
    </row>
    <row r="7376" ht="15.75" customHeight="1">
      <c r="P7376" s="25"/>
      <c r="Q7376" s="25"/>
      <c r="R7376" s="25"/>
      <c r="S7376" s="25"/>
      <c r="T7376" s="141"/>
      <c r="U7376" s="28"/>
    </row>
    <row r="7377" ht="15.75" customHeight="1">
      <c r="P7377" s="25"/>
      <c r="Q7377" s="25"/>
      <c r="R7377" s="25"/>
      <c r="S7377" s="25"/>
      <c r="T7377" s="141"/>
      <c r="U7377" s="28"/>
    </row>
    <row r="7378" ht="15.75" customHeight="1">
      <c r="P7378" s="25"/>
      <c r="Q7378" s="25"/>
      <c r="R7378" s="25"/>
      <c r="S7378" s="25"/>
      <c r="T7378" s="141"/>
      <c r="U7378" s="28"/>
    </row>
    <row r="7379" ht="15.75" customHeight="1">
      <c r="P7379" s="25"/>
      <c r="Q7379" s="25"/>
      <c r="R7379" s="25"/>
      <c r="S7379" s="25"/>
      <c r="T7379" s="141"/>
      <c r="U7379" s="28"/>
    </row>
    <row r="7380" ht="15.75" customHeight="1">
      <c r="P7380" s="25"/>
      <c r="Q7380" s="25"/>
      <c r="R7380" s="25"/>
      <c r="S7380" s="25"/>
      <c r="T7380" s="141"/>
      <c r="U7380" s="28"/>
    </row>
    <row r="7381" ht="15.75" customHeight="1">
      <c r="P7381" s="25"/>
      <c r="Q7381" s="25"/>
      <c r="R7381" s="25"/>
      <c r="S7381" s="25"/>
      <c r="T7381" s="141"/>
      <c r="U7381" s="28"/>
    </row>
    <row r="7382" ht="15.75" customHeight="1">
      <c r="P7382" s="25"/>
      <c r="Q7382" s="25"/>
      <c r="R7382" s="25"/>
      <c r="S7382" s="25"/>
      <c r="T7382" s="141"/>
      <c r="U7382" s="28"/>
    </row>
    <row r="7383" ht="15.75" customHeight="1">
      <c r="P7383" s="25"/>
      <c r="Q7383" s="25"/>
      <c r="R7383" s="25"/>
      <c r="S7383" s="25"/>
      <c r="T7383" s="141"/>
      <c r="U7383" s="28"/>
    </row>
    <row r="7384" ht="15.75" customHeight="1">
      <c r="P7384" s="25"/>
      <c r="Q7384" s="25"/>
      <c r="R7384" s="25"/>
      <c r="S7384" s="25"/>
      <c r="T7384" s="141"/>
      <c r="U7384" s="28"/>
    </row>
    <row r="7385" ht="15.75" customHeight="1">
      <c r="P7385" s="25"/>
      <c r="Q7385" s="25"/>
      <c r="R7385" s="25"/>
      <c r="S7385" s="25"/>
      <c r="T7385" s="141"/>
      <c r="U7385" s="28"/>
    </row>
    <row r="7386" ht="15.75" customHeight="1">
      <c r="P7386" s="25"/>
      <c r="Q7386" s="25"/>
      <c r="R7386" s="25"/>
      <c r="S7386" s="25"/>
      <c r="T7386" s="141"/>
      <c r="U7386" s="28"/>
    </row>
    <row r="7387" ht="15.75" customHeight="1">
      <c r="P7387" s="25"/>
      <c r="Q7387" s="25"/>
      <c r="R7387" s="25"/>
      <c r="S7387" s="25"/>
      <c r="T7387" s="141"/>
      <c r="U7387" s="28"/>
    </row>
    <row r="7388" ht="15.75" customHeight="1">
      <c r="P7388" s="25"/>
      <c r="Q7388" s="25"/>
      <c r="R7388" s="25"/>
      <c r="S7388" s="25"/>
      <c r="T7388" s="141"/>
      <c r="U7388" s="28"/>
    </row>
    <row r="7389" ht="15.75" customHeight="1">
      <c r="P7389" s="25"/>
      <c r="Q7389" s="25"/>
      <c r="R7389" s="25"/>
      <c r="S7389" s="25"/>
      <c r="T7389" s="141"/>
      <c r="U7389" s="28"/>
    </row>
    <row r="7390" ht="15.75" customHeight="1">
      <c r="P7390" s="25"/>
      <c r="Q7390" s="25"/>
      <c r="R7390" s="25"/>
      <c r="S7390" s="25"/>
      <c r="T7390" s="141"/>
      <c r="U7390" s="28"/>
    </row>
    <row r="7391" ht="15.75" customHeight="1">
      <c r="P7391" s="25"/>
      <c r="Q7391" s="25"/>
      <c r="R7391" s="25"/>
      <c r="S7391" s="25"/>
      <c r="T7391" s="141"/>
      <c r="U7391" s="28"/>
    </row>
    <row r="7392" ht="15.75" customHeight="1">
      <c r="P7392" s="25"/>
      <c r="Q7392" s="25"/>
      <c r="R7392" s="25"/>
      <c r="S7392" s="25"/>
      <c r="T7392" s="141"/>
      <c r="U7392" s="28"/>
    </row>
    <row r="7393" ht="15.75" customHeight="1">
      <c r="P7393" s="25"/>
      <c r="Q7393" s="25"/>
      <c r="R7393" s="25"/>
      <c r="S7393" s="25"/>
      <c r="T7393" s="141"/>
      <c r="U7393" s="28"/>
    </row>
    <row r="7394" ht="15.75" customHeight="1">
      <c r="P7394" s="25"/>
      <c r="Q7394" s="25"/>
      <c r="R7394" s="25"/>
      <c r="S7394" s="25"/>
      <c r="T7394" s="141"/>
      <c r="U7394" s="28"/>
    </row>
    <row r="7395" ht="15.75" customHeight="1">
      <c r="P7395" s="25"/>
      <c r="Q7395" s="25"/>
      <c r="R7395" s="25"/>
      <c r="S7395" s="25"/>
      <c r="T7395" s="141"/>
      <c r="U7395" s="28"/>
    </row>
    <row r="7396" ht="15.75" customHeight="1">
      <c r="P7396" s="25"/>
      <c r="Q7396" s="25"/>
      <c r="R7396" s="25"/>
      <c r="S7396" s="25"/>
      <c r="T7396" s="141"/>
      <c r="U7396" s="28"/>
    </row>
    <row r="7397" ht="15.75" customHeight="1">
      <c r="P7397" s="25"/>
      <c r="Q7397" s="25"/>
      <c r="R7397" s="25"/>
      <c r="S7397" s="25"/>
      <c r="T7397" s="141"/>
      <c r="U7397" s="28"/>
    </row>
    <row r="7398" ht="15.75" customHeight="1">
      <c r="P7398" s="25"/>
      <c r="Q7398" s="25"/>
      <c r="R7398" s="25"/>
      <c r="S7398" s="25"/>
      <c r="T7398" s="141"/>
      <c r="U7398" s="28"/>
    </row>
    <row r="7399" ht="15.75" customHeight="1">
      <c r="P7399" s="25"/>
      <c r="Q7399" s="25"/>
      <c r="R7399" s="25"/>
      <c r="S7399" s="25"/>
      <c r="T7399" s="141"/>
      <c r="U7399" s="28"/>
    </row>
    <row r="7400" ht="15.75" customHeight="1">
      <c r="P7400" s="25"/>
      <c r="Q7400" s="25"/>
      <c r="R7400" s="25"/>
      <c r="S7400" s="25"/>
      <c r="T7400" s="141"/>
      <c r="U7400" s="28"/>
    </row>
    <row r="7401" ht="15.75" customHeight="1">
      <c r="P7401" s="25"/>
      <c r="Q7401" s="25"/>
      <c r="R7401" s="25"/>
      <c r="S7401" s="25"/>
      <c r="T7401" s="141"/>
      <c r="U7401" s="28"/>
    </row>
    <row r="7402" ht="15.75" customHeight="1">
      <c r="P7402" s="25"/>
      <c r="Q7402" s="25"/>
      <c r="R7402" s="25"/>
      <c r="S7402" s="25"/>
      <c r="T7402" s="141"/>
      <c r="U7402" s="28"/>
    </row>
    <row r="7403" ht="15.75" customHeight="1">
      <c r="P7403" s="25"/>
      <c r="Q7403" s="25"/>
      <c r="R7403" s="25"/>
      <c r="S7403" s="25"/>
      <c r="T7403" s="141"/>
      <c r="U7403" s="28"/>
    </row>
    <row r="7404" ht="15.75" customHeight="1">
      <c r="P7404" s="25"/>
      <c r="Q7404" s="25"/>
      <c r="R7404" s="25"/>
      <c r="S7404" s="25"/>
      <c r="T7404" s="141"/>
      <c r="U7404" s="28"/>
    </row>
    <row r="7405" ht="15.75" customHeight="1">
      <c r="P7405" s="25"/>
      <c r="Q7405" s="25"/>
      <c r="R7405" s="25"/>
      <c r="S7405" s="25"/>
      <c r="T7405" s="141"/>
      <c r="U7405" s="28"/>
    </row>
    <row r="7406" ht="15.75" customHeight="1">
      <c r="P7406" s="25"/>
      <c r="Q7406" s="25"/>
      <c r="R7406" s="25"/>
      <c r="S7406" s="25"/>
      <c r="T7406" s="141"/>
      <c r="U7406" s="28"/>
    </row>
    <row r="7407" ht="15.75" customHeight="1">
      <c r="P7407" s="25"/>
      <c r="Q7407" s="25"/>
      <c r="R7407" s="25"/>
      <c r="S7407" s="25"/>
      <c r="T7407" s="141"/>
      <c r="U7407" s="28"/>
    </row>
    <row r="7408" ht="15.75" customHeight="1">
      <c r="P7408" s="25"/>
      <c r="Q7408" s="25"/>
      <c r="R7408" s="25"/>
      <c r="S7408" s="25"/>
      <c r="T7408" s="141"/>
      <c r="U7408" s="28"/>
    </row>
    <row r="7409" ht="15.75" customHeight="1">
      <c r="P7409" s="25"/>
      <c r="Q7409" s="25"/>
      <c r="R7409" s="25"/>
      <c r="S7409" s="25"/>
      <c r="T7409" s="141"/>
      <c r="U7409" s="28"/>
    </row>
    <row r="7410" ht="15.75" customHeight="1">
      <c r="P7410" s="25"/>
      <c r="Q7410" s="25"/>
      <c r="R7410" s="25"/>
      <c r="S7410" s="25"/>
      <c r="T7410" s="141"/>
      <c r="U7410" s="28"/>
    </row>
    <row r="7411" ht="15.75" customHeight="1">
      <c r="P7411" s="25"/>
      <c r="Q7411" s="25"/>
      <c r="R7411" s="25"/>
      <c r="S7411" s="25"/>
      <c r="T7411" s="141"/>
      <c r="U7411" s="28"/>
    </row>
    <row r="7412" ht="15.75" customHeight="1">
      <c r="P7412" s="25"/>
      <c r="Q7412" s="25"/>
      <c r="R7412" s="25"/>
      <c r="S7412" s="25"/>
      <c r="T7412" s="141"/>
      <c r="U7412" s="28"/>
    </row>
    <row r="7413" ht="15.75" customHeight="1">
      <c r="P7413" s="25"/>
      <c r="Q7413" s="25"/>
      <c r="R7413" s="25"/>
      <c r="S7413" s="25"/>
      <c r="T7413" s="141"/>
      <c r="U7413" s="28"/>
    </row>
    <row r="7414" ht="15.75" customHeight="1">
      <c r="P7414" s="25"/>
      <c r="Q7414" s="25"/>
      <c r="R7414" s="25"/>
      <c r="S7414" s="25"/>
      <c r="T7414" s="141"/>
      <c r="U7414" s="28"/>
    </row>
    <row r="7415" ht="15.75" customHeight="1">
      <c r="P7415" s="25"/>
      <c r="Q7415" s="25"/>
      <c r="R7415" s="25"/>
      <c r="S7415" s="25"/>
      <c r="T7415" s="141"/>
      <c r="U7415" s="28"/>
    </row>
    <row r="7416" ht="15.75" customHeight="1">
      <c r="P7416" s="25"/>
      <c r="Q7416" s="25"/>
      <c r="R7416" s="25"/>
      <c r="S7416" s="25"/>
      <c r="T7416" s="141"/>
      <c r="U7416" s="28"/>
    </row>
    <row r="7417" ht="15.75" customHeight="1">
      <c r="P7417" s="25"/>
      <c r="Q7417" s="25"/>
      <c r="R7417" s="25"/>
      <c r="S7417" s="25"/>
      <c r="T7417" s="141"/>
      <c r="U7417" s="28"/>
    </row>
    <row r="7418" ht="15.75" customHeight="1">
      <c r="P7418" s="25"/>
      <c r="Q7418" s="25"/>
      <c r="R7418" s="25"/>
      <c r="S7418" s="25"/>
      <c r="T7418" s="141"/>
      <c r="U7418" s="28"/>
    </row>
    <row r="7419" ht="15.75" customHeight="1">
      <c r="P7419" s="25"/>
      <c r="Q7419" s="25"/>
      <c r="R7419" s="25"/>
      <c r="S7419" s="25"/>
      <c r="T7419" s="141"/>
      <c r="U7419" s="28"/>
    </row>
    <row r="7420" ht="15.75" customHeight="1">
      <c r="P7420" s="25"/>
      <c r="Q7420" s="25"/>
      <c r="R7420" s="25"/>
      <c r="S7420" s="25"/>
      <c r="T7420" s="141"/>
      <c r="U7420" s="28"/>
    </row>
    <row r="7421" ht="15.75" customHeight="1">
      <c r="P7421" s="25"/>
      <c r="Q7421" s="25"/>
      <c r="R7421" s="25"/>
      <c r="S7421" s="25"/>
      <c r="T7421" s="141"/>
      <c r="U7421" s="28"/>
    </row>
    <row r="7422" ht="15.75" customHeight="1">
      <c r="P7422" s="25"/>
      <c r="Q7422" s="25"/>
      <c r="R7422" s="25"/>
      <c r="S7422" s="25"/>
      <c r="T7422" s="141"/>
      <c r="U7422" s="28"/>
    </row>
    <row r="7423" ht="15.75" customHeight="1">
      <c r="P7423" s="25"/>
      <c r="Q7423" s="25"/>
      <c r="R7423" s="25"/>
      <c r="S7423" s="25"/>
      <c r="T7423" s="141"/>
      <c r="U7423" s="28"/>
    </row>
    <row r="7424" ht="15.75" customHeight="1">
      <c r="P7424" s="25"/>
      <c r="Q7424" s="25"/>
      <c r="R7424" s="25"/>
      <c r="S7424" s="25"/>
      <c r="T7424" s="141"/>
      <c r="U7424" s="28"/>
    </row>
    <row r="7425" ht="15.75" customHeight="1">
      <c r="P7425" s="25"/>
      <c r="Q7425" s="25"/>
      <c r="R7425" s="25"/>
      <c r="S7425" s="25"/>
      <c r="T7425" s="141"/>
      <c r="U7425" s="28"/>
    </row>
    <row r="7426" ht="15.75" customHeight="1">
      <c r="P7426" s="25"/>
      <c r="Q7426" s="25"/>
      <c r="R7426" s="25"/>
      <c r="S7426" s="25"/>
      <c r="T7426" s="141"/>
      <c r="U7426" s="28"/>
    </row>
    <row r="7427" ht="15.75" customHeight="1">
      <c r="P7427" s="25"/>
      <c r="Q7427" s="25"/>
      <c r="R7427" s="25"/>
      <c r="S7427" s="25"/>
      <c r="T7427" s="141"/>
      <c r="U7427" s="28"/>
    </row>
    <row r="7428" ht="15.75" customHeight="1">
      <c r="P7428" s="25"/>
      <c r="Q7428" s="25"/>
      <c r="R7428" s="25"/>
      <c r="S7428" s="25"/>
      <c r="T7428" s="141"/>
      <c r="U7428" s="28"/>
    </row>
    <row r="7429" ht="15.75" customHeight="1">
      <c r="P7429" s="25"/>
      <c r="Q7429" s="25"/>
      <c r="R7429" s="25"/>
      <c r="S7429" s="25"/>
      <c r="T7429" s="141"/>
      <c r="U7429" s="28"/>
    </row>
    <row r="7430" ht="15.75" customHeight="1">
      <c r="P7430" s="25"/>
      <c r="Q7430" s="25"/>
      <c r="R7430" s="25"/>
      <c r="S7430" s="25"/>
      <c r="T7430" s="141"/>
      <c r="U7430" s="28"/>
    </row>
    <row r="7431" ht="15.75" customHeight="1">
      <c r="P7431" s="25"/>
      <c r="Q7431" s="25"/>
      <c r="R7431" s="25"/>
      <c r="S7431" s="25"/>
      <c r="T7431" s="141"/>
      <c r="U7431" s="28"/>
    </row>
    <row r="7432" ht="15.75" customHeight="1">
      <c r="P7432" s="25"/>
      <c r="Q7432" s="25"/>
      <c r="R7432" s="25"/>
      <c r="S7432" s="25"/>
      <c r="T7432" s="141"/>
      <c r="U7432" s="28"/>
    </row>
    <row r="7433" ht="15.75" customHeight="1">
      <c r="P7433" s="25"/>
      <c r="Q7433" s="25"/>
      <c r="R7433" s="25"/>
      <c r="S7433" s="25"/>
      <c r="T7433" s="141"/>
      <c r="U7433" s="28"/>
    </row>
    <row r="7434" ht="15.75" customHeight="1">
      <c r="P7434" s="25"/>
      <c r="Q7434" s="25"/>
      <c r="R7434" s="25"/>
      <c r="S7434" s="25"/>
      <c r="T7434" s="141"/>
      <c r="U7434" s="28"/>
    </row>
    <row r="7435" ht="15.75" customHeight="1">
      <c r="P7435" s="25"/>
      <c r="Q7435" s="25"/>
      <c r="R7435" s="25"/>
      <c r="S7435" s="25"/>
      <c r="T7435" s="141"/>
      <c r="U7435" s="28"/>
    </row>
    <row r="7436" ht="15.75" customHeight="1">
      <c r="P7436" s="25"/>
      <c r="Q7436" s="25"/>
      <c r="R7436" s="25"/>
      <c r="S7436" s="25"/>
      <c r="T7436" s="141"/>
      <c r="U7436" s="28"/>
    </row>
    <row r="7437" ht="15.75" customHeight="1">
      <c r="P7437" s="25"/>
      <c r="Q7437" s="25"/>
      <c r="R7437" s="25"/>
      <c r="S7437" s="25"/>
      <c r="T7437" s="141"/>
      <c r="U7437" s="28"/>
    </row>
    <row r="7438" ht="15.75" customHeight="1">
      <c r="P7438" s="25"/>
      <c r="Q7438" s="25"/>
      <c r="R7438" s="25"/>
      <c r="S7438" s="25"/>
      <c r="T7438" s="141"/>
      <c r="U7438" s="28"/>
    </row>
    <row r="7439" ht="15.75" customHeight="1">
      <c r="P7439" s="25"/>
      <c r="Q7439" s="25"/>
      <c r="R7439" s="25"/>
      <c r="S7439" s="25"/>
      <c r="T7439" s="141"/>
      <c r="U7439" s="28"/>
    </row>
    <row r="7440" ht="15.75" customHeight="1">
      <c r="P7440" s="25"/>
      <c r="Q7440" s="25"/>
      <c r="R7440" s="25"/>
      <c r="S7440" s="25"/>
      <c r="T7440" s="141"/>
      <c r="U7440" s="28"/>
    </row>
    <row r="7441" ht="15.75" customHeight="1">
      <c r="P7441" s="25"/>
      <c r="Q7441" s="25"/>
      <c r="R7441" s="25"/>
      <c r="S7441" s="25"/>
      <c r="T7441" s="141"/>
      <c r="U7441" s="28"/>
    </row>
    <row r="7442" ht="15.75" customHeight="1">
      <c r="P7442" s="25"/>
      <c r="Q7442" s="25"/>
      <c r="R7442" s="25"/>
      <c r="S7442" s="25"/>
      <c r="T7442" s="141"/>
      <c r="U7442" s="28"/>
    </row>
    <row r="7443" ht="15.75" customHeight="1">
      <c r="P7443" s="25"/>
      <c r="Q7443" s="25"/>
      <c r="R7443" s="25"/>
      <c r="S7443" s="25"/>
      <c r="T7443" s="141"/>
      <c r="U7443" s="28"/>
    </row>
    <row r="7444" ht="15.75" customHeight="1">
      <c r="P7444" s="25"/>
      <c r="Q7444" s="25"/>
      <c r="R7444" s="25"/>
      <c r="S7444" s="25"/>
      <c r="T7444" s="141"/>
      <c r="U7444" s="28"/>
    </row>
    <row r="7445" ht="15.75" customHeight="1">
      <c r="P7445" s="25"/>
      <c r="Q7445" s="25"/>
      <c r="R7445" s="25"/>
      <c r="S7445" s="25"/>
      <c r="T7445" s="141"/>
      <c r="U7445" s="28"/>
    </row>
    <row r="7446" ht="15.75" customHeight="1">
      <c r="P7446" s="25"/>
      <c r="Q7446" s="25"/>
      <c r="R7446" s="25"/>
      <c r="S7446" s="25"/>
      <c r="T7446" s="141"/>
      <c r="U7446" s="28"/>
    </row>
    <row r="7447" ht="15.75" customHeight="1">
      <c r="P7447" s="25"/>
      <c r="Q7447" s="25"/>
      <c r="R7447" s="25"/>
      <c r="S7447" s="25"/>
      <c r="T7447" s="141"/>
      <c r="U7447" s="28"/>
    </row>
    <row r="7448" ht="15.75" customHeight="1">
      <c r="P7448" s="25"/>
      <c r="Q7448" s="25"/>
      <c r="R7448" s="25"/>
      <c r="S7448" s="25"/>
      <c r="T7448" s="141"/>
      <c r="U7448" s="28"/>
    </row>
    <row r="7449" ht="15.75" customHeight="1">
      <c r="P7449" s="25"/>
      <c r="Q7449" s="25"/>
      <c r="R7449" s="25"/>
      <c r="S7449" s="25"/>
      <c r="T7449" s="141"/>
      <c r="U7449" s="28"/>
    </row>
    <row r="7450" ht="15.75" customHeight="1">
      <c r="P7450" s="25"/>
      <c r="Q7450" s="25"/>
      <c r="R7450" s="25"/>
      <c r="S7450" s="25"/>
      <c r="T7450" s="141"/>
      <c r="U7450" s="28"/>
    </row>
    <row r="7451" ht="15.75" customHeight="1">
      <c r="P7451" s="25"/>
      <c r="Q7451" s="25"/>
      <c r="R7451" s="25"/>
      <c r="S7451" s="25"/>
      <c r="T7451" s="141"/>
      <c r="U7451" s="28"/>
    </row>
    <row r="7452" ht="15.75" customHeight="1">
      <c r="P7452" s="25"/>
      <c r="Q7452" s="25"/>
      <c r="R7452" s="25"/>
      <c r="S7452" s="25"/>
      <c r="T7452" s="141"/>
      <c r="U7452" s="28"/>
    </row>
    <row r="7453" ht="15.75" customHeight="1">
      <c r="P7453" s="25"/>
      <c r="Q7453" s="25"/>
      <c r="R7453" s="25"/>
      <c r="S7453" s="25"/>
      <c r="T7453" s="141"/>
      <c r="U7453" s="28"/>
    </row>
    <row r="7454" ht="15.75" customHeight="1">
      <c r="P7454" s="25"/>
      <c r="Q7454" s="25"/>
      <c r="R7454" s="25"/>
      <c r="S7454" s="25"/>
      <c r="T7454" s="141"/>
      <c r="U7454" s="28"/>
    </row>
    <row r="7455" ht="15.75" customHeight="1">
      <c r="P7455" s="25"/>
      <c r="Q7455" s="25"/>
      <c r="R7455" s="25"/>
      <c r="S7455" s="25"/>
      <c r="T7455" s="141"/>
      <c r="U7455" s="28"/>
    </row>
    <row r="7456" ht="15.75" customHeight="1">
      <c r="P7456" s="25"/>
      <c r="Q7456" s="25"/>
      <c r="R7456" s="25"/>
      <c r="S7456" s="25"/>
      <c r="T7456" s="141"/>
      <c r="U7456" s="28"/>
    </row>
    <row r="7457" ht="15.75" customHeight="1">
      <c r="P7457" s="25"/>
      <c r="Q7457" s="25"/>
      <c r="R7457" s="25"/>
      <c r="S7457" s="25"/>
      <c r="T7457" s="141"/>
      <c r="U7457" s="28"/>
    </row>
    <row r="7458" ht="15.75" customHeight="1">
      <c r="P7458" s="25"/>
      <c r="Q7458" s="25"/>
      <c r="R7458" s="25"/>
      <c r="S7458" s="25"/>
      <c r="T7458" s="141"/>
      <c r="U7458" s="28"/>
    </row>
    <row r="7459" ht="15.75" customHeight="1">
      <c r="P7459" s="25"/>
      <c r="Q7459" s="25"/>
      <c r="R7459" s="25"/>
      <c r="S7459" s="25"/>
      <c r="T7459" s="141"/>
      <c r="U7459" s="28"/>
    </row>
    <row r="7460" ht="15.75" customHeight="1">
      <c r="P7460" s="25"/>
      <c r="Q7460" s="25"/>
      <c r="R7460" s="25"/>
      <c r="S7460" s="25"/>
      <c r="T7460" s="141"/>
      <c r="U7460" s="28"/>
    </row>
    <row r="7461" ht="15.75" customHeight="1">
      <c r="P7461" s="25"/>
      <c r="Q7461" s="25"/>
      <c r="R7461" s="25"/>
      <c r="S7461" s="25"/>
      <c r="T7461" s="141"/>
      <c r="U7461" s="28"/>
    </row>
    <row r="7462" ht="15.75" customHeight="1">
      <c r="P7462" s="25"/>
      <c r="Q7462" s="25"/>
      <c r="R7462" s="25"/>
      <c r="S7462" s="25"/>
      <c r="T7462" s="141"/>
      <c r="U7462" s="28"/>
    </row>
    <row r="7463" ht="15.75" customHeight="1">
      <c r="P7463" s="25"/>
      <c r="Q7463" s="25"/>
      <c r="R7463" s="25"/>
      <c r="S7463" s="25"/>
      <c r="T7463" s="141"/>
      <c r="U7463" s="28"/>
    </row>
    <row r="7464" ht="15.75" customHeight="1">
      <c r="P7464" s="25"/>
      <c r="Q7464" s="25"/>
      <c r="R7464" s="25"/>
      <c r="S7464" s="25"/>
      <c r="T7464" s="141"/>
      <c r="U7464" s="28"/>
    </row>
    <row r="7465" ht="15.75" customHeight="1">
      <c r="P7465" s="25"/>
      <c r="Q7465" s="25"/>
      <c r="R7465" s="25"/>
      <c r="S7465" s="25"/>
      <c r="T7465" s="141"/>
      <c r="U7465" s="28"/>
    </row>
    <row r="7466" ht="15.75" customHeight="1">
      <c r="P7466" s="25"/>
      <c r="Q7466" s="25"/>
      <c r="R7466" s="25"/>
      <c r="S7466" s="25"/>
      <c r="T7466" s="141"/>
      <c r="U7466" s="28"/>
    </row>
    <row r="7467" ht="15.75" customHeight="1">
      <c r="P7467" s="25"/>
      <c r="Q7467" s="25"/>
      <c r="R7467" s="25"/>
      <c r="S7467" s="25"/>
      <c r="T7467" s="141"/>
      <c r="U7467" s="28"/>
    </row>
    <row r="7468" ht="15.75" customHeight="1">
      <c r="P7468" s="25"/>
      <c r="Q7468" s="25"/>
      <c r="R7468" s="25"/>
      <c r="S7468" s="25"/>
      <c r="T7468" s="141"/>
      <c r="U7468" s="28"/>
    </row>
    <row r="7469" ht="15.75" customHeight="1">
      <c r="P7469" s="25"/>
      <c r="Q7469" s="25"/>
      <c r="R7469" s="25"/>
      <c r="S7469" s="25"/>
      <c r="T7469" s="141"/>
      <c r="U7469" s="28"/>
    </row>
    <row r="7470" ht="15.75" customHeight="1">
      <c r="P7470" s="25"/>
      <c r="Q7470" s="25"/>
      <c r="R7470" s="25"/>
      <c r="S7470" s="25"/>
      <c r="T7470" s="141"/>
      <c r="U7470" s="28"/>
    </row>
    <row r="7471" ht="15.75" customHeight="1">
      <c r="P7471" s="25"/>
      <c r="Q7471" s="25"/>
      <c r="R7471" s="25"/>
      <c r="S7471" s="25"/>
      <c r="T7471" s="141"/>
      <c r="U7471" s="28"/>
    </row>
    <row r="7472" ht="15.75" customHeight="1">
      <c r="P7472" s="25"/>
      <c r="Q7472" s="25"/>
      <c r="R7472" s="25"/>
      <c r="S7472" s="25"/>
      <c r="T7472" s="141"/>
      <c r="U7472" s="28"/>
    </row>
    <row r="7473" ht="15.75" customHeight="1">
      <c r="P7473" s="25"/>
      <c r="Q7473" s="25"/>
      <c r="R7473" s="25"/>
      <c r="S7473" s="25"/>
      <c r="T7473" s="141"/>
      <c r="U7473" s="28"/>
    </row>
    <row r="7474" ht="15.75" customHeight="1">
      <c r="P7474" s="25"/>
      <c r="Q7474" s="25"/>
      <c r="R7474" s="25"/>
      <c r="S7474" s="25"/>
      <c r="T7474" s="141"/>
      <c r="U7474" s="28"/>
    </row>
    <row r="7475" ht="15.75" customHeight="1">
      <c r="P7475" s="25"/>
      <c r="Q7475" s="25"/>
      <c r="R7475" s="25"/>
      <c r="S7475" s="25"/>
      <c r="T7475" s="141"/>
      <c r="U7475" s="28"/>
    </row>
    <row r="7476" ht="15.75" customHeight="1">
      <c r="P7476" s="25"/>
      <c r="Q7476" s="25"/>
      <c r="R7476" s="25"/>
      <c r="S7476" s="25"/>
      <c r="T7476" s="141"/>
      <c r="U7476" s="28"/>
    </row>
    <row r="7477" ht="15.75" customHeight="1">
      <c r="P7477" s="25"/>
      <c r="Q7477" s="25"/>
      <c r="R7477" s="25"/>
      <c r="S7477" s="25"/>
      <c r="T7477" s="141"/>
      <c r="U7477" s="28"/>
    </row>
    <row r="7478" ht="15.75" customHeight="1">
      <c r="P7478" s="25"/>
      <c r="Q7478" s="25"/>
      <c r="R7478" s="25"/>
      <c r="S7478" s="25"/>
      <c r="T7478" s="141"/>
      <c r="U7478" s="28"/>
    </row>
    <row r="7479" ht="15.75" customHeight="1">
      <c r="P7479" s="25"/>
      <c r="Q7479" s="25"/>
      <c r="R7479" s="25"/>
      <c r="S7479" s="25"/>
      <c r="T7479" s="141"/>
      <c r="U7479" s="28"/>
    </row>
    <row r="7480" ht="15.75" customHeight="1">
      <c r="P7480" s="25"/>
      <c r="Q7480" s="25"/>
      <c r="R7480" s="25"/>
      <c r="S7480" s="25"/>
      <c r="T7480" s="141"/>
      <c r="U7480" s="28"/>
    </row>
    <row r="7481" ht="15.75" customHeight="1">
      <c r="P7481" s="25"/>
      <c r="Q7481" s="25"/>
      <c r="R7481" s="25"/>
      <c r="S7481" s="25"/>
      <c r="T7481" s="141"/>
      <c r="U7481" s="28"/>
    </row>
    <row r="7482" ht="15.75" customHeight="1">
      <c r="P7482" s="25"/>
      <c r="Q7482" s="25"/>
      <c r="R7482" s="25"/>
      <c r="S7482" s="25"/>
      <c r="T7482" s="141"/>
      <c r="U7482" s="28"/>
    </row>
    <row r="7483" ht="15.75" customHeight="1">
      <c r="P7483" s="25"/>
      <c r="Q7483" s="25"/>
      <c r="R7483" s="25"/>
      <c r="S7483" s="25"/>
      <c r="T7483" s="141"/>
      <c r="U7483" s="28"/>
    </row>
    <row r="7484" ht="15.75" customHeight="1">
      <c r="P7484" s="25"/>
      <c r="Q7484" s="25"/>
      <c r="R7484" s="25"/>
      <c r="S7484" s="25"/>
      <c r="T7484" s="141"/>
      <c r="U7484" s="28"/>
    </row>
    <row r="7485" ht="15.75" customHeight="1">
      <c r="P7485" s="25"/>
      <c r="Q7485" s="25"/>
      <c r="R7485" s="25"/>
      <c r="S7485" s="25"/>
      <c r="T7485" s="141"/>
      <c r="U7485" s="28"/>
    </row>
    <row r="7486" ht="15.75" customHeight="1">
      <c r="P7486" s="25"/>
      <c r="Q7486" s="25"/>
      <c r="R7486" s="25"/>
      <c r="S7486" s="25"/>
      <c r="T7486" s="141"/>
      <c r="U7486" s="28"/>
    </row>
    <row r="7487" ht="15.75" customHeight="1">
      <c r="P7487" s="25"/>
      <c r="Q7487" s="25"/>
      <c r="R7487" s="25"/>
      <c r="S7487" s="25"/>
      <c r="T7487" s="141"/>
      <c r="U7487" s="28"/>
    </row>
    <row r="7488" ht="15.75" customHeight="1">
      <c r="P7488" s="25"/>
      <c r="Q7488" s="25"/>
      <c r="R7488" s="25"/>
      <c r="S7488" s="25"/>
      <c r="T7488" s="141"/>
      <c r="U7488" s="28"/>
    </row>
    <row r="7489" ht="15.75" customHeight="1">
      <c r="P7489" s="25"/>
      <c r="Q7489" s="25"/>
      <c r="R7489" s="25"/>
      <c r="S7489" s="25"/>
      <c r="T7489" s="141"/>
      <c r="U7489" s="28"/>
    </row>
    <row r="7490" ht="15.75" customHeight="1">
      <c r="P7490" s="25"/>
      <c r="Q7490" s="25"/>
      <c r="R7490" s="25"/>
      <c r="S7490" s="25"/>
      <c r="T7490" s="141"/>
      <c r="U7490" s="28"/>
    </row>
    <row r="7491" ht="15.75" customHeight="1">
      <c r="P7491" s="25"/>
      <c r="Q7491" s="25"/>
      <c r="R7491" s="25"/>
      <c r="S7491" s="25"/>
      <c r="T7491" s="141"/>
      <c r="U7491" s="28"/>
    </row>
    <row r="7492" ht="15.75" customHeight="1">
      <c r="P7492" s="25"/>
      <c r="Q7492" s="25"/>
      <c r="R7492" s="25"/>
      <c r="S7492" s="25"/>
      <c r="T7492" s="141"/>
      <c r="U7492" s="28"/>
    </row>
    <row r="7493" ht="15.75" customHeight="1">
      <c r="P7493" s="25"/>
      <c r="Q7493" s="25"/>
      <c r="R7493" s="25"/>
      <c r="S7493" s="25"/>
      <c r="T7493" s="141"/>
      <c r="U7493" s="28"/>
    </row>
    <row r="7494" ht="15.75" customHeight="1">
      <c r="P7494" s="25"/>
      <c r="Q7494" s="25"/>
      <c r="R7494" s="25"/>
      <c r="S7494" s="25"/>
      <c r="T7494" s="141"/>
      <c r="U7494" s="28"/>
    </row>
    <row r="7495" ht="15.75" customHeight="1">
      <c r="P7495" s="25"/>
      <c r="Q7495" s="25"/>
      <c r="R7495" s="25"/>
      <c r="S7495" s="25"/>
      <c r="T7495" s="141"/>
      <c r="U7495" s="28"/>
    </row>
    <row r="7496" ht="15.75" customHeight="1">
      <c r="P7496" s="25"/>
      <c r="Q7496" s="25"/>
      <c r="R7496" s="25"/>
      <c r="S7496" s="25"/>
      <c r="T7496" s="141"/>
      <c r="U7496" s="28"/>
    </row>
    <row r="7497" ht="15.75" customHeight="1">
      <c r="P7497" s="25"/>
      <c r="Q7497" s="25"/>
      <c r="R7497" s="25"/>
      <c r="S7497" s="25"/>
      <c r="T7497" s="141"/>
      <c r="U7497" s="28"/>
    </row>
    <row r="7498" ht="15.75" customHeight="1">
      <c r="P7498" s="25"/>
      <c r="Q7498" s="25"/>
      <c r="R7498" s="25"/>
      <c r="S7498" s="25"/>
      <c r="T7498" s="141"/>
      <c r="U7498" s="28"/>
    </row>
    <row r="7499" ht="15.75" customHeight="1">
      <c r="P7499" s="25"/>
      <c r="Q7499" s="25"/>
      <c r="R7499" s="25"/>
      <c r="S7499" s="25"/>
      <c r="T7499" s="141"/>
      <c r="U7499" s="28"/>
    </row>
    <row r="7500" ht="15.75" customHeight="1">
      <c r="P7500" s="25"/>
      <c r="Q7500" s="25"/>
      <c r="R7500" s="25"/>
      <c r="S7500" s="25"/>
      <c r="T7500" s="141"/>
      <c r="U7500" s="28"/>
    </row>
    <row r="7501" ht="15.75" customHeight="1">
      <c r="P7501" s="25"/>
      <c r="Q7501" s="25"/>
      <c r="R7501" s="25"/>
      <c r="S7501" s="25"/>
      <c r="T7501" s="141"/>
      <c r="U7501" s="28"/>
    </row>
    <row r="7502" ht="15.75" customHeight="1">
      <c r="P7502" s="25"/>
      <c r="Q7502" s="25"/>
      <c r="R7502" s="25"/>
      <c r="S7502" s="25"/>
      <c r="T7502" s="141"/>
      <c r="U7502" s="28"/>
    </row>
    <row r="7503" ht="15.75" customHeight="1">
      <c r="P7503" s="25"/>
      <c r="Q7503" s="25"/>
      <c r="R7503" s="25"/>
      <c r="S7503" s="25"/>
      <c r="T7503" s="141"/>
      <c r="U7503" s="28"/>
    </row>
    <row r="7504" ht="15.75" customHeight="1">
      <c r="P7504" s="25"/>
      <c r="Q7504" s="25"/>
      <c r="R7504" s="25"/>
      <c r="S7504" s="25"/>
      <c r="T7504" s="141"/>
      <c r="U7504" s="28"/>
    </row>
    <row r="7505" ht="15.75" customHeight="1">
      <c r="P7505" s="25"/>
      <c r="Q7505" s="25"/>
      <c r="R7505" s="25"/>
      <c r="S7505" s="25"/>
      <c r="T7505" s="141"/>
      <c r="U7505" s="28"/>
    </row>
    <row r="7506" ht="15.75" customHeight="1">
      <c r="P7506" s="25"/>
      <c r="Q7506" s="25"/>
      <c r="R7506" s="25"/>
      <c r="S7506" s="25"/>
      <c r="T7506" s="141"/>
      <c r="U7506" s="28"/>
    </row>
    <row r="7507" ht="15.75" customHeight="1">
      <c r="P7507" s="25"/>
      <c r="Q7507" s="25"/>
      <c r="R7507" s="25"/>
      <c r="S7507" s="25"/>
      <c r="T7507" s="141"/>
      <c r="U7507" s="28"/>
    </row>
    <row r="7508" ht="15.75" customHeight="1">
      <c r="P7508" s="25"/>
      <c r="Q7508" s="25"/>
      <c r="R7508" s="25"/>
      <c r="S7508" s="25"/>
      <c r="T7508" s="141"/>
      <c r="U7508" s="28"/>
    </row>
    <row r="7509" ht="15.75" customHeight="1">
      <c r="P7509" s="25"/>
      <c r="Q7509" s="25"/>
      <c r="R7509" s="25"/>
      <c r="S7509" s="25"/>
      <c r="T7509" s="141"/>
      <c r="U7509" s="28"/>
    </row>
    <row r="7510" ht="15.75" customHeight="1">
      <c r="P7510" s="25"/>
      <c r="Q7510" s="25"/>
      <c r="R7510" s="25"/>
      <c r="S7510" s="25"/>
      <c r="T7510" s="141"/>
      <c r="U7510" s="28"/>
    </row>
    <row r="7511" ht="15.75" customHeight="1">
      <c r="P7511" s="25"/>
      <c r="Q7511" s="25"/>
      <c r="R7511" s="25"/>
      <c r="S7511" s="25"/>
      <c r="T7511" s="141"/>
      <c r="U7511" s="28"/>
    </row>
    <row r="7512" ht="15.75" customHeight="1">
      <c r="P7512" s="25"/>
      <c r="Q7512" s="25"/>
      <c r="R7512" s="25"/>
      <c r="S7512" s="25"/>
      <c r="T7512" s="141"/>
      <c r="U7512" s="28"/>
    </row>
    <row r="7513" ht="15.75" customHeight="1">
      <c r="P7513" s="25"/>
      <c r="Q7513" s="25"/>
      <c r="R7513" s="25"/>
      <c r="S7513" s="25"/>
      <c r="T7513" s="141"/>
      <c r="U7513" s="28"/>
    </row>
    <row r="7514" ht="15.75" customHeight="1">
      <c r="P7514" s="25"/>
      <c r="Q7514" s="25"/>
      <c r="R7514" s="25"/>
      <c r="S7514" s="25"/>
      <c r="T7514" s="141"/>
      <c r="U7514" s="28"/>
    </row>
    <row r="7515" ht="15.75" customHeight="1">
      <c r="P7515" s="25"/>
      <c r="Q7515" s="25"/>
      <c r="R7515" s="25"/>
      <c r="S7515" s="25"/>
      <c r="T7515" s="141"/>
      <c r="U7515" s="28"/>
    </row>
    <row r="7516" ht="15.75" customHeight="1">
      <c r="P7516" s="25"/>
      <c r="Q7516" s="25"/>
      <c r="R7516" s="25"/>
      <c r="S7516" s="25"/>
      <c r="T7516" s="141"/>
      <c r="U7516" s="28"/>
    </row>
    <row r="7517" ht="15.75" customHeight="1">
      <c r="P7517" s="25"/>
      <c r="Q7517" s="25"/>
      <c r="R7517" s="25"/>
      <c r="S7517" s="25"/>
      <c r="T7517" s="141"/>
      <c r="U7517" s="28"/>
    </row>
    <row r="7518" ht="15.75" customHeight="1">
      <c r="P7518" s="25"/>
      <c r="Q7518" s="25"/>
      <c r="R7518" s="25"/>
      <c r="S7518" s="25"/>
      <c r="T7518" s="141"/>
      <c r="U7518" s="28"/>
    </row>
    <row r="7519" ht="15.75" customHeight="1">
      <c r="P7519" s="25"/>
      <c r="Q7519" s="25"/>
      <c r="R7519" s="25"/>
      <c r="S7519" s="25"/>
      <c r="T7519" s="141"/>
      <c r="U7519" s="28"/>
    </row>
    <row r="7520" ht="15.75" customHeight="1">
      <c r="P7520" s="25"/>
      <c r="Q7520" s="25"/>
      <c r="R7520" s="25"/>
      <c r="S7520" s="25"/>
      <c r="T7520" s="141"/>
      <c r="U7520" s="28"/>
    </row>
    <row r="7521" ht="15.75" customHeight="1">
      <c r="P7521" s="25"/>
      <c r="Q7521" s="25"/>
      <c r="R7521" s="25"/>
      <c r="S7521" s="25"/>
      <c r="T7521" s="141"/>
      <c r="U7521" s="28"/>
    </row>
    <row r="7522" ht="15.75" customHeight="1">
      <c r="P7522" s="25"/>
      <c r="Q7522" s="25"/>
      <c r="R7522" s="25"/>
      <c r="S7522" s="25"/>
      <c r="T7522" s="141"/>
      <c r="U7522" s="28"/>
    </row>
    <row r="7523" ht="15.75" customHeight="1">
      <c r="P7523" s="25"/>
      <c r="Q7523" s="25"/>
      <c r="R7523" s="25"/>
      <c r="S7523" s="25"/>
      <c r="T7523" s="141"/>
      <c r="U7523" s="28"/>
    </row>
    <row r="7524" ht="15.75" customHeight="1">
      <c r="P7524" s="25"/>
      <c r="Q7524" s="25"/>
      <c r="R7524" s="25"/>
      <c r="S7524" s="25"/>
      <c r="T7524" s="141"/>
      <c r="U7524" s="28"/>
    </row>
    <row r="7525" ht="15.75" customHeight="1">
      <c r="P7525" s="25"/>
      <c r="Q7525" s="25"/>
      <c r="R7525" s="25"/>
      <c r="S7525" s="25"/>
      <c r="T7525" s="141"/>
      <c r="U7525" s="28"/>
    </row>
    <row r="7526" ht="15.75" customHeight="1">
      <c r="P7526" s="25"/>
      <c r="Q7526" s="25"/>
      <c r="R7526" s="25"/>
      <c r="S7526" s="25"/>
      <c r="T7526" s="141"/>
      <c r="U7526" s="28"/>
    </row>
    <row r="7527" ht="15.75" customHeight="1">
      <c r="P7527" s="25"/>
      <c r="Q7527" s="25"/>
      <c r="R7527" s="25"/>
      <c r="S7527" s="25"/>
      <c r="T7527" s="141"/>
      <c r="U7527" s="28"/>
    </row>
    <row r="7528" ht="15.75" customHeight="1">
      <c r="P7528" s="25"/>
      <c r="Q7528" s="25"/>
      <c r="R7528" s="25"/>
      <c r="S7528" s="25"/>
      <c r="T7528" s="141"/>
      <c r="U7528" s="28"/>
    </row>
    <row r="7529" ht="15.75" customHeight="1">
      <c r="P7529" s="25"/>
      <c r="Q7529" s="25"/>
      <c r="R7529" s="25"/>
      <c r="S7529" s="25"/>
      <c r="T7529" s="141"/>
      <c r="U7529" s="28"/>
    </row>
    <row r="7530" ht="15.75" customHeight="1">
      <c r="P7530" s="25"/>
      <c r="Q7530" s="25"/>
      <c r="R7530" s="25"/>
      <c r="S7530" s="25"/>
      <c r="T7530" s="141"/>
      <c r="U7530" s="28"/>
    </row>
    <row r="7531" ht="15.75" customHeight="1">
      <c r="P7531" s="25"/>
      <c r="Q7531" s="25"/>
      <c r="R7531" s="25"/>
      <c r="S7531" s="25"/>
      <c r="T7531" s="141"/>
      <c r="U7531" s="28"/>
    </row>
    <row r="7532" ht="15.75" customHeight="1">
      <c r="P7532" s="25"/>
      <c r="Q7532" s="25"/>
      <c r="R7532" s="25"/>
      <c r="S7532" s="25"/>
      <c r="T7532" s="141"/>
      <c r="U7532" s="28"/>
    </row>
    <row r="7533" ht="15.75" customHeight="1">
      <c r="P7533" s="25"/>
      <c r="Q7533" s="25"/>
      <c r="R7533" s="25"/>
      <c r="S7533" s="25"/>
      <c r="T7533" s="141"/>
      <c r="U7533" s="28"/>
    </row>
    <row r="7534" ht="15.75" customHeight="1">
      <c r="P7534" s="25"/>
      <c r="Q7534" s="25"/>
      <c r="R7534" s="25"/>
      <c r="S7534" s="25"/>
      <c r="T7534" s="141"/>
      <c r="U7534" s="28"/>
    </row>
    <row r="7535" ht="15.75" customHeight="1">
      <c r="P7535" s="25"/>
      <c r="Q7535" s="25"/>
      <c r="R7535" s="25"/>
      <c r="S7535" s="25"/>
      <c r="T7535" s="141"/>
      <c r="U7535" s="28"/>
    </row>
    <row r="7536" ht="15.75" customHeight="1">
      <c r="P7536" s="25"/>
      <c r="Q7536" s="25"/>
      <c r="R7536" s="25"/>
      <c r="S7536" s="25"/>
      <c r="T7536" s="141"/>
      <c r="U7536" s="28"/>
    </row>
    <row r="7537" ht="15.75" customHeight="1">
      <c r="P7537" s="25"/>
      <c r="Q7537" s="25"/>
      <c r="R7537" s="25"/>
      <c r="S7537" s="25"/>
      <c r="T7537" s="141"/>
      <c r="U7537" s="28"/>
    </row>
    <row r="7538" ht="15.75" customHeight="1">
      <c r="P7538" s="25"/>
      <c r="Q7538" s="25"/>
      <c r="R7538" s="25"/>
      <c r="S7538" s="25"/>
      <c r="T7538" s="141"/>
      <c r="U7538" s="28"/>
    </row>
    <row r="7539" ht="15.75" customHeight="1">
      <c r="P7539" s="25"/>
      <c r="Q7539" s="25"/>
      <c r="R7539" s="25"/>
      <c r="S7539" s="25"/>
      <c r="T7539" s="141"/>
      <c r="U7539" s="28"/>
    </row>
    <row r="7540" ht="15.75" customHeight="1">
      <c r="P7540" s="25"/>
      <c r="Q7540" s="25"/>
      <c r="R7540" s="25"/>
      <c r="S7540" s="25"/>
      <c r="T7540" s="141"/>
      <c r="U7540" s="28"/>
    </row>
    <row r="7541" ht="15.75" customHeight="1">
      <c r="P7541" s="25"/>
      <c r="Q7541" s="25"/>
      <c r="R7541" s="25"/>
      <c r="S7541" s="25"/>
      <c r="T7541" s="141"/>
      <c r="U7541" s="28"/>
    </row>
    <row r="7542" ht="15.75" customHeight="1">
      <c r="P7542" s="25"/>
      <c r="Q7542" s="25"/>
      <c r="R7542" s="25"/>
      <c r="S7542" s="25"/>
      <c r="T7542" s="141"/>
      <c r="U7542" s="28"/>
    </row>
    <row r="7543" ht="15.75" customHeight="1">
      <c r="P7543" s="25"/>
      <c r="Q7543" s="25"/>
      <c r="R7543" s="25"/>
      <c r="S7543" s="25"/>
      <c r="T7543" s="141"/>
      <c r="U7543" s="28"/>
    </row>
    <row r="7544" ht="15.75" customHeight="1">
      <c r="P7544" s="25"/>
      <c r="Q7544" s="25"/>
      <c r="R7544" s="25"/>
      <c r="S7544" s="25"/>
      <c r="T7544" s="141"/>
      <c r="U7544" s="28"/>
    </row>
    <row r="7545" ht="15.75" customHeight="1">
      <c r="P7545" s="25"/>
      <c r="Q7545" s="25"/>
      <c r="R7545" s="25"/>
      <c r="S7545" s="25"/>
      <c r="T7545" s="141"/>
      <c r="U7545" s="28"/>
    </row>
    <row r="7546" ht="15.75" customHeight="1">
      <c r="P7546" s="25"/>
      <c r="Q7546" s="25"/>
      <c r="R7546" s="25"/>
      <c r="S7546" s="25"/>
      <c r="T7546" s="141"/>
      <c r="U7546" s="28"/>
    </row>
    <row r="7547" ht="15.75" customHeight="1">
      <c r="P7547" s="25"/>
      <c r="Q7547" s="25"/>
      <c r="R7547" s="25"/>
      <c r="S7547" s="25"/>
      <c r="T7547" s="141"/>
      <c r="U7547" s="28"/>
    </row>
    <row r="7548" ht="15.75" customHeight="1">
      <c r="P7548" s="25"/>
      <c r="Q7548" s="25"/>
      <c r="R7548" s="25"/>
      <c r="S7548" s="25"/>
      <c r="T7548" s="141"/>
      <c r="U7548" s="28"/>
    </row>
    <row r="7549" ht="15.75" customHeight="1">
      <c r="P7549" s="25"/>
      <c r="Q7549" s="25"/>
      <c r="R7549" s="25"/>
      <c r="S7549" s="25"/>
      <c r="T7549" s="141"/>
      <c r="U7549" s="28"/>
    </row>
    <row r="7550" ht="15.75" customHeight="1">
      <c r="P7550" s="25"/>
      <c r="Q7550" s="25"/>
      <c r="R7550" s="25"/>
      <c r="S7550" s="25"/>
      <c r="T7550" s="141"/>
      <c r="U7550" s="28"/>
    </row>
    <row r="7551" ht="15.75" customHeight="1">
      <c r="P7551" s="25"/>
      <c r="Q7551" s="25"/>
      <c r="R7551" s="25"/>
      <c r="S7551" s="25"/>
      <c r="T7551" s="141"/>
      <c r="U7551" s="28"/>
    </row>
    <row r="7552" ht="15.75" customHeight="1">
      <c r="P7552" s="25"/>
      <c r="Q7552" s="25"/>
      <c r="R7552" s="25"/>
      <c r="S7552" s="25"/>
      <c r="T7552" s="141"/>
      <c r="U7552" s="28"/>
    </row>
    <row r="7553" ht="15.75" customHeight="1">
      <c r="P7553" s="25"/>
      <c r="Q7553" s="25"/>
      <c r="R7553" s="25"/>
      <c r="S7553" s="25"/>
      <c r="T7553" s="141"/>
      <c r="U7553" s="28"/>
    </row>
    <row r="7554" ht="15.75" customHeight="1">
      <c r="P7554" s="25"/>
      <c r="Q7554" s="25"/>
      <c r="R7554" s="25"/>
      <c r="S7554" s="25"/>
      <c r="T7554" s="141"/>
      <c r="U7554" s="28"/>
    </row>
    <row r="7555" ht="15.75" customHeight="1">
      <c r="P7555" s="25"/>
      <c r="Q7555" s="25"/>
      <c r="R7555" s="25"/>
      <c r="S7555" s="25"/>
      <c r="T7555" s="141"/>
      <c r="U7555" s="28"/>
    </row>
    <row r="7556" ht="15.75" customHeight="1">
      <c r="P7556" s="25"/>
      <c r="Q7556" s="25"/>
      <c r="R7556" s="25"/>
      <c r="S7556" s="25"/>
      <c r="T7556" s="141"/>
      <c r="U7556" s="28"/>
    </row>
    <row r="7557" ht="15.75" customHeight="1">
      <c r="P7557" s="25"/>
      <c r="Q7557" s="25"/>
      <c r="R7557" s="25"/>
      <c r="S7557" s="25"/>
      <c r="T7557" s="141"/>
      <c r="U7557" s="28"/>
    </row>
    <row r="7558" ht="15.75" customHeight="1">
      <c r="P7558" s="25"/>
      <c r="Q7558" s="25"/>
      <c r="R7558" s="25"/>
      <c r="S7558" s="25"/>
      <c r="T7558" s="141"/>
      <c r="U7558" s="28"/>
    </row>
    <row r="7559" ht="15.75" customHeight="1">
      <c r="P7559" s="25"/>
      <c r="Q7559" s="25"/>
      <c r="R7559" s="25"/>
      <c r="S7559" s="25"/>
      <c r="T7559" s="141"/>
      <c r="U7559" s="28"/>
    </row>
    <row r="7560" ht="15.75" customHeight="1">
      <c r="P7560" s="25"/>
      <c r="Q7560" s="25"/>
      <c r="R7560" s="25"/>
      <c r="S7560" s="25"/>
      <c r="T7560" s="141"/>
      <c r="U7560" s="28"/>
    </row>
    <row r="7561" ht="15.75" customHeight="1">
      <c r="P7561" s="25"/>
      <c r="Q7561" s="25"/>
      <c r="R7561" s="25"/>
      <c r="S7561" s="25"/>
      <c r="T7561" s="141"/>
      <c r="U7561" s="28"/>
    </row>
    <row r="7562" ht="15.75" customHeight="1">
      <c r="P7562" s="25"/>
      <c r="Q7562" s="25"/>
      <c r="R7562" s="25"/>
      <c r="S7562" s="25"/>
      <c r="T7562" s="141"/>
      <c r="U7562" s="28"/>
    </row>
    <row r="7563" ht="15.75" customHeight="1">
      <c r="P7563" s="25"/>
      <c r="Q7563" s="25"/>
      <c r="R7563" s="25"/>
      <c r="S7563" s="25"/>
      <c r="T7563" s="141"/>
      <c r="U7563" s="28"/>
    </row>
    <row r="7564" ht="15.75" customHeight="1">
      <c r="P7564" s="25"/>
      <c r="Q7564" s="25"/>
      <c r="R7564" s="25"/>
      <c r="S7564" s="25"/>
      <c r="T7564" s="141"/>
      <c r="U7564" s="28"/>
    </row>
    <row r="7565" ht="15.75" customHeight="1">
      <c r="P7565" s="25"/>
      <c r="Q7565" s="25"/>
      <c r="R7565" s="25"/>
      <c r="S7565" s="25"/>
      <c r="T7565" s="141"/>
      <c r="U7565" s="28"/>
    </row>
    <row r="7566" ht="15.75" customHeight="1">
      <c r="P7566" s="25"/>
      <c r="Q7566" s="25"/>
      <c r="R7566" s="25"/>
      <c r="S7566" s="25"/>
      <c r="T7566" s="141"/>
      <c r="U7566" s="28"/>
    </row>
    <row r="7567" ht="15.75" customHeight="1">
      <c r="P7567" s="25"/>
      <c r="Q7567" s="25"/>
      <c r="R7567" s="25"/>
      <c r="S7567" s="25"/>
      <c r="T7567" s="141"/>
      <c r="U7567" s="28"/>
    </row>
    <row r="7568" ht="15.75" customHeight="1">
      <c r="P7568" s="25"/>
      <c r="Q7568" s="25"/>
      <c r="R7568" s="25"/>
      <c r="S7568" s="25"/>
      <c r="T7568" s="141"/>
      <c r="U7568" s="28"/>
    </row>
    <row r="7569" ht="15.75" customHeight="1">
      <c r="P7569" s="25"/>
      <c r="Q7569" s="25"/>
      <c r="R7569" s="25"/>
      <c r="S7569" s="25"/>
      <c r="T7569" s="141"/>
      <c r="U7569" s="28"/>
    </row>
    <row r="7570" ht="15.75" customHeight="1">
      <c r="P7570" s="25"/>
      <c r="Q7570" s="25"/>
      <c r="R7570" s="25"/>
      <c r="S7570" s="25"/>
      <c r="T7570" s="141"/>
      <c r="U7570" s="28"/>
    </row>
    <row r="7571" ht="15.75" customHeight="1">
      <c r="P7571" s="25"/>
      <c r="Q7571" s="25"/>
      <c r="R7571" s="25"/>
      <c r="S7571" s="25"/>
      <c r="T7571" s="141"/>
      <c r="U7571" s="28"/>
    </row>
    <row r="7572" ht="15.75" customHeight="1">
      <c r="P7572" s="25"/>
      <c r="Q7572" s="25"/>
      <c r="R7572" s="25"/>
      <c r="S7572" s="25"/>
      <c r="T7572" s="141"/>
      <c r="U7572" s="28"/>
    </row>
    <row r="7573" ht="15.75" customHeight="1">
      <c r="P7573" s="25"/>
      <c r="Q7573" s="25"/>
      <c r="R7573" s="25"/>
      <c r="S7573" s="25"/>
      <c r="T7573" s="141"/>
      <c r="U7573" s="28"/>
    </row>
    <row r="7574" ht="15.75" customHeight="1">
      <c r="P7574" s="25"/>
      <c r="Q7574" s="25"/>
      <c r="R7574" s="25"/>
      <c r="S7574" s="25"/>
      <c r="T7574" s="141"/>
      <c r="U7574" s="28"/>
    </row>
    <row r="7575" ht="15.75" customHeight="1">
      <c r="P7575" s="25"/>
      <c r="Q7575" s="25"/>
      <c r="R7575" s="25"/>
      <c r="S7575" s="25"/>
      <c r="T7575" s="141"/>
      <c r="U7575" s="28"/>
    </row>
    <row r="7576" ht="15.75" customHeight="1">
      <c r="P7576" s="25"/>
      <c r="Q7576" s="25"/>
      <c r="R7576" s="25"/>
      <c r="S7576" s="25"/>
      <c r="T7576" s="141"/>
      <c r="U7576" s="28"/>
    </row>
    <row r="7577" ht="15.75" customHeight="1">
      <c r="P7577" s="25"/>
      <c r="Q7577" s="25"/>
      <c r="R7577" s="25"/>
      <c r="S7577" s="25"/>
      <c r="T7577" s="141"/>
      <c r="U7577" s="28"/>
    </row>
    <row r="7578" ht="15.75" customHeight="1">
      <c r="P7578" s="25"/>
      <c r="Q7578" s="25"/>
      <c r="R7578" s="25"/>
      <c r="S7578" s="25"/>
      <c r="T7578" s="141"/>
      <c r="U7578" s="28"/>
    </row>
    <row r="7579" ht="15.75" customHeight="1">
      <c r="P7579" s="25"/>
      <c r="Q7579" s="25"/>
      <c r="R7579" s="25"/>
      <c r="S7579" s="25"/>
      <c r="T7579" s="141"/>
      <c r="U7579" s="28"/>
    </row>
    <row r="7580" ht="15.75" customHeight="1">
      <c r="P7580" s="25"/>
      <c r="Q7580" s="25"/>
      <c r="R7580" s="25"/>
      <c r="S7580" s="25"/>
      <c r="T7580" s="141"/>
      <c r="U7580" s="28"/>
    </row>
    <row r="7581" ht="15.75" customHeight="1">
      <c r="P7581" s="25"/>
      <c r="Q7581" s="25"/>
      <c r="R7581" s="25"/>
      <c r="S7581" s="25"/>
      <c r="T7581" s="141"/>
      <c r="U7581" s="28"/>
    </row>
    <row r="7582" ht="15.75" customHeight="1">
      <c r="P7582" s="25"/>
      <c r="Q7582" s="25"/>
      <c r="R7582" s="25"/>
      <c r="S7582" s="25"/>
      <c r="T7582" s="141"/>
      <c r="U7582" s="28"/>
    </row>
    <row r="7583" ht="15.75" customHeight="1">
      <c r="P7583" s="25"/>
      <c r="Q7583" s="25"/>
      <c r="R7583" s="25"/>
      <c r="S7583" s="25"/>
      <c r="T7583" s="141"/>
      <c r="U7583" s="28"/>
    </row>
    <row r="7584" ht="15.75" customHeight="1">
      <c r="P7584" s="25"/>
      <c r="Q7584" s="25"/>
      <c r="R7584" s="25"/>
      <c r="S7584" s="25"/>
      <c r="T7584" s="141"/>
      <c r="U7584" s="28"/>
    </row>
    <row r="7585" ht="15.75" customHeight="1">
      <c r="P7585" s="25"/>
      <c r="Q7585" s="25"/>
      <c r="R7585" s="25"/>
      <c r="S7585" s="25"/>
      <c r="T7585" s="141"/>
      <c r="U7585" s="28"/>
    </row>
    <row r="7586" ht="15.75" customHeight="1">
      <c r="P7586" s="25"/>
      <c r="Q7586" s="25"/>
      <c r="R7586" s="25"/>
      <c r="S7586" s="25"/>
      <c r="T7586" s="141"/>
      <c r="U7586" s="28"/>
    </row>
    <row r="7587" ht="15.75" customHeight="1">
      <c r="P7587" s="25"/>
      <c r="Q7587" s="25"/>
      <c r="R7587" s="25"/>
      <c r="S7587" s="25"/>
      <c r="T7587" s="141"/>
      <c r="U7587" s="28"/>
    </row>
    <row r="7588" ht="15.75" customHeight="1">
      <c r="P7588" s="25"/>
      <c r="Q7588" s="25"/>
      <c r="R7588" s="25"/>
      <c r="S7588" s="25"/>
      <c r="T7588" s="141"/>
      <c r="U7588" s="28"/>
    </row>
    <row r="7589" ht="15.75" customHeight="1">
      <c r="P7589" s="25"/>
      <c r="Q7589" s="25"/>
      <c r="R7589" s="25"/>
      <c r="S7589" s="25"/>
      <c r="T7589" s="141"/>
      <c r="U7589" s="28"/>
    </row>
    <row r="7590" ht="15.75" customHeight="1">
      <c r="P7590" s="25"/>
      <c r="Q7590" s="25"/>
      <c r="R7590" s="25"/>
      <c r="S7590" s="25"/>
      <c r="T7590" s="141"/>
      <c r="U7590" s="28"/>
    </row>
    <row r="7591" ht="15.75" customHeight="1">
      <c r="P7591" s="25"/>
      <c r="Q7591" s="25"/>
      <c r="R7591" s="25"/>
      <c r="S7591" s="25"/>
      <c r="T7591" s="141"/>
      <c r="U7591" s="28"/>
    </row>
    <row r="7592" ht="15.75" customHeight="1">
      <c r="P7592" s="25"/>
      <c r="Q7592" s="25"/>
      <c r="R7592" s="25"/>
      <c r="S7592" s="25"/>
      <c r="T7592" s="141"/>
      <c r="U7592" s="28"/>
    </row>
    <row r="7593" ht="15.75" customHeight="1">
      <c r="P7593" s="25"/>
      <c r="Q7593" s="25"/>
      <c r="R7593" s="25"/>
      <c r="S7593" s="25"/>
      <c r="T7593" s="141"/>
      <c r="U7593" s="28"/>
    </row>
    <row r="7594" ht="15.75" customHeight="1">
      <c r="P7594" s="25"/>
      <c r="Q7594" s="25"/>
      <c r="R7594" s="25"/>
      <c r="S7594" s="25"/>
      <c r="T7594" s="141"/>
      <c r="U7594" s="28"/>
    </row>
    <row r="7595" ht="15.75" customHeight="1">
      <c r="P7595" s="25"/>
      <c r="Q7595" s="25"/>
      <c r="R7595" s="25"/>
      <c r="S7595" s="25"/>
      <c r="T7595" s="141"/>
      <c r="U7595" s="28"/>
    </row>
    <row r="7596" ht="15.75" customHeight="1">
      <c r="P7596" s="25"/>
      <c r="Q7596" s="25"/>
      <c r="R7596" s="25"/>
      <c r="S7596" s="25"/>
      <c r="T7596" s="141"/>
      <c r="U7596" s="28"/>
    </row>
    <row r="7597" ht="15.75" customHeight="1">
      <c r="P7597" s="25"/>
      <c r="Q7597" s="25"/>
      <c r="R7597" s="25"/>
      <c r="S7597" s="25"/>
      <c r="T7597" s="141"/>
      <c r="U7597" s="28"/>
    </row>
    <row r="7598" ht="15.75" customHeight="1">
      <c r="P7598" s="25"/>
      <c r="Q7598" s="25"/>
      <c r="R7598" s="25"/>
      <c r="S7598" s="25"/>
      <c r="T7598" s="141"/>
      <c r="U7598" s="28"/>
    </row>
    <row r="7599" ht="15.75" customHeight="1">
      <c r="P7599" s="25"/>
      <c r="Q7599" s="25"/>
      <c r="R7599" s="25"/>
      <c r="S7599" s="25"/>
      <c r="T7599" s="141"/>
      <c r="U7599" s="28"/>
    </row>
    <row r="7600" ht="15.75" customHeight="1">
      <c r="P7600" s="25"/>
      <c r="Q7600" s="25"/>
      <c r="R7600" s="25"/>
      <c r="S7600" s="25"/>
      <c r="T7600" s="141"/>
      <c r="U7600" s="28"/>
    </row>
    <row r="7601" ht="15.75" customHeight="1">
      <c r="P7601" s="25"/>
      <c r="Q7601" s="25"/>
      <c r="R7601" s="25"/>
      <c r="S7601" s="25"/>
      <c r="T7601" s="141"/>
      <c r="U7601" s="28"/>
    </row>
    <row r="7602" ht="15.75" customHeight="1">
      <c r="P7602" s="25"/>
      <c r="Q7602" s="25"/>
      <c r="R7602" s="25"/>
      <c r="S7602" s="25"/>
      <c r="T7602" s="141"/>
      <c r="U7602" s="28"/>
    </row>
    <row r="7603" ht="15.75" customHeight="1">
      <c r="P7603" s="25"/>
      <c r="Q7603" s="25"/>
      <c r="R7603" s="25"/>
      <c r="S7603" s="25"/>
      <c r="T7603" s="141"/>
      <c r="U7603" s="28"/>
    </row>
    <row r="7604" ht="15.75" customHeight="1">
      <c r="P7604" s="25"/>
      <c r="Q7604" s="25"/>
      <c r="R7604" s="25"/>
      <c r="S7604" s="25"/>
      <c r="T7604" s="141"/>
      <c r="U7604" s="28"/>
    </row>
    <row r="7605" ht="15.75" customHeight="1">
      <c r="P7605" s="25"/>
      <c r="Q7605" s="25"/>
      <c r="R7605" s="25"/>
      <c r="S7605" s="25"/>
      <c r="T7605" s="141"/>
      <c r="U7605" s="28"/>
    </row>
    <row r="7606" ht="15.75" customHeight="1">
      <c r="P7606" s="25"/>
      <c r="Q7606" s="25"/>
      <c r="R7606" s="25"/>
      <c r="S7606" s="25"/>
      <c r="T7606" s="141"/>
      <c r="U7606" s="28"/>
    </row>
    <row r="7607" ht="15.75" customHeight="1">
      <c r="P7607" s="25"/>
      <c r="Q7607" s="25"/>
      <c r="R7607" s="25"/>
      <c r="S7607" s="25"/>
      <c r="T7607" s="141"/>
      <c r="U7607" s="28"/>
    </row>
    <row r="7608" ht="15.75" customHeight="1">
      <c r="P7608" s="25"/>
      <c r="Q7608" s="25"/>
      <c r="R7608" s="25"/>
      <c r="S7608" s="25"/>
      <c r="T7608" s="141"/>
      <c r="U7608" s="28"/>
    </row>
    <row r="7609" ht="15.75" customHeight="1">
      <c r="P7609" s="25"/>
      <c r="Q7609" s="25"/>
      <c r="R7609" s="25"/>
      <c r="S7609" s="25"/>
      <c r="T7609" s="141"/>
      <c r="U7609" s="28"/>
    </row>
    <row r="7610" ht="15.75" customHeight="1">
      <c r="P7610" s="25"/>
      <c r="Q7610" s="25"/>
      <c r="R7610" s="25"/>
      <c r="S7610" s="25"/>
      <c r="T7610" s="141"/>
      <c r="U7610" s="28"/>
    </row>
    <row r="7611" ht="15.75" customHeight="1">
      <c r="P7611" s="25"/>
      <c r="Q7611" s="25"/>
      <c r="R7611" s="25"/>
      <c r="S7611" s="25"/>
      <c r="T7611" s="141"/>
      <c r="U7611" s="28"/>
    </row>
    <row r="7612" ht="15.75" customHeight="1">
      <c r="P7612" s="25"/>
      <c r="Q7612" s="25"/>
      <c r="R7612" s="25"/>
      <c r="S7612" s="25"/>
      <c r="T7612" s="141"/>
      <c r="U7612" s="28"/>
    </row>
    <row r="7613" ht="15.75" customHeight="1">
      <c r="P7613" s="25"/>
      <c r="Q7613" s="25"/>
      <c r="R7613" s="25"/>
      <c r="S7613" s="25"/>
      <c r="T7613" s="141"/>
      <c r="U7613" s="28"/>
    </row>
    <row r="7614" ht="15.75" customHeight="1">
      <c r="P7614" s="25"/>
      <c r="Q7614" s="25"/>
      <c r="R7614" s="25"/>
      <c r="S7614" s="25"/>
      <c r="T7614" s="141"/>
      <c r="U7614" s="28"/>
    </row>
    <row r="7615" ht="15.75" customHeight="1">
      <c r="P7615" s="25"/>
      <c r="Q7615" s="25"/>
      <c r="R7615" s="25"/>
      <c r="S7615" s="25"/>
      <c r="T7615" s="141"/>
      <c r="U7615" s="28"/>
    </row>
    <row r="7616" ht="15.75" customHeight="1">
      <c r="P7616" s="25"/>
      <c r="Q7616" s="25"/>
      <c r="R7616" s="25"/>
      <c r="S7616" s="25"/>
      <c r="T7616" s="141"/>
      <c r="U7616" s="28"/>
    </row>
    <row r="7617" ht="15.75" customHeight="1">
      <c r="P7617" s="25"/>
      <c r="Q7617" s="25"/>
      <c r="R7617" s="25"/>
      <c r="S7617" s="25"/>
      <c r="T7617" s="141"/>
      <c r="U7617" s="28"/>
    </row>
    <row r="7618" ht="15.75" customHeight="1">
      <c r="P7618" s="25"/>
      <c r="Q7618" s="25"/>
      <c r="R7618" s="25"/>
      <c r="S7618" s="25"/>
      <c r="T7618" s="141"/>
      <c r="U7618" s="28"/>
    </row>
    <row r="7619" ht="15.75" customHeight="1">
      <c r="P7619" s="25"/>
      <c r="Q7619" s="25"/>
      <c r="R7619" s="25"/>
      <c r="S7619" s="25"/>
      <c r="T7619" s="141"/>
      <c r="U7619" s="28"/>
    </row>
    <row r="7620" ht="15.75" customHeight="1">
      <c r="P7620" s="25"/>
      <c r="Q7620" s="25"/>
      <c r="R7620" s="25"/>
      <c r="S7620" s="25"/>
      <c r="T7620" s="141"/>
      <c r="U7620" s="28"/>
    </row>
    <row r="7621" ht="15.75" customHeight="1">
      <c r="P7621" s="25"/>
      <c r="Q7621" s="25"/>
      <c r="R7621" s="25"/>
      <c r="S7621" s="25"/>
      <c r="T7621" s="141"/>
      <c r="U7621" s="28"/>
    </row>
    <row r="7622" ht="15.75" customHeight="1">
      <c r="P7622" s="25"/>
      <c r="Q7622" s="25"/>
      <c r="R7622" s="25"/>
      <c r="S7622" s="25"/>
      <c r="T7622" s="141"/>
      <c r="U7622" s="28"/>
    </row>
    <row r="7623" ht="15.75" customHeight="1">
      <c r="P7623" s="25"/>
      <c r="Q7623" s="25"/>
      <c r="R7623" s="25"/>
      <c r="S7623" s="25"/>
      <c r="T7623" s="141"/>
      <c r="U7623" s="28"/>
    </row>
    <row r="7624" ht="15.75" customHeight="1">
      <c r="P7624" s="25"/>
      <c r="Q7624" s="25"/>
      <c r="R7624" s="25"/>
      <c r="S7624" s="25"/>
      <c r="T7624" s="141"/>
      <c r="U7624" s="28"/>
    </row>
    <row r="7625" ht="15.75" customHeight="1">
      <c r="P7625" s="25"/>
      <c r="Q7625" s="25"/>
      <c r="R7625" s="25"/>
      <c r="S7625" s="25"/>
      <c r="T7625" s="141"/>
      <c r="U7625" s="28"/>
    </row>
    <row r="7626" ht="15.75" customHeight="1">
      <c r="P7626" s="25"/>
      <c r="Q7626" s="25"/>
      <c r="R7626" s="25"/>
      <c r="S7626" s="25"/>
      <c r="T7626" s="141"/>
      <c r="U7626" s="28"/>
    </row>
    <row r="7627" ht="15.75" customHeight="1">
      <c r="P7627" s="25"/>
      <c r="Q7627" s="25"/>
      <c r="R7627" s="25"/>
      <c r="S7627" s="25"/>
      <c r="T7627" s="141"/>
      <c r="U7627" s="28"/>
    </row>
    <row r="7628" ht="15.75" customHeight="1">
      <c r="P7628" s="25"/>
      <c r="Q7628" s="25"/>
      <c r="R7628" s="25"/>
      <c r="S7628" s="25"/>
      <c r="T7628" s="141"/>
      <c r="U7628" s="28"/>
    </row>
    <row r="7629" ht="15.75" customHeight="1">
      <c r="P7629" s="25"/>
      <c r="Q7629" s="25"/>
      <c r="R7629" s="25"/>
      <c r="S7629" s="25"/>
      <c r="T7629" s="141"/>
      <c r="U7629" s="28"/>
    </row>
    <row r="7630" ht="15.75" customHeight="1">
      <c r="P7630" s="25"/>
      <c r="Q7630" s="25"/>
      <c r="R7630" s="25"/>
      <c r="S7630" s="25"/>
      <c r="T7630" s="141"/>
      <c r="U7630" s="28"/>
    </row>
    <row r="7631" ht="15.75" customHeight="1">
      <c r="P7631" s="25"/>
      <c r="Q7631" s="25"/>
      <c r="R7631" s="25"/>
      <c r="S7631" s="25"/>
      <c r="T7631" s="141"/>
      <c r="U7631" s="28"/>
    </row>
    <row r="7632" ht="15.75" customHeight="1">
      <c r="P7632" s="25"/>
      <c r="Q7632" s="25"/>
      <c r="R7632" s="25"/>
      <c r="S7632" s="25"/>
      <c r="T7632" s="141"/>
      <c r="U7632" s="28"/>
    </row>
    <row r="7633" ht="15.75" customHeight="1">
      <c r="P7633" s="25"/>
      <c r="Q7633" s="25"/>
      <c r="R7633" s="25"/>
      <c r="S7633" s="25"/>
      <c r="T7633" s="141"/>
      <c r="U7633" s="28"/>
    </row>
    <row r="7634" ht="15.75" customHeight="1">
      <c r="P7634" s="25"/>
      <c r="Q7634" s="25"/>
      <c r="R7634" s="25"/>
      <c r="S7634" s="25"/>
      <c r="T7634" s="141"/>
      <c r="U7634" s="28"/>
    </row>
    <row r="7635" ht="15.75" customHeight="1">
      <c r="P7635" s="25"/>
      <c r="Q7635" s="25"/>
      <c r="R7635" s="25"/>
      <c r="S7635" s="25"/>
      <c r="T7635" s="141"/>
      <c r="U7635" s="28"/>
    </row>
    <row r="7636" ht="15.75" customHeight="1">
      <c r="P7636" s="25"/>
      <c r="Q7636" s="25"/>
      <c r="R7636" s="25"/>
      <c r="S7636" s="25"/>
      <c r="T7636" s="141"/>
      <c r="U7636" s="28"/>
    </row>
    <row r="7637" ht="15.75" customHeight="1">
      <c r="P7637" s="25"/>
      <c r="Q7637" s="25"/>
      <c r="R7637" s="25"/>
      <c r="S7637" s="25"/>
      <c r="T7637" s="141"/>
      <c r="U7637" s="28"/>
    </row>
    <row r="7638" ht="15.75" customHeight="1">
      <c r="P7638" s="25"/>
      <c r="Q7638" s="25"/>
      <c r="R7638" s="25"/>
      <c r="S7638" s="25"/>
      <c r="T7638" s="141"/>
      <c r="U7638" s="28"/>
    </row>
    <row r="7639" ht="15.75" customHeight="1">
      <c r="P7639" s="25"/>
      <c r="Q7639" s="25"/>
      <c r="R7639" s="25"/>
      <c r="S7639" s="25"/>
      <c r="T7639" s="141"/>
      <c r="U7639" s="28"/>
    </row>
    <row r="7640" ht="15.75" customHeight="1">
      <c r="P7640" s="25"/>
      <c r="Q7640" s="25"/>
      <c r="R7640" s="25"/>
      <c r="S7640" s="25"/>
      <c r="T7640" s="141"/>
      <c r="U7640" s="28"/>
    </row>
    <row r="7641" ht="15.75" customHeight="1">
      <c r="P7641" s="25"/>
      <c r="Q7641" s="25"/>
      <c r="R7641" s="25"/>
      <c r="S7641" s="25"/>
      <c r="T7641" s="141"/>
      <c r="U7641" s="28"/>
    </row>
    <row r="7642" ht="15.75" customHeight="1">
      <c r="P7642" s="25"/>
      <c r="Q7642" s="25"/>
      <c r="R7642" s="25"/>
      <c r="S7642" s="25"/>
      <c r="T7642" s="141"/>
      <c r="U7642" s="28"/>
    </row>
    <row r="7643" ht="15.75" customHeight="1">
      <c r="P7643" s="25"/>
      <c r="Q7643" s="25"/>
      <c r="R7643" s="25"/>
      <c r="S7643" s="25"/>
      <c r="T7643" s="141"/>
      <c r="U7643" s="28"/>
    </row>
    <row r="7644" ht="15.75" customHeight="1">
      <c r="P7644" s="25"/>
      <c r="Q7644" s="25"/>
      <c r="R7644" s="25"/>
      <c r="S7644" s="25"/>
      <c r="T7644" s="141"/>
      <c r="U7644" s="28"/>
    </row>
    <row r="7645" ht="15.75" customHeight="1">
      <c r="P7645" s="25"/>
      <c r="Q7645" s="25"/>
      <c r="R7645" s="25"/>
      <c r="S7645" s="25"/>
      <c r="T7645" s="141"/>
      <c r="U7645" s="28"/>
    </row>
    <row r="7646" ht="15.75" customHeight="1">
      <c r="P7646" s="25"/>
      <c r="Q7646" s="25"/>
      <c r="R7646" s="25"/>
      <c r="S7646" s="25"/>
      <c r="T7646" s="141"/>
      <c r="U7646" s="28"/>
    </row>
    <row r="7647" ht="15.75" customHeight="1">
      <c r="P7647" s="25"/>
      <c r="Q7647" s="25"/>
      <c r="R7647" s="25"/>
      <c r="S7647" s="25"/>
      <c r="T7647" s="141"/>
      <c r="U7647" s="28"/>
    </row>
    <row r="7648" ht="15.75" customHeight="1">
      <c r="P7648" s="25"/>
      <c r="Q7648" s="25"/>
      <c r="R7648" s="25"/>
      <c r="S7648" s="25"/>
      <c r="T7648" s="141"/>
      <c r="U7648" s="28"/>
    </row>
    <row r="7649" ht="15.75" customHeight="1">
      <c r="P7649" s="25"/>
      <c r="Q7649" s="25"/>
      <c r="R7649" s="25"/>
      <c r="S7649" s="25"/>
      <c r="T7649" s="141"/>
      <c r="U7649" s="28"/>
    </row>
    <row r="7650" ht="15.75" customHeight="1">
      <c r="P7650" s="25"/>
      <c r="Q7650" s="25"/>
      <c r="R7650" s="25"/>
      <c r="S7650" s="25"/>
      <c r="T7650" s="141"/>
      <c r="U7650" s="28"/>
    </row>
    <row r="7651" ht="15.75" customHeight="1">
      <c r="P7651" s="25"/>
      <c r="Q7651" s="25"/>
      <c r="R7651" s="25"/>
      <c r="S7651" s="25"/>
      <c r="T7651" s="141"/>
      <c r="U7651" s="28"/>
    </row>
    <row r="7652" ht="15.75" customHeight="1">
      <c r="P7652" s="25"/>
      <c r="Q7652" s="25"/>
      <c r="R7652" s="25"/>
      <c r="S7652" s="25"/>
      <c r="T7652" s="141"/>
      <c r="U7652" s="28"/>
    </row>
    <row r="7653" ht="15.75" customHeight="1">
      <c r="P7653" s="25"/>
      <c r="Q7653" s="25"/>
      <c r="R7653" s="25"/>
      <c r="S7653" s="25"/>
      <c r="T7653" s="141"/>
      <c r="U7653" s="28"/>
    </row>
    <row r="7654" ht="15.75" customHeight="1">
      <c r="P7654" s="25"/>
      <c r="Q7654" s="25"/>
      <c r="R7654" s="25"/>
      <c r="S7654" s="25"/>
      <c r="T7654" s="141"/>
      <c r="U7654" s="28"/>
    </row>
    <row r="7655" ht="15.75" customHeight="1">
      <c r="P7655" s="25"/>
      <c r="Q7655" s="25"/>
      <c r="R7655" s="25"/>
      <c r="S7655" s="25"/>
      <c r="T7655" s="141"/>
      <c r="U7655" s="28"/>
    </row>
    <row r="7656" ht="15.75" customHeight="1">
      <c r="P7656" s="25"/>
      <c r="Q7656" s="25"/>
      <c r="R7656" s="25"/>
      <c r="S7656" s="25"/>
      <c r="T7656" s="141"/>
      <c r="U7656" s="28"/>
    </row>
    <row r="7657" ht="15.75" customHeight="1">
      <c r="P7657" s="25"/>
      <c r="Q7657" s="25"/>
      <c r="R7657" s="25"/>
      <c r="S7657" s="25"/>
      <c r="T7657" s="141"/>
      <c r="U7657" s="28"/>
    </row>
    <row r="7658" ht="15.75" customHeight="1">
      <c r="P7658" s="25"/>
      <c r="Q7658" s="25"/>
      <c r="R7658" s="25"/>
      <c r="S7658" s="25"/>
      <c r="T7658" s="141"/>
      <c r="U7658" s="28"/>
    </row>
    <row r="7659" ht="15.75" customHeight="1">
      <c r="P7659" s="25"/>
      <c r="Q7659" s="25"/>
      <c r="R7659" s="25"/>
      <c r="S7659" s="25"/>
      <c r="T7659" s="141"/>
      <c r="U7659" s="28"/>
    </row>
    <row r="7660" ht="15.75" customHeight="1">
      <c r="P7660" s="25"/>
      <c r="Q7660" s="25"/>
      <c r="R7660" s="25"/>
      <c r="S7660" s="25"/>
      <c r="T7660" s="141"/>
      <c r="U7660" s="28"/>
    </row>
    <row r="7661" ht="15.75" customHeight="1">
      <c r="P7661" s="25"/>
      <c r="Q7661" s="25"/>
      <c r="R7661" s="25"/>
      <c r="S7661" s="25"/>
      <c r="T7661" s="141"/>
      <c r="U7661" s="28"/>
    </row>
    <row r="7662" ht="15.75" customHeight="1">
      <c r="P7662" s="25"/>
      <c r="Q7662" s="25"/>
      <c r="R7662" s="25"/>
      <c r="S7662" s="25"/>
      <c r="T7662" s="141"/>
      <c r="U7662" s="28"/>
    </row>
    <row r="7663" ht="15.75" customHeight="1">
      <c r="P7663" s="25"/>
      <c r="Q7663" s="25"/>
      <c r="R7663" s="25"/>
      <c r="S7663" s="25"/>
      <c r="T7663" s="141"/>
      <c r="U7663" s="28"/>
    </row>
    <row r="7664" ht="15.75" customHeight="1">
      <c r="P7664" s="25"/>
      <c r="Q7664" s="25"/>
      <c r="R7664" s="25"/>
      <c r="S7664" s="25"/>
      <c r="T7664" s="141"/>
      <c r="U7664" s="28"/>
    </row>
    <row r="7665" ht="15.75" customHeight="1">
      <c r="P7665" s="25"/>
      <c r="Q7665" s="25"/>
      <c r="R7665" s="25"/>
      <c r="S7665" s="25"/>
      <c r="T7665" s="141"/>
      <c r="U7665" s="28"/>
    </row>
    <row r="7666" ht="15.75" customHeight="1">
      <c r="P7666" s="25"/>
      <c r="Q7666" s="25"/>
      <c r="R7666" s="25"/>
      <c r="S7666" s="25"/>
      <c r="T7666" s="141"/>
      <c r="U7666" s="28"/>
    </row>
    <row r="7667" ht="15.75" customHeight="1">
      <c r="P7667" s="25"/>
      <c r="Q7667" s="25"/>
      <c r="R7667" s="25"/>
      <c r="S7667" s="25"/>
      <c r="T7667" s="141"/>
      <c r="U7667" s="28"/>
    </row>
    <row r="7668" ht="15.75" customHeight="1">
      <c r="P7668" s="25"/>
      <c r="Q7668" s="25"/>
      <c r="R7668" s="25"/>
      <c r="S7668" s="25"/>
      <c r="T7668" s="141"/>
      <c r="U7668" s="28"/>
    </row>
    <row r="7669" ht="15.75" customHeight="1">
      <c r="P7669" s="25"/>
      <c r="Q7669" s="25"/>
      <c r="R7669" s="25"/>
      <c r="S7669" s="25"/>
      <c r="T7669" s="141"/>
      <c r="U7669" s="28"/>
    </row>
    <row r="7670" ht="15.75" customHeight="1">
      <c r="P7670" s="25"/>
      <c r="Q7670" s="25"/>
      <c r="R7670" s="25"/>
      <c r="S7670" s="25"/>
      <c r="T7670" s="141"/>
      <c r="U7670" s="28"/>
    </row>
    <row r="7671" ht="15.75" customHeight="1">
      <c r="P7671" s="25"/>
      <c r="Q7671" s="25"/>
      <c r="R7671" s="25"/>
      <c r="S7671" s="25"/>
      <c r="T7671" s="141"/>
      <c r="U7671" s="28"/>
    </row>
    <row r="7672" ht="15.75" customHeight="1">
      <c r="P7672" s="25"/>
      <c r="Q7672" s="25"/>
      <c r="R7672" s="25"/>
      <c r="S7672" s="25"/>
      <c r="T7672" s="141"/>
      <c r="U7672" s="28"/>
    </row>
    <row r="7673" ht="15.75" customHeight="1">
      <c r="P7673" s="25"/>
      <c r="Q7673" s="25"/>
      <c r="R7673" s="25"/>
      <c r="S7673" s="25"/>
      <c r="T7673" s="141"/>
      <c r="U7673" s="28"/>
    </row>
    <row r="7674" ht="15.75" customHeight="1">
      <c r="P7674" s="25"/>
      <c r="Q7674" s="25"/>
      <c r="R7674" s="25"/>
      <c r="S7674" s="25"/>
      <c r="T7674" s="141"/>
      <c r="U7674" s="28"/>
    </row>
    <row r="7675" ht="15.75" customHeight="1">
      <c r="P7675" s="25"/>
      <c r="Q7675" s="25"/>
      <c r="R7675" s="25"/>
      <c r="S7675" s="25"/>
      <c r="T7675" s="141"/>
      <c r="U7675" s="28"/>
    </row>
    <row r="7676" ht="15.75" customHeight="1">
      <c r="P7676" s="25"/>
      <c r="Q7676" s="25"/>
      <c r="R7676" s="25"/>
      <c r="S7676" s="25"/>
      <c r="T7676" s="141"/>
      <c r="U7676" s="28"/>
    </row>
    <row r="7677" ht="15.75" customHeight="1">
      <c r="P7677" s="25"/>
      <c r="Q7677" s="25"/>
      <c r="R7677" s="25"/>
      <c r="S7677" s="25"/>
      <c r="T7677" s="141"/>
      <c r="U7677" s="28"/>
    </row>
    <row r="7678" ht="15.75" customHeight="1">
      <c r="P7678" s="25"/>
      <c r="Q7678" s="25"/>
      <c r="R7678" s="25"/>
      <c r="S7678" s="25"/>
      <c r="T7678" s="141"/>
      <c r="U7678" s="28"/>
    </row>
    <row r="7679" ht="15.75" customHeight="1">
      <c r="P7679" s="25"/>
      <c r="Q7679" s="25"/>
      <c r="R7679" s="25"/>
      <c r="S7679" s="25"/>
      <c r="T7679" s="141"/>
      <c r="U7679" s="28"/>
    </row>
    <row r="7680" ht="15.75" customHeight="1">
      <c r="P7680" s="25"/>
      <c r="Q7680" s="25"/>
      <c r="R7680" s="25"/>
      <c r="S7680" s="25"/>
      <c r="T7680" s="141"/>
      <c r="U7680" s="28"/>
    </row>
    <row r="7681" ht="15.75" customHeight="1">
      <c r="P7681" s="25"/>
      <c r="Q7681" s="25"/>
      <c r="R7681" s="25"/>
      <c r="S7681" s="25"/>
      <c r="T7681" s="141"/>
      <c r="U7681" s="28"/>
    </row>
    <row r="7682" ht="15.75" customHeight="1">
      <c r="P7682" s="25"/>
      <c r="Q7682" s="25"/>
      <c r="R7682" s="25"/>
      <c r="S7682" s="25"/>
      <c r="T7682" s="141"/>
      <c r="U7682" s="28"/>
    </row>
    <row r="7683" ht="15.75" customHeight="1">
      <c r="P7683" s="25"/>
      <c r="Q7683" s="25"/>
      <c r="R7683" s="25"/>
      <c r="S7683" s="25"/>
      <c r="T7683" s="141"/>
      <c r="U7683" s="28"/>
    </row>
    <row r="7684" ht="15.75" customHeight="1">
      <c r="P7684" s="25"/>
      <c r="Q7684" s="25"/>
      <c r="R7684" s="25"/>
      <c r="S7684" s="25"/>
      <c r="T7684" s="141"/>
      <c r="U7684" s="28"/>
    </row>
    <row r="7685" ht="15.75" customHeight="1">
      <c r="P7685" s="25"/>
      <c r="Q7685" s="25"/>
      <c r="R7685" s="25"/>
      <c r="S7685" s="25"/>
      <c r="T7685" s="141"/>
      <c r="U7685" s="28"/>
    </row>
    <row r="7686" ht="15.75" customHeight="1">
      <c r="P7686" s="25"/>
      <c r="Q7686" s="25"/>
      <c r="R7686" s="25"/>
      <c r="S7686" s="25"/>
      <c r="T7686" s="141"/>
      <c r="U7686" s="28"/>
    </row>
    <row r="7687" ht="15.75" customHeight="1">
      <c r="P7687" s="25"/>
      <c r="Q7687" s="25"/>
      <c r="R7687" s="25"/>
      <c r="S7687" s="25"/>
      <c r="T7687" s="141"/>
      <c r="U7687" s="28"/>
    </row>
    <row r="7688" ht="15.75" customHeight="1">
      <c r="P7688" s="25"/>
      <c r="Q7688" s="25"/>
      <c r="R7688" s="25"/>
      <c r="S7688" s="25"/>
      <c r="T7688" s="141"/>
      <c r="U7688" s="28"/>
    </row>
    <row r="7689" ht="15.75" customHeight="1">
      <c r="P7689" s="25"/>
      <c r="Q7689" s="25"/>
      <c r="R7689" s="25"/>
      <c r="S7689" s="25"/>
      <c r="T7689" s="141"/>
      <c r="U7689" s="28"/>
    </row>
    <row r="7690" ht="15.75" customHeight="1">
      <c r="P7690" s="25"/>
      <c r="Q7690" s="25"/>
      <c r="R7690" s="25"/>
      <c r="S7690" s="25"/>
      <c r="T7690" s="141"/>
      <c r="U7690" s="28"/>
    </row>
    <row r="7691" ht="15.75" customHeight="1">
      <c r="P7691" s="25"/>
      <c r="Q7691" s="25"/>
      <c r="R7691" s="25"/>
      <c r="S7691" s="25"/>
      <c r="T7691" s="141"/>
      <c r="U7691" s="28"/>
    </row>
    <row r="7692" ht="15.75" customHeight="1">
      <c r="P7692" s="25"/>
      <c r="Q7692" s="25"/>
      <c r="R7692" s="25"/>
      <c r="S7692" s="25"/>
      <c r="T7692" s="141"/>
      <c r="U7692" s="28"/>
    </row>
    <row r="7693" ht="15.75" customHeight="1">
      <c r="P7693" s="25"/>
      <c r="Q7693" s="25"/>
      <c r="R7693" s="25"/>
      <c r="S7693" s="25"/>
      <c r="T7693" s="141"/>
      <c r="U7693" s="28"/>
    </row>
    <row r="7694" ht="15.75" customHeight="1">
      <c r="P7694" s="25"/>
      <c r="Q7694" s="25"/>
      <c r="R7694" s="25"/>
      <c r="S7694" s="25"/>
      <c r="T7694" s="141"/>
      <c r="U7694" s="28"/>
    </row>
    <row r="7695" ht="15.75" customHeight="1">
      <c r="P7695" s="25"/>
      <c r="Q7695" s="25"/>
      <c r="R7695" s="25"/>
      <c r="S7695" s="25"/>
      <c r="T7695" s="141"/>
      <c r="U7695" s="28"/>
    </row>
    <row r="7696" ht="15.75" customHeight="1">
      <c r="P7696" s="25"/>
      <c r="Q7696" s="25"/>
      <c r="R7696" s="25"/>
      <c r="S7696" s="25"/>
      <c r="T7696" s="141"/>
      <c r="U7696" s="28"/>
    </row>
    <row r="7697" ht="15.75" customHeight="1">
      <c r="P7697" s="25"/>
      <c r="Q7697" s="25"/>
      <c r="R7697" s="25"/>
      <c r="S7697" s="25"/>
      <c r="T7697" s="141"/>
      <c r="U7697" s="28"/>
    </row>
    <row r="7698" ht="15.75" customHeight="1">
      <c r="P7698" s="25"/>
      <c r="Q7698" s="25"/>
      <c r="R7698" s="25"/>
      <c r="S7698" s="25"/>
      <c r="T7698" s="141"/>
      <c r="U7698" s="28"/>
    </row>
    <row r="7699" ht="15.75" customHeight="1">
      <c r="P7699" s="25"/>
      <c r="Q7699" s="25"/>
      <c r="R7699" s="25"/>
      <c r="S7699" s="25"/>
      <c r="T7699" s="141"/>
      <c r="U7699" s="28"/>
    </row>
    <row r="7700" ht="15.75" customHeight="1">
      <c r="P7700" s="25"/>
      <c r="Q7700" s="25"/>
      <c r="R7700" s="25"/>
      <c r="S7700" s="25"/>
      <c r="T7700" s="141"/>
      <c r="U7700" s="28"/>
    </row>
    <row r="7701" ht="15.75" customHeight="1">
      <c r="P7701" s="25"/>
      <c r="Q7701" s="25"/>
      <c r="R7701" s="25"/>
      <c r="S7701" s="25"/>
      <c r="T7701" s="141"/>
      <c r="U7701" s="28"/>
    </row>
    <row r="7702" ht="15.75" customHeight="1">
      <c r="P7702" s="25"/>
      <c r="Q7702" s="25"/>
      <c r="R7702" s="25"/>
      <c r="S7702" s="25"/>
      <c r="T7702" s="141"/>
      <c r="U7702" s="28"/>
    </row>
    <row r="7703" ht="15.75" customHeight="1">
      <c r="P7703" s="25"/>
      <c r="Q7703" s="25"/>
      <c r="R7703" s="25"/>
      <c r="S7703" s="25"/>
      <c r="T7703" s="141"/>
      <c r="U7703" s="28"/>
    </row>
    <row r="7704" ht="15.75" customHeight="1">
      <c r="P7704" s="25"/>
      <c r="Q7704" s="25"/>
      <c r="R7704" s="25"/>
      <c r="S7704" s="25"/>
      <c r="T7704" s="141"/>
      <c r="U7704" s="28"/>
    </row>
    <row r="7705" ht="15.75" customHeight="1">
      <c r="P7705" s="25"/>
      <c r="Q7705" s="25"/>
      <c r="R7705" s="25"/>
      <c r="S7705" s="25"/>
      <c r="T7705" s="141"/>
      <c r="U7705" s="28"/>
    </row>
    <row r="7706" ht="15.75" customHeight="1">
      <c r="P7706" s="25"/>
      <c r="Q7706" s="25"/>
      <c r="R7706" s="25"/>
      <c r="S7706" s="25"/>
      <c r="T7706" s="141"/>
      <c r="U7706" s="28"/>
    </row>
    <row r="7707" ht="15.75" customHeight="1">
      <c r="P7707" s="25"/>
      <c r="Q7707" s="25"/>
      <c r="R7707" s="25"/>
      <c r="S7707" s="25"/>
      <c r="T7707" s="141"/>
      <c r="U7707" s="28"/>
    </row>
    <row r="7708" ht="15.75" customHeight="1">
      <c r="P7708" s="25"/>
      <c r="Q7708" s="25"/>
      <c r="R7708" s="25"/>
      <c r="S7708" s="25"/>
      <c r="T7708" s="141"/>
      <c r="U7708" s="28"/>
    </row>
    <row r="7709" ht="15.75" customHeight="1">
      <c r="P7709" s="25"/>
      <c r="Q7709" s="25"/>
      <c r="R7709" s="25"/>
      <c r="S7709" s="25"/>
      <c r="T7709" s="141"/>
      <c r="U7709" s="28"/>
    </row>
    <row r="7710" ht="15.75" customHeight="1">
      <c r="P7710" s="25"/>
      <c r="Q7710" s="25"/>
      <c r="R7710" s="25"/>
      <c r="S7710" s="25"/>
      <c r="T7710" s="141"/>
      <c r="U7710" s="28"/>
    </row>
    <row r="7711" ht="15.75" customHeight="1">
      <c r="P7711" s="25"/>
      <c r="Q7711" s="25"/>
      <c r="R7711" s="25"/>
      <c r="S7711" s="25"/>
      <c r="T7711" s="141"/>
      <c r="U7711" s="28"/>
    </row>
    <row r="7712" ht="15.75" customHeight="1">
      <c r="P7712" s="25"/>
      <c r="Q7712" s="25"/>
      <c r="R7712" s="25"/>
      <c r="S7712" s="25"/>
      <c r="T7712" s="141"/>
      <c r="U7712" s="28"/>
    </row>
    <row r="7713" ht="15.75" customHeight="1">
      <c r="P7713" s="25"/>
      <c r="Q7713" s="25"/>
      <c r="R7713" s="25"/>
      <c r="S7713" s="25"/>
      <c r="T7713" s="141"/>
      <c r="U7713" s="28"/>
    </row>
    <row r="7714" ht="15.75" customHeight="1">
      <c r="P7714" s="25"/>
      <c r="Q7714" s="25"/>
      <c r="R7714" s="25"/>
      <c r="S7714" s="25"/>
      <c r="T7714" s="141"/>
      <c r="U7714" s="28"/>
    </row>
    <row r="7715" ht="15.75" customHeight="1">
      <c r="P7715" s="25"/>
      <c r="Q7715" s="25"/>
      <c r="R7715" s="25"/>
      <c r="S7715" s="25"/>
      <c r="T7715" s="141"/>
      <c r="U7715" s="28"/>
    </row>
    <row r="7716" ht="15.75" customHeight="1">
      <c r="P7716" s="25"/>
      <c r="Q7716" s="25"/>
      <c r="R7716" s="25"/>
      <c r="S7716" s="25"/>
      <c r="T7716" s="141"/>
      <c r="U7716" s="28"/>
    </row>
    <row r="7717" ht="15.75" customHeight="1">
      <c r="P7717" s="25"/>
      <c r="Q7717" s="25"/>
      <c r="R7717" s="25"/>
      <c r="S7717" s="25"/>
      <c r="T7717" s="141"/>
      <c r="U7717" s="28"/>
    </row>
    <row r="7718" ht="15.75" customHeight="1">
      <c r="P7718" s="25"/>
      <c r="Q7718" s="25"/>
      <c r="R7718" s="25"/>
      <c r="S7718" s="25"/>
      <c r="T7718" s="141"/>
      <c r="U7718" s="28"/>
    </row>
    <row r="7719" ht="15.75" customHeight="1">
      <c r="P7719" s="25"/>
      <c r="Q7719" s="25"/>
      <c r="R7719" s="25"/>
      <c r="S7719" s="25"/>
      <c r="T7719" s="141"/>
      <c r="U7719" s="28"/>
    </row>
    <row r="7720" ht="15.75" customHeight="1">
      <c r="P7720" s="25"/>
      <c r="Q7720" s="25"/>
      <c r="R7720" s="25"/>
      <c r="S7720" s="25"/>
      <c r="T7720" s="141"/>
      <c r="U7720" s="28"/>
    </row>
    <row r="7721" ht="15.75" customHeight="1">
      <c r="P7721" s="25"/>
      <c r="Q7721" s="25"/>
      <c r="R7721" s="25"/>
      <c r="S7721" s="25"/>
      <c r="T7721" s="141"/>
      <c r="U7721" s="28"/>
    </row>
    <row r="7722" ht="15.75" customHeight="1">
      <c r="P7722" s="25"/>
      <c r="Q7722" s="25"/>
      <c r="R7722" s="25"/>
      <c r="S7722" s="25"/>
      <c r="T7722" s="141"/>
      <c r="U7722" s="28"/>
    </row>
    <row r="7723" ht="15.75" customHeight="1">
      <c r="P7723" s="25"/>
      <c r="Q7723" s="25"/>
      <c r="R7723" s="25"/>
      <c r="S7723" s="25"/>
      <c r="T7723" s="141"/>
      <c r="U7723" s="28"/>
    </row>
    <row r="7724" ht="15.75" customHeight="1">
      <c r="P7724" s="25"/>
      <c r="Q7724" s="25"/>
      <c r="R7724" s="25"/>
      <c r="S7724" s="25"/>
      <c r="T7724" s="141"/>
      <c r="U7724" s="28"/>
    </row>
    <row r="7725" ht="15.75" customHeight="1">
      <c r="P7725" s="25"/>
      <c r="Q7725" s="25"/>
      <c r="R7725" s="25"/>
      <c r="S7725" s="25"/>
      <c r="T7725" s="141"/>
      <c r="U7725" s="28"/>
    </row>
    <row r="7726" ht="15.75" customHeight="1">
      <c r="P7726" s="25"/>
      <c r="Q7726" s="25"/>
      <c r="R7726" s="25"/>
      <c r="S7726" s="25"/>
      <c r="T7726" s="141"/>
      <c r="U7726" s="28"/>
    </row>
    <row r="7727" ht="15.75" customHeight="1">
      <c r="P7727" s="25"/>
      <c r="Q7727" s="25"/>
      <c r="R7727" s="25"/>
      <c r="S7727" s="25"/>
      <c r="T7727" s="141"/>
      <c r="U7727" s="28"/>
    </row>
    <row r="7728" ht="15.75" customHeight="1">
      <c r="P7728" s="25"/>
      <c r="Q7728" s="25"/>
      <c r="R7728" s="25"/>
      <c r="S7728" s="25"/>
      <c r="T7728" s="141"/>
      <c r="U7728" s="28"/>
    </row>
    <row r="7729" ht="15.75" customHeight="1">
      <c r="P7729" s="25"/>
      <c r="Q7729" s="25"/>
      <c r="R7729" s="25"/>
      <c r="S7729" s="25"/>
      <c r="T7729" s="141"/>
      <c r="U7729" s="28"/>
    </row>
    <row r="7730" ht="15.75" customHeight="1">
      <c r="P7730" s="25"/>
      <c r="Q7730" s="25"/>
      <c r="R7730" s="25"/>
      <c r="S7730" s="25"/>
      <c r="T7730" s="141"/>
      <c r="U7730" s="28"/>
    </row>
    <row r="7731" ht="15.75" customHeight="1">
      <c r="P7731" s="25"/>
      <c r="Q7731" s="25"/>
      <c r="R7731" s="25"/>
      <c r="S7731" s="25"/>
      <c r="T7731" s="141"/>
      <c r="U7731" s="28"/>
    </row>
    <row r="7732" ht="15.75" customHeight="1">
      <c r="P7732" s="25"/>
      <c r="Q7732" s="25"/>
      <c r="R7732" s="25"/>
      <c r="S7732" s="25"/>
      <c r="T7732" s="141"/>
      <c r="U7732" s="28"/>
    </row>
    <row r="7733" ht="15.75" customHeight="1">
      <c r="P7733" s="25"/>
      <c r="Q7733" s="25"/>
      <c r="R7733" s="25"/>
      <c r="S7733" s="25"/>
      <c r="T7733" s="141"/>
      <c r="U7733" s="28"/>
    </row>
    <row r="7734" ht="15.75" customHeight="1">
      <c r="P7734" s="25"/>
      <c r="Q7734" s="25"/>
      <c r="R7734" s="25"/>
      <c r="S7734" s="25"/>
      <c r="T7734" s="141"/>
      <c r="U7734" s="28"/>
    </row>
    <row r="7735" ht="15.75" customHeight="1">
      <c r="P7735" s="25"/>
      <c r="Q7735" s="25"/>
      <c r="R7735" s="25"/>
      <c r="S7735" s="25"/>
      <c r="T7735" s="141"/>
      <c r="U7735" s="28"/>
    </row>
    <row r="7736" ht="15.75" customHeight="1">
      <c r="P7736" s="25"/>
      <c r="Q7736" s="25"/>
      <c r="R7736" s="25"/>
      <c r="S7736" s="25"/>
      <c r="T7736" s="141"/>
      <c r="U7736" s="28"/>
    </row>
    <row r="7737" ht="15.75" customHeight="1">
      <c r="P7737" s="25"/>
      <c r="Q7737" s="25"/>
      <c r="R7737" s="25"/>
      <c r="S7737" s="25"/>
      <c r="T7737" s="141"/>
      <c r="U7737" s="28"/>
    </row>
    <row r="7738" ht="15.75" customHeight="1">
      <c r="P7738" s="25"/>
      <c r="Q7738" s="25"/>
      <c r="R7738" s="25"/>
      <c r="S7738" s="25"/>
      <c r="T7738" s="141"/>
      <c r="U7738" s="28"/>
    </row>
    <row r="7739" ht="15.75" customHeight="1">
      <c r="P7739" s="25"/>
      <c r="Q7739" s="25"/>
      <c r="R7739" s="25"/>
      <c r="S7739" s="25"/>
      <c r="T7739" s="141"/>
      <c r="U7739" s="28"/>
    </row>
    <row r="7740" ht="15.75" customHeight="1">
      <c r="P7740" s="25"/>
      <c r="Q7740" s="25"/>
      <c r="R7740" s="25"/>
      <c r="S7740" s="25"/>
      <c r="T7740" s="141"/>
      <c r="U7740" s="28"/>
    </row>
    <row r="7741" ht="15.75" customHeight="1">
      <c r="P7741" s="25"/>
      <c r="Q7741" s="25"/>
      <c r="R7741" s="25"/>
      <c r="S7741" s="25"/>
      <c r="T7741" s="141"/>
      <c r="U7741" s="28"/>
    </row>
    <row r="7742" ht="15.75" customHeight="1">
      <c r="P7742" s="25"/>
      <c r="Q7742" s="25"/>
      <c r="R7742" s="25"/>
      <c r="S7742" s="25"/>
      <c r="T7742" s="141"/>
      <c r="U7742" s="28"/>
    </row>
    <row r="7743" ht="15.75" customHeight="1">
      <c r="P7743" s="25"/>
      <c r="Q7743" s="25"/>
      <c r="R7743" s="25"/>
      <c r="S7743" s="25"/>
      <c r="T7743" s="141"/>
      <c r="U7743" s="28"/>
    </row>
    <row r="7744" ht="15.75" customHeight="1">
      <c r="P7744" s="25"/>
      <c r="Q7744" s="25"/>
      <c r="R7744" s="25"/>
      <c r="S7744" s="25"/>
      <c r="T7744" s="141"/>
      <c r="U7744" s="28"/>
    </row>
    <row r="7745" ht="15.75" customHeight="1">
      <c r="P7745" s="25"/>
      <c r="Q7745" s="25"/>
      <c r="R7745" s="25"/>
      <c r="S7745" s="25"/>
      <c r="T7745" s="141"/>
      <c r="U7745" s="28"/>
    </row>
    <row r="7746" ht="15.75" customHeight="1">
      <c r="P7746" s="25"/>
      <c r="Q7746" s="25"/>
      <c r="R7746" s="25"/>
      <c r="S7746" s="25"/>
      <c r="T7746" s="141"/>
      <c r="U7746" s="28"/>
    </row>
    <row r="7747" ht="15.75" customHeight="1">
      <c r="P7747" s="25"/>
      <c r="Q7747" s="25"/>
      <c r="R7747" s="25"/>
      <c r="S7747" s="25"/>
      <c r="T7747" s="141"/>
      <c r="U7747" s="28"/>
    </row>
    <row r="7748" ht="15.75" customHeight="1">
      <c r="P7748" s="25"/>
      <c r="Q7748" s="25"/>
      <c r="R7748" s="25"/>
      <c r="S7748" s="25"/>
      <c r="T7748" s="141"/>
      <c r="U7748" s="28"/>
    </row>
    <row r="7749" ht="15.75" customHeight="1">
      <c r="P7749" s="25"/>
      <c r="Q7749" s="25"/>
      <c r="R7749" s="25"/>
      <c r="S7749" s="25"/>
      <c r="T7749" s="141"/>
      <c r="U7749" s="28"/>
    </row>
    <row r="7750" ht="15.75" customHeight="1">
      <c r="P7750" s="25"/>
      <c r="Q7750" s="25"/>
      <c r="R7750" s="25"/>
      <c r="S7750" s="25"/>
      <c r="T7750" s="141"/>
      <c r="U7750" s="28"/>
    </row>
    <row r="7751" ht="15.75" customHeight="1">
      <c r="P7751" s="25"/>
      <c r="Q7751" s="25"/>
      <c r="R7751" s="25"/>
      <c r="S7751" s="25"/>
      <c r="T7751" s="141"/>
      <c r="U7751" s="28"/>
    </row>
    <row r="7752" ht="15.75" customHeight="1">
      <c r="P7752" s="25"/>
      <c r="Q7752" s="25"/>
      <c r="R7752" s="25"/>
      <c r="S7752" s="25"/>
      <c r="T7752" s="141"/>
      <c r="U7752" s="28"/>
    </row>
    <row r="7753" ht="15.75" customHeight="1">
      <c r="P7753" s="25"/>
      <c r="Q7753" s="25"/>
      <c r="R7753" s="25"/>
      <c r="S7753" s="25"/>
      <c r="T7753" s="141"/>
      <c r="U7753" s="28"/>
    </row>
    <row r="7754" ht="15.75" customHeight="1">
      <c r="P7754" s="25"/>
      <c r="Q7754" s="25"/>
      <c r="R7754" s="25"/>
      <c r="S7754" s="25"/>
      <c r="T7754" s="141"/>
      <c r="U7754" s="28"/>
    </row>
    <row r="7755" ht="15.75" customHeight="1">
      <c r="P7755" s="25"/>
      <c r="Q7755" s="25"/>
      <c r="R7755" s="25"/>
      <c r="S7755" s="25"/>
      <c r="T7755" s="141"/>
      <c r="U7755" s="28"/>
    </row>
    <row r="7756" ht="15.75" customHeight="1">
      <c r="P7756" s="25"/>
      <c r="Q7756" s="25"/>
      <c r="R7756" s="25"/>
      <c r="S7756" s="25"/>
      <c r="T7756" s="141"/>
      <c r="U7756" s="28"/>
    </row>
    <row r="7757" ht="15.75" customHeight="1">
      <c r="P7757" s="25"/>
      <c r="Q7757" s="25"/>
      <c r="R7757" s="25"/>
      <c r="S7757" s="25"/>
      <c r="T7757" s="141"/>
      <c r="U7757" s="28"/>
    </row>
    <row r="7758" ht="15.75" customHeight="1">
      <c r="P7758" s="25"/>
      <c r="Q7758" s="25"/>
      <c r="R7758" s="25"/>
      <c r="S7758" s="25"/>
      <c r="T7758" s="141"/>
      <c r="U7758" s="28"/>
    </row>
    <row r="7759" ht="15.75" customHeight="1">
      <c r="P7759" s="25"/>
      <c r="Q7759" s="25"/>
      <c r="R7759" s="25"/>
      <c r="S7759" s="25"/>
      <c r="T7759" s="141"/>
      <c r="U7759" s="28"/>
    </row>
    <row r="7760" ht="15.75" customHeight="1">
      <c r="P7760" s="25"/>
      <c r="Q7760" s="25"/>
      <c r="R7760" s="25"/>
      <c r="S7760" s="25"/>
      <c r="T7760" s="141"/>
      <c r="U7760" s="28"/>
    </row>
    <row r="7761" ht="15.75" customHeight="1">
      <c r="P7761" s="25"/>
      <c r="Q7761" s="25"/>
      <c r="R7761" s="25"/>
      <c r="S7761" s="25"/>
      <c r="T7761" s="141"/>
      <c r="U7761" s="28"/>
    </row>
    <row r="7762" ht="15.75" customHeight="1">
      <c r="P7762" s="25"/>
      <c r="Q7762" s="25"/>
      <c r="R7762" s="25"/>
      <c r="S7762" s="25"/>
      <c r="T7762" s="141"/>
      <c r="U7762" s="28"/>
    </row>
    <row r="7763" ht="15.75" customHeight="1">
      <c r="P7763" s="25"/>
      <c r="Q7763" s="25"/>
      <c r="R7763" s="25"/>
      <c r="S7763" s="25"/>
      <c r="T7763" s="141"/>
      <c r="U7763" s="28"/>
    </row>
    <row r="7764" ht="15.75" customHeight="1">
      <c r="P7764" s="25"/>
      <c r="Q7764" s="25"/>
      <c r="R7764" s="25"/>
      <c r="S7764" s="25"/>
      <c r="T7764" s="141"/>
      <c r="U7764" s="28"/>
    </row>
    <row r="7765" ht="15.75" customHeight="1">
      <c r="P7765" s="25"/>
      <c r="Q7765" s="25"/>
      <c r="R7765" s="25"/>
      <c r="S7765" s="25"/>
      <c r="T7765" s="141"/>
      <c r="U7765" s="28"/>
    </row>
    <row r="7766" ht="15.75" customHeight="1">
      <c r="P7766" s="25"/>
      <c r="Q7766" s="25"/>
      <c r="R7766" s="25"/>
      <c r="S7766" s="25"/>
      <c r="T7766" s="141"/>
      <c r="U7766" s="28"/>
    </row>
    <row r="7767" ht="15.75" customHeight="1">
      <c r="P7767" s="25"/>
      <c r="Q7767" s="25"/>
      <c r="R7767" s="25"/>
      <c r="S7767" s="25"/>
      <c r="T7767" s="141"/>
      <c r="U7767" s="28"/>
    </row>
    <row r="7768" ht="15.75" customHeight="1">
      <c r="P7768" s="25"/>
      <c r="Q7768" s="25"/>
      <c r="R7768" s="25"/>
      <c r="S7768" s="25"/>
      <c r="T7768" s="141"/>
      <c r="U7768" s="28"/>
    </row>
    <row r="7769" ht="15.75" customHeight="1">
      <c r="P7769" s="25"/>
      <c r="Q7769" s="25"/>
      <c r="R7769" s="25"/>
      <c r="S7769" s="25"/>
      <c r="T7769" s="141"/>
      <c r="U7769" s="28"/>
    </row>
    <row r="7770" ht="15.75" customHeight="1">
      <c r="P7770" s="25"/>
      <c r="Q7770" s="25"/>
      <c r="R7770" s="25"/>
      <c r="S7770" s="25"/>
      <c r="T7770" s="141"/>
      <c r="U7770" s="28"/>
    </row>
    <row r="7771" ht="15.75" customHeight="1">
      <c r="P7771" s="25"/>
      <c r="Q7771" s="25"/>
      <c r="R7771" s="25"/>
      <c r="S7771" s="25"/>
      <c r="T7771" s="141"/>
      <c r="U7771" s="28"/>
    </row>
    <row r="7772" ht="15.75" customHeight="1">
      <c r="P7772" s="25"/>
      <c r="Q7772" s="25"/>
      <c r="R7772" s="25"/>
      <c r="S7772" s="25"/>
      <c r="T7772" s="141"/>
      <c r="U7772" s="28"/>
    </row>
    <row r="7773" ht="15.75" customHeight="1">
      <c r="P7773" s="25"/>
      <c r="Q7773" s="25"/>
      <c r="R7773" s="25"/>
      <c r="S7773" s="25"/>
      <c r="T7773" s="141"/>
      <c r="U7773" s="28"/>
    </row>
    <row r="7774" ht="15.75" customHeight="1">
      <c r="P7774" s="25"/>
      <c r="Q7774" s="25"/>
      <c r="R7774" s="25"/>
      <c r="S7774" s="25"/>
      <c r="T7774" s="141"/>
      <c r="U7774" s="28"/>
    </row>
    <row r="7775" ht="15.75" customHeight="1">
      <c r="P7775" s="25"/>
      <c r="Q7775" s="25"/>
      <c r="R7775" s="25"/>
      <c r="S7775" s="25"/>
      <c r="T7775" s="141"/>
      <c r="U7775" s="28"/>
    </row>
    <row r="7776" ht="15.75" customHeight="1">
      <c r="P7776" s="25"/>
      <c r="Q7776" s="25"/>
      <c r="R7776" s="25"/>
      <c r="S7776" s="25"/>
      <c r="T7776" s="141"/>
      <c r="U7776" s="28"/>
    </row>
    <row r="7777" ht="15.75" customHeight="1">
      <c r="P7777" s="25"/>
      <c r="Q7777" s="25"/>
      <c r="R7777" s="25"/>
      <c r="S7777" s="25"/>
      <c r="T7777" s="141"/>
      <c r="U7777" s="28"/>
    </row>
    <row r="7778" ht="15.75" customHeight="1">
      <c r="P7778" s="25"/>
      <c r="Q7778" s="25"/>
      <c r="R7778" s="25"/>
      <c r="S7778" s="25"/>
      <c r="T7778" s="141"/>
      <c r="U7778" s="28"/>
    </row>
    <row r="7779" ht="15.75" customHeight="1">
      <c r="P7779" s="25"/>
      <c r="Q7779" s="25"/>
      <c r="R7779" s="25"/>
      <c r="S7779" s="25"/>
      <c r="T7779" s="141"/>
      <c r="U7779" s="28"/>
    </row>
    <row r="7780" ht="15.75" customHeight="1">
      <c r="P7780" s="25"/>
      <c r="Q7780" s="25"/>
      <c r="R7780" s="25"/>
      <c r="S7780" s="25"/>
      <c r="T7780" s="141"/>
      <c r="U7780" s="28"/>
    </row>
    <row r="7781" ht="15.75" customHeight="1">
      <c r="P7781" s="25"/>
      <c r="Q7781" s="25"/>
      <c r="R7781" s="25"/>
      <c r="S7781" s="25"/>
      <c r="T7781" s="141"/>
      <c r="U7781" s="28"/>
    </row>
    <row r="7782" ht="15.75" customHeight="1">
      <c r="P7782" s="25"/>
      <c r="Q7782" s="25"/>
      <c r="R7782" s="25"/>
      <c r="S7782" s="25"/>
      <c r="T7782" s="141"/>
      <c r="U7782" s="28"/>
    </row>
    <row r="7783" ht="15.75" customHeight="1">
      <c r="P7783" s="25"/>
      <c r="Q7783" s="25"/>
      <c r="R7783" s="25"/>
      <c r="S7783" s="25"/>
      <c r="T7783" s="141"/>
      <c r="U7783" s="28"/>
    </row>
    <row r="7784" ht="15.75" customHeight="1">
      <c r="P7784" s="25"/>
      <c r="Q7784" s="25"/>
      <c r="R7784" s="25"/>
      <c r="S7784" s="25"/>
      <c r="T7784" s="141"/>
      <c r="U7784" s="28"/>
    </row>
    <row r="7785" ht="15.75" customHeight="1">
      <c r="P7785" s="25"/>
      <c r="Q7785" s="25"/>
      <c r="R7785" s="25"/>
      <c r="S7785" s="25"/>
      <c r="T7785" s="141"/>
      <c r="U7785" s="28"/>
    </row>
    <row r="7786" ht="15.75" customHeight="1">
      <c r="P7786" s="25"/>
      <c r="Q7786" s="25"/>
      <c r="R7786" s="25"/>
      <c r="S7786" s="25"/>
      <c r="T7786" s="141"/>
      <c r="U7786" s="28"/>
    </row>
    <row r="7787" ht="15.75" customHeight="1">
      <c r="P7787" s="25"/>
      <c r="Q7787" s="25"/>
      <c r="R7787" s="25"/>
      <c r="S7787" s="25"/>
      <c r="T7787" s="141"/>
      <c r="U7787" s="28"/>
    </row>
    <row r="7788" ht="15.75" customHeight="1">
      <c r="P7788" s="25"/>
      <c r="Q7788" s="25"/>
      <c r="R7788" s="25"/>
      <c r="S7788" s="25"/>
      <c r="T7788" s="141"/>
      <c r="U7788" s="28"/>
    </row>
    <row r="7789" ht="15.75" customHeight="1">
      <c r="P7789" s="25"/>
      <c r="Q7789" s="25"/>
      <c r="R7789" s="25"/>
      <c r="S7789" s="25"/>
      <c r="T7789" s="141"/>
      <c r="U7789" s="28"/>
    </row>
    <row r="7790" ht="15.75" customHeight="1">
      <c r="P7790" s="25"/>
      <c r="Q7790" s="25"/>
      <c r="R7790" s="25"/>
      <c r="S7790" s="25"/>
      <c r="T7790" s="141"/>
      <c r="U7790" s="28"/>
    </row>
    <row r="7791" ht="15.75" customHeight="1">
      <c r="P7791" s="25"/>
      <c r="Q7791" s="25"/>
      <c r="R7791" s="25"/>
      <c r="S7791" s="25"/>
      <c r="T7791" s="141"/>
      <c r="U7791" s="28"/>
    </row>
    <row r="7792" ht="15.75" customHeight="1">
      <c r="P7792" s="25"/>
      <c r="Q7792" s="25"/>
      <c r="R7792" s="25"/>
      <c r="S7792" s="25"/>
      <c r="T7792" s="141"/>
      <c r="U7792" s="28"/>
    </row>
    <row r="7793" ht="15.75" customHeight="1">
      <c r="P7793" s="25"/>
      <c r="Q7793" s="25"/>
      <c r="R7793" s="25"/>
      <c r="S7793" s="25"/>
      <c r="T7793" s="141"/>
      <c r="U7793" s="28"/>
    </row>
    <row r="7794" ht="15.75" customHeight="1">
      <c r="P7794" s="25"/>
      <c r="Q7794" s="25"/>
      <c r="R7794" s="25"/>
      <c r="S7794" s="25"/>
      <c r="T7794" s="141"/>
      <c r="U7794" s="28"/>
    </row>
    <row r="7795" ht="15.75" customHeight="1">
      <c r="P7795" s="25"/>
      <c r="Q7795" s="25"/>
      <c r="R7795" s="25"/>
      <c r="S7795" s="25"/>
      <c r="T7795" s="141"/>
      <c r="U7795" s="28"/>
    </row>
    <row r="7796" ht="15.75" customHeight="1">
      <c r="P7796" s="25"/>
      <c r="Q7796" s="25"/>
      <c r="R7796" s="25"/>
      <c r="S7796" s="25"/>
      <c r="T7796" s="141"/>
      <c r="U7796" s="28"/>
    </row>
    <row r="7797" ht="15.75" customHeight="1">
      <c r="P7797" s="25"/>
      <c r="Q7797" s="25"/>
      <c r="R7797" s="25"/>
      <c r="S7797" s="25"/>
      <c r="T7797" s="141"/>
      <c r="U7797" s="28"/>
    </row>
    <row r="7798" ht="15.75" customHeight="1">
      <c r="P7798" s="25"/>
      <c r="Q7798" s="25"/>
      <c r="R7798" s="25"/>
      <c r="S7798" s="25"/>
      <c r="T7798" s="141"/>
      <c r="U7798" s="28"/>
    </row>
    <row r="7799" ht="15.75" customHeight="1">
      <c r="P7799" s="25"/>
      <c r="Q7799" s="25"/>
      <c r="R7799" s="25"/>
      <c r="S7799" s="25"/>
      <c r="T7799" s="141"/>
      <c r="U7799" s="28"/>
    </row>
    <row r="7800" ht="15.75" customHeight="1">
      <c r="P7800" s="25"/>
      <c r="Q7800" s="25"/>
      <c r="R7800" s="25"/>
      <c r="S7800" s="25"/>
      <c r="T7800" s="141"/>
      <c r="U7800" s="28"/>
    </row>
    <row r="7801" ht="15.75" customHeight="1">
      <c r="P7801" s="25"/>
      <c r="Q7801" s="25"/>
      <c r="R7801" s="25"/>
      <c r="S7801" s="25"/>
      <c r="T7801" s="141"/>
      <c r="U7801" s="28"/>
    </row>
    <row r="7802" ht="15.75" customHeight="1">
      <c r="P7802" s="25"/>
      <c r="Q7802" s="25"/>
      <c r="R7802" s="25"/>
      <c r="S7802" s="25"/>
      <c r="T7802" s="141"/>
      <c r="U7802" s="28"/>
    </row>
    <row r="7803" ht="15.75" customHeight="1">
      <c r="P7803" s="25"/>
      <c r="Q7803" s="25"/>
      <c r="R7803" s="25"/>
      <c r="S7803" s="25"/>
      <c r="T7803" s="141"/>
      <c r="U7803" s="28"/>
    </row>
    <row r="7804" ht="15.75" customHeight="1">
      <c r="P7804" s="25"/>
      <c r="Q7804" s="25"/>
      <c r="R7804" s="25"/>
      <c r="S7804" s="25"/>
      <c r="T7804" s="141"/>
      <c r="U7804" s="28"/>
    </row>
    <row r="7805" ht="15.75" customHeight="1">
      <c r="P7805" s="25"/>
      <c r="Q7805" s="25"/>
      <c r="R7805" s="25"/>
      <c r="S7805" s="25"/>
      <c r="T7805" s="141"/>
      <c r="U7805" s="28"/>
    </row>
    <row r="7806" ht="15.75" customHeight="1">
      <c r="P7806" s="25"/>
      <c r="Q7806" s="25"/>
      <c r="R7806" s="25"/>
      <c r="S7806" s="25"/>
      <c r="T7806" s="141"/>
      <c r="U7806" s="28"/>
    </row>
    <row r="7807" ht="15.75" customHeight="1">
      <c r="P7807" s="25"/>
      <c r="Q7807" s="25"/>
      <c r="R7807" s="25"/>
      <c r="S7807" s="25"/>
      <c r="T7807" s="141"/>
      <c r="U7807" s="28"/>
    </row>
    <row r="7808" ht="15.75" customHeight="1">
      <c r="P7808" s="25"/>
      <c r="Q7808" s="25"/>
      <c r="R7808" s="25"/>
      <c r="S7808" s="25"/>
      <c r="T7808" s="141"/>
      <c r="U7808" s="28"/>
    </row>
    <row r="7809" ht="15.75" customHeight="1">
      <c r="P7809" s="25"/>
      <c r="Q7809" s="25"/>
      <c r="R7809" s="25"/>
      <c r="S7809" s="25"/>
      <c r="T7809" s="141"/>
      <c r="U7809" s="28"/>
    </row>
    <row r="7810" ht="15.75" customHeight="1">
      <c r="P7810" s="25"/>
      <c r="Q7810" s="25"/>
      <c r="R7810" s="25"/>
      <c r="S7810" s="25"/>
      <c r="T7810" s="141"/>
      <c r="U7810" s="28"/>
    </row>
    <row r="7811" ht="15.75" customHeight="1">
      <c r="P7811" s="25"/>
      <c r="Q7811" s="25"/>
      <c r="R7811" s="25"/>
      <c r="S7811" s="25"/>
      <c r="T7811" s="141"/>
      <c r="U7811" s="28"/>
    </row>
    <row r="7812" ht="15.75" customHeight="1">
      <c r="P7812" s="25"/>
      <c r="Q7812" s="25"/>
      <c r="R7812" s="25"/>
      <c r="S7812" s="25"/>
      <c r="T7812" s="141"/>
      <c r="U7812" s="28"/>
    </row>
    <row r="7813" ht="15.75" customHeight="1">
      <c r="P7813" s="25"/>
      <c r="Q7813" s="25"/>
      <c r="R7813" s="25"/>
      <c r="S7813" s="25"/>
      <c r="T7813" s="141"/>
      <c r="U7813" s="28"/>
    </row>
    <row r="7814" ht="15.75" customHeight="1">
      <c r="P7814" s="25"/>
      <c r="Q7814" s="25"/>
      <c r="R7814" s="25"/>
      <c r="S7814" s="25"/>
      <c r="T7814" s="141"/>
      <c r="U7814" s="28"/>
    </row>
    <row r="7815" ht="15.75" customHeight="1">
      <c r="P7815" s="25"/>
      <c r="Q7815" s="25"/>
      <c r="R7815" s="25"/>
      <c r="S7815" s="25"/>
      <c r="T7815" s="141"/>
      <c r="U7815" s="28"/>
    </row>
    <row r="7816" ht="15.75" customHeight="1">
      <c r="P7816" s="25"/>
      <c r="Q7816" s="25"/>
      <c r="R7816" s="25"/>
      <c r="S7816" s="25"/>
      <c r="T7816" s="141"/>
      <c r="U7816" s="28"/>
    </row>
    <row r="7817" ht="15.75" customHeight="1">
      <c r="P7817" s="25"/>
      <c r="Q7817" s="25"/>
      <c r="R7817" s="25"/>
      <c r="S7817" s="25"/>
      <c r="T7817" s="141"/>
      <c r="U7817" s="28"/>
    </row>
    <row r="7818" ht="15.75" customHeight="1">
      <c r="P7818" s="25"/>
      <c r="Q7818" s="25"/>
      <c r="R7818" s="25"/>
      <c r="S7818" s="25"/>
      <c r="T7818" s="141"/>
      <c r="U7818" s="28"/>
    </row>
    <row r="7819" ht="15.75" customHeight="1">
      <c r="P7819" s="25"/>
      <c r="Q7819" s="25"/>
      <c r="R7819" s="25"/>
      <c r="S7819" s="25"/>
      <c r="T7819" s="141"/>
      <c r="U7819" s="28"/>
    </row>
    <row r="7820" ht="15.75" customHeight="1">
      <c r="P7820" s="25"/>
      <c r="Q7820" s="25"/>
      <c r="R7820" s="25"/>
      <c r="S7820" s="25"/>
      <c r="T7820" s="141"/>
      <c r="U7820" s="28"/>
    </row>
    <row r="7821" ht="15.75" customHeight="1">
      <c r="P7821" s="25"/>
      <c r="Q7821" s="25"/>
      <c r="R7821" s="25"/>
      <c r="S7821" s="25"/>
      <c r="T7821" s="141"/>
      <c r="U7821" s="28"/>
    </row>
    <row r="7822" ht="15.75" customHeight="1">
      <c r="P7822" s="25"/>
      <c r="Q7822" s="25"/>
      <c r="R7822" s="25"/>
      <c r="S7822" s="25"/>
      <c r="T7822" s="141"/>
      <c r="U7822" s="28"/>
    </row>
    <row r="7823" ht="15.75" customHeight="1">
      <c r="P7823" s="25"/>
      <c r="Q7823" s="25"/>
      <c r="R7823" s="25"/>
      <c r="S7823" s="25"/>
      <c r="T7823" s="141"/>
      <c r="U7823" s="28"/>
    </row>
    <row r="7824" ht="15.75" customHeight="1">
      <c r="P7824" s="25"/>
      <c r="Q7824" s="25"/>
      <c r="R7824" s="25"/>
      <c r="S7824" s="25"/>
      <c r="T7824" s="141"/>
      <c r="U7824" s="28"/>
    </row>
    <row r="7825" ht="15.75" customHeight="1">
      <c r="P7825" s="25"/>
      <c r="Q7825" s="25"/>
      <c r="R7825" s="25"/>
      <c r="S7825" s="25"/>
      <c r="T7825" s="141"/>
      <c r="U7825" s="28"/>
    </row>
    <row r="7826" ht="15.75" customHeight="1">
      <c r="P7826" s="25"/>
      <c r="Q7826" s="25"/>
      <c r="R7826" s="25"/>
      <c r="S7826" s="25"/>
      <c r="T7826" s="141"/>
      <c r="U7826" s="28"/>
    </row>
    <row r="7827" ht="15.75" customHeight="1">
      <c r="P7827" s="25"/>
      <c r="Q7827" s="25"/>
      <c r="R7827" s="25"/>
      <c r="S7827" s="25"/>
      <c r="T7827" s="141"/>
      <c r="U7827" s="28"/>
    </row>
    <row r="7828" ht="15.75" customHeight="1">
      <c r="P7828" s="25"/>
      <c r="Q7828" s="25"/>
      <c r="R7828" s="25"/>
      <c r="S7828" s="25"/>
      <c r="T7828" s="141"/>
      <c r="U7828" s="28"/>
    </row>
    <row r="7829" ht="15.75" customHeight="1">
      <c r="P7829" s="25"/>
      <c r="Q7829" s="25"/>
      <c r="R7829" s="25"/>
      <c r="S7829" s="25"/>
      <c r="T7829" s="141"/>
      <c r="U7829" s="28"/>
    </row>
    <row r="7830" ht="15.75" customHeight="1">
      <c r="P7830" s="25"/>
      <c r="Q7830" s="25"/>
      <c r="R7830" s="25"/>
      <c r="S7830" s="25"/>
      <c r="T7830" s="141"/>
      <c r="U7830" s="28"/>
    </row>
    <row r="7831" ht="15.75" customHeight="1">
      <c r="P7831" s="25"/>
      <c r="Q7831" s="25"/>
      <c r="R7831" s="25"/>
      <c r="S7831" s="25"/>
      <c r="T7831" s="141"/>
      <c r="U7831" s="28"/>
    </row>
    <row r="7832" ht="15.75" customHeight="1">
      <c r="P7832" s="25"/>
      <c r="Q7832" s="25"/>
      <c r="R7832" s="25"/>
      <c r="S7832" s="25"/>
      <c r="T7832" s="141"/>
      <c r="U7832" s="28"/>
    </row>
    <row r="7833" ht="15.75" customHeight="1">
      <c r="P7833" s="25"/>
      <c r="Q7833" s="25"/>
      <c r="R7833" s="25"/>
      <c r="S7833" s="25"/>
      <c r="T7833" s="141"/>
      <c r="U7833" s="28"/>
    </row>
    <row r="7834" ht="15.75" customHeight="1">
      <c r="P7834" s="25"/>
      <c r="Q7834" s="25"/>
      <c r="R7834" s="25"/>
      <c r="S7834" s="25"/>
      <c r="T7834" s="141"/>
      <c r="U7834" s="28"/>
    </row>
    <row r="7835" ht="15.75" customHeight="1">
      <c r="P7835" s="25"/>
      <c r="Q7835" s="25"/>
      <c r="R7835" s="25"/>
      <c r="S7835" s="25"/>
      <c r="T7835" s="141"/>
      <c r="U7835" s="28"/>
    </row>
    <row r="7836" ht="15.75" customHeight="1">
      <c r="P7836" s="25"/>
      <c r="Q7836" s="25"/>
      <c r="R7836" s="25"/>
      <c r="S7836" s="25"/>
      <c r="T7836" s="141"/>
      <c r="U7836" s="28"/>
    </row>
    <row r="7837" ht="15.75" customHeight="1">
      <c r="P7837" s="25"/>
      <c r="Q7837" s="25"/>
      <c r="R7837" s="25"/>
      <c r="S7837" s="25"/>
      <c r="T7837" s="141"/>
      <c r="U7837" s="28"/>
    </row>
    <row r="7838" ht="15.75" customHeight="1">
      <c r="P7838" s="25"/>
      <c r="Q7838" s="25"/>
      <c r="R7838" s="25"/>
      <c r="S7838" s="25"/>
      <c r="T7838" s="141"/>
      <c r="U7838" s="28"/>
    </row>
    <row r="7839" ht="15.75" customHeight="1">
      <c r="P7839" s="25"/>
      <c r="Q7839" s="25"/>
      <c r="R7839" s="25"/>
      <c r="S7839" s="25"/>
      <c r="T7839" s="141"/>
      <c r="U7839" s="28"/>
    </row>
    <row r="7840" ht="15.75" customHeight="1">
      <c r="P7840" s="25"/>
      <c r="Q7840" s="25"/>
      <c r="R7840" s="25"/>
      <c r="S7840" s="25"/>
      <c r="T7840" s="141"/>
      <c r="U7840" s="28"/>
    </row>
    <row r="7841" ht="15.75" customHeight="1">
      <c r="P7841" s="25"/>
      <c r="Q7841" s="25"/>
      <c r="R7841" s="25"/>
      <c r="S7841" s="25"/>
      <c r="T7841" s="141"/>
      <c r="U7841" s="28"/>
    </row>
    <row r="7842" ht="15.75" customHeight="1">
      <c r="P7842" s="25"/>
      <c r="Q7842" s="25"/>
      <c r="R7842" s="25"/>
      <c r="S7842" s="25"/>
      <c r="T7842" s="141"/>
      <c r="U7842" s="28"/>
    </row>
    <row r="7843" ht="15.75" customHeight="1">
      <c r="P7843" s="25"/>
      <c r="Q7843" s="25"/>
      <c r="R7843" s="25"/>
      <c r="S7843" s="25"/>
      <c r="T7843" s="141"/>
      <c r="U7843" s="28"/>
    </row>
    <row r="7844" ht="15.75" customHeight="1">
      <c r="P7844" s="25"/>
      <c r="Q7844" s="25"/>
      <c r="R7844" s="25"/>
      <c r="S7844" s="25"/>
      <c r="T7844" s="141"/>
      <c r="U7844" s="28"/>
    </row>
    <row r="7845" ht="15.75" customHeight="1">
      <c r="P7845" s="25"/>
      <c r="Q7845" s="25"/>
      <c r="R7845" s="25"/>
      <c r="S7845" s="25"/>
      <c r="T7845" s="141"/>
      <c r="U7845" s="28"/>
    </row>
    <row r="7846" ht="15.75" customHeight="1">
      <c r="P7846" s="25"/>
      <c r="Q7846" s="25"/>
      <c r="R7846" s="25"/>
      <c r="S7846" s="25"/>
      <c r="T7846" s="141"/>
      <c r="U7846" s="28"/>
    </row>
    <row r="7847" ht="15.75" customHeight="1">
      <c r="P7847" s="25"/>
      <c r="Q7847" s="25"/>
      <c r="R7847" s="25"/>
      <c r="S7847" s="25"/>
      <c r="T7847" s="141"/>
      <c r="U7847" s="28"/>
    </row>
    <row r="7848" ht="15.75" customHeight="1">
      <c r="P7848" s="25"/>
      <c r="Q7848" s="25"/>
      <c r="R7848" s="25"/>
      <c r="S7848" s="25"/>
      <c r="T7848" s="141"/>
      <c r="U7848" s="28"/>
    </row>
    <row r="7849" ht="15.75" customHeight="1">
      <c r="P7849" s="25"/>
      <c r="Q7849" s="25"/>
      <c r="R7849" s="25"/>
      <c r="S7849" s="25"/>
      <c r="T7849" s="141"/>
      <c r="U7849" s="28"/>
    </row>
    <row r="7850" ht="15.75" customHeight="1">
      <c r="P7850" s="25"/>
      <c r="Q7850" s="25"/>
      <c r="R7850" s="25"/>
      <c r="S7850" s="25"/>
      <c r="T7850" s="141"/>
      <c r="U7850" s="28"/>
    </row>
    <row r="7851" ht="15.75" customHeight="1">
      <c r="P7851" s="25"/>
      <c r="Q7851" s="25"/>
      <c r="R7851" s="25"/>
      <c r="S7851" s="25"/>
      <c r="T7851" s="141"/>
      <c r="U7851" s="28"/>
    </row>
    <row r="7852" ht="15.75" customHeight="1">
      <c r="P7852" s="25"/>
      <c r="Q7852" s="25"/>
      <c r="R7852" s="25"/>
      <c r="S7852" s="25"/>
      <c r="T7852" s="141"/>
      <c r="U7852" s="28"/>
    </row>
    <row r="7853" ht="15.75" customHeight="1">
      <c r="P7853" s="25"/>
      <c r="Q7853" s="25"/>
      <c r="R7853" s="25"/>
      <c r="S7853" s="25"/>
      <c r="T7853" s="141"/>
      <c r="U7853" s="28"/>
    </row>
    <row r="7854" ht="15.75" customHeight="1">
      <c r="P7854" s="25"/>
      <c r="Q7854" s="25"/>
      <c r="R7854" s="25"/>
      <c r="S7854" s="25"/>
      <c r="T7854" s="141"/>
      <c r="U7854" s="28"/>
    </row>
    <row r="7855" ht="15.75" customHeight="1">
      <c r="P7855" s="25"/>
      <c r="Q7855" s="25"/>
      <c r="R7855" s="25"/>
      <c r="S7855" s="25"/>
      <c r="T7855" s="141"/>
      <c r="U7855" s="28"/>
    </row>
    <row r="7856" ht="15.75" customHeight="1">
      <c r="P7856" s="25"/>
      <c r="Q7856" s="25"/>
      <c r="R7856" s="25"/>
      <c r="S7856" s="25"/>
      <c r="T7856" s="141"/>
      <c r="U7856" s="28"/>
    </row>
    <row r="7857" ht="15.75" customHeight="1">
      <c r="P7857" s="25"/>
      <c r="Q7857" s="25"/>
      <c r="R7857" s="25"/>
      <c r="S7857" s="25"/>
      <c r="T7857" s="141"/>
      <c r="U7857" s="28"/>
    </row>
    <row r="7858" ht="15.75" customHeight="1">
      <c r="P7858" s="25"/>
      <c r="Q7858" s="25"/>
      <c r="R7858" s="25"/>
      <c r="S7858" s="25"/>
      <c r="T7858" s="141"/>
      <c r="U7858" s="28"/>
    </row>
    <row r="7859" ht="15.75" customHeight="1">
      <c r="P7859" s="25"/>
      <c r="Q7859" s="25"/>
      <c r="R7859" s="25"/>
      <c r="S7859" s="25"/>
      <c r="T7859" s="141"/>
      <c r="U7859" s="28"/>
    </row>
    <row r="7860" ht="15.75" customHeight="1">
      <c r="P7860" s="25"/>
      <c r="Q7860" s="25"/>
      <c r="R7860" s="25"/>
      <c r="S7860" s="25"/>
      <c r="T7860" s="141"/>
      <c r="U7860" s="28"/>
    </row>
    <row r="7861" ht="15.75" customHeight="1">
      <c r="P7861" s="25"/>
      <c r="Q7861" s="25"/>
      <c r="R7861" s="25"/>
      <c r="S7861" s="25"/>
      <c r="T7861" s="141"/>
      <c r="U7861" s="28"/>
    </row>
    <row r="7862" ht="15.75" customHeight="1">
      <c r="P7862" s="25"/>
      <c r="Q7862" s="25"/>
      <c r="R7862" s="25"/>
      <c r="S7862" s="25"/>
      <c r="T7862" s="141"/>
      <c r="U7862" s="28"/>
    </row>
    <row r="7863" ht="15.75" customHeight="1">
      <c r="P7863" s="25"/>
      <c r="Q7863" s="25"/>
      <c r="R7863" s="25"/>
      <c r="S7863" s="25"/>
      <c r="T7863" s="141"/>
      <c r="U7863" s="28"/>
    </row>
    <row r="7864" ht="15.75" customHeight="1">
      <c r="P7864" s="25"/>
      <c r="Q7864" s="25"/>
      <c r="R7864" s="25"/>
      <c r="S7864" s="25"/>
      <c r="T7864" s="141"/>
      <c r="U7864" s="28"/>
    </row>
    <row r="7865" ht="15.75" customHeight="1">
      <c r="P7865" s="25"/>
      <c r="Q7865" s="25"/>
      <c r="R7865" s="25"/>
      <c r="S7865" s="25"/>
      <c r="T7865" s="141"/>
      <c r="U7865" s="28"/>
    </row>
    <row r="7866" ht="15.75" customHeight="1">
      <c r="P7866" s="25"/>
      <c r="Q7866" s="25"/>
      <c r="R7866" s="25"/>
      <c r="S7866" s="25"/>
      <c r="T7866" s="141"/>
      <c r="U7866" s="28"/>
    </row>
    <row r="7867" ht="15.75" customHeight="1">
      <c r="P7867" s="25"/>
      <c r="Q7867" s="25"/>
      <c r="R7867" s="25"/>
      <c r="S7867" s="25"/>
      <c r="T7867" s="141"/>
      <c r="U7867" s="28"/>
    </row>
    <row r="7868" ht="15.75" customHeight="1">
      <c r="P7868" s="25"/>
      <c r="Q7868" s="25"/>
      <c r="R7868" s="25"/>
      <c r="S7868" s="25"/>
      <c r="T7868" s="141"/>
      <c r="U7868" s="28"/>
    </row>
    <row r="7869" ht="15.75" customHeight="1">
      <c r="P7869" s="25"/>
      <c r="Q7869" s="25"/>
      <c r="R7869" s="25"/>
      <c r="S7869" s="25"/>
      <c r="T7869" s="141"/>
      <c r="U7869" s="28"/>
    </row>
    <row r="7870" ht="15.75" customHeight="1">
      <c r="P7870" s="25"/>
      <c r="Q7870" s="25"/>
      <c r="R7870" s="25"/>
      <c r="S7870" s="25"/>
      <c r="T7870" s="141"/>
      <c r="U7870" s="28"/>
    </row>
    <row r="7871" ht="15.75" customHeight="1">
      <c r="P7871" s="25"/>
      <c r="Q7871" s="25"/>
      <c r="R7871" s="25"/>
      <c r="S7871" s="25"/>
      <c r="T7871" s="141"/>
      <c r="U7871" s="28"/>
    </row>
    <row r="7872" ht="15.75" customHeight="1">
      <c r="P7872" s="25"/>
      <c r="Q7872" s="25"/>
      <c r="R7872" s="25"/>
      <c r="S7872" s="25"/>
      <c r="T7872" s="141"/>
      <c r="U7872" s="28"/>
    </row>
    <row r="7873" ht="15.75" customHeight="1">
      <c r="P7873" s="25"/>
      <c r="Q7873" s="25"/>
      <c r="R7873" s="25"/>
      <c r="S7873" s="25"/>
      <c r="T7873" s="141"/>
      <c r="U7873" s="28"/>
    </row>
    <row r="7874" ht="15.75" customHeight="1">
      <c r="P7874" s="25"/>
      <c r="Q7874" s="25"/>
      <c r="R7874" s="25"/>
      <c r="S7874" s="25"/>
      <c r="T7874" s="141"/>
      <c r="U7874" s="28"/>
    </row>
    <row r="7875" ht="15.75" customHeight="1">
      <c r="P7875" s="25"/>
      <c r="Q7875" s="25"/>
      <c r="R7875" s="25"/>
      <c r="S7875" s="25"/>
      <c r="T7875" s="141"/>
      <c r="U7875" s="28"/>
    </row>
    <row r="7876" ht="15.75" customHeight="1">
      <c r="P7876" s="25"/>
      <c r="Q7876" s="25"/>
      <c r="R7876" s="25"/>
      <c r="S7876" s="25"/>
      <c r="T7876" s="141"/>
      <c r="U7876" s="28"/>
    </row>
    <row r="7877" ht="15.75" customHeight="1">
      <c r="P7877" s="25"/>
      <c r="Q7877" s="25"/>
      <c r="R7877" s="25"/>
      <c r="S7877" s="25"/>
      <c r="T7877" s="141"/>
      <c r="U7877" s="28"/>
    </row>
    <row r="7878" ht="15.75" customHeight="1">
      <c r="P7878" s="25"/>
      <c r="Q7878" s="25"/>
      <c r="R7878" s="25"/>
      <c r="S7878" s="25"/>
      <c r="T7878" s="141"/>
      <c r="U7878" s="28"/>
    </row>
    <row r="7879" ht="15.75" customHeight="1">
      <c r="P7879" s="25"/>
      <c r="Q7879" s="25"/>
      <c r="R7879" s="25"/>
      <c r="S7879" s="25"/>
      <c r="T7879" s="141"/>
      <c r="U7879" s="28"/>
    </row>
    <row r="7880" ht="15.75" customHeight="1">
      <c r="P7880" s="25"/>
      <c r="Q7880" s="25"/>
      <c r="R7880" s="25"/>
      <c r="S7880" s="25"/>
      <c r="T7880" s="141"/>
      <c r="U7880" s="28"/>
    </row>
    <row r="7881" ht="15.75" customHeight="1">
      <c r="P7881" s="25"/>
      <c r="Q7881" s="25"/>
      <c r="R7881" s="25"/>
      <c r="S7881" s="25"/>
      <c r="T7881" s="141"/>
      <c r="U7881" s="28"/>
    </row>
    <row r="7882" ht="15.75" customHeight="1">
      <c r="P7882" s="25"/>
      <c r="Q7882" s="25"/>
      <c r="R7882" s="25"/>
      <c r="S7882" s="25"/>
      <c r="T7882" s="141"/>
      <c r="U7882" s="28"/>
    </row>
    <row r="7883" ht="15.75" customHeight="1">
      <c r="P7883" s="25"/>
      <c r="Q7883" s="25"/>
      <c r="R7883" s="25"/>
      <c r="S7883" s="25"/>
      <c r="T7883" s="141"/>
      <c r="U7883" s="28"/>
    </row>
    <row r="7884" ht="15.75" customHeight="1">
      <c r="P7884" s="25"/>
      <c r="Q7884" s="25"/>
      <c r="R7884" s="25"/>
      <c r="S7884" s="25"/>
      <c r="T7884" s="141"/>
      <c r="U7884" s="28"/>
    </row>
    <row r="7885" ht="15.75" customHeight="1">
      <c r="P7885" s="25"/>
      <c r="Q7885" s="25"/>
      <c r="R7885" s="25"/>
      <c r="S7885" s="25"/>
      <c r="T7885" s="141"/>
      <c r="U7885" s="28"/>
    </row>
    <row r="7886" ht="15.75" customHeight="1">
      <c r="P7886" s="25"/>
      <c r="Q7886" s="25"/>
      <c r="R7886" s="25"/>
      <c r="S7886" s="25"/>
      <c r="T7886" s="141"/>
      <c r="U7886" s="28"/>
    </row>
    <row r="7887" ht="15.75" customHeight="1">
      <c r="P7887" s="25"/>
      <c r="Q7887" s="25"/>
      <c r="R7887" s="25"/>
      <c r="S7887" s="25"/>
      <c r="T7887" s="141"/>
      <c r="U7887" s="28"/>
    </row>
    <row r="7888" ht="15.75" customHeight="1">
      <c r="P7888" s="25"/>
      <c r="Q7888" s="25"/>
      <c r="R7888" s="25"/>
      <c r="S7888" s="25"/>
      <c r="T7888" s="141"/>
      <c r="U7888" s="28"/>
    </row>
    <row r="7889" ht="15.75" customHeight="1">
      <c r="P7889" s="25"/>
      <c r="Q7889" s="25"/>
      <c r="R7889" s="25"/>
      <c r="S7889" s="25"/>
      <c r="T7889" s="141"/>
      <c r="U7889" s="28"/>
    </row>
    <row r="7890" ht="15.75" customHeight="1">
      <c r="P7890" s="25"/>
      <c r="Q7890" s="25"/>
      <c r="R7890" s="25"/>
      <c r="S7890" s="25"/>
      <c r="T7890" s="141"/>
      <c r="U7890" s="28"/>
    </row>
    <row r="7891" ht="15.75" customHeight="1">
      <c r="P7891" s="25"/>
      <c r="Q7891" s="25"/>
      <c r="R7891" s="25"/>
      <c r="S7891" s="25"/>
      <c r="T7891" s="141"/>
      <c r="U7891" s="28"/>
    </row>
    <row r="7892" ht="15.75" customHeight="1">
      <c r="P7892" s="25"/>
      <c r="Q7892" s="25"/>
      <c r="R7892" s="25"/>
      <c r="S7892" s="25"/>
      <c r="T7892" s="141"/>
      <c r="U7892" s="28"/>
    </row>
    <row r="7893" ht="15.75" customHeight="1">
      <c r="P7893" s="25"/>
      <c r="Q7893" s="25"/>
      <c r="R7893" s="25"/>
      <c r="S7893" s="25"/>
      <c r="T7893" s="141"/>
      <c r="U7893" s="28"/>
    </row>
    <row r="7894" ht="15.75" customHeight="1">
      <c r="P7894" s="25"/>
      <c r="Q7894" s="25"/>
      <c r="R7894" s="25"/>
      <c r="S7894" s="25"/>
      <c r="T7894" s="141"/>
      <c r="U7894" s="28"/>
    </row>
    <row r="7895" ht="15.75" customHeight="1">
      <c r="P7895" s="25"/>
      <c r="Q7895" s="25"/>
      <c r="R7895" s="25"/>
      <c r="S7895" s="25"/>
      <c r="T7895" s="141"/>
      <c r="U7895" s="28"/>
    </row>
    <row r="7896" ht="15.75" customHeight="1">
      <c r="P7896" s="25"/>
      <c r="Q7896" s="25"/>
      <c r="R7896" s="25"/>
      <c r="S7896" s="25"/>
      <c r="T7896" s="141"/>
      <c r="U7896" s="28"/>
    </row>
    <row r="7897" ht="15.75" customHeight="1">
      <c r="P7897" s="25"/>
      <c r="Q7897" s="25"/>
      <c r="R7897" s="25"/>
      <c r="S7897" s="25"/>
      <c r="T7897" s="141"/>
      <c r="U7897" s="28"/>
    </row>
    <row r="7898" ht="15.75" customHeight="1">
      <c r="P7898" s="25"/>
      <c r="Q7898" s="25"/>
      <c r="R7898" s="25"/>
      <c r="S7898" s="25"/>
      <c r="T7898" s="141"/>
      <c r="U7898" s="28"/>
    </row>
    <row r="7899" ht="15.75" customHeight="1">
      <c r="P7899" s="25"/>
      <c r="Q7899" s="25"/>
      <c r="R7899" s="25"/>
      <c r="S7899" s="25"/>
      <c r="T7899" s="141"/>
      <c r="U7899" s="28"/>
    </row>
    <row r="7900" ht="15.75" customHeight="1">
      <c r="P7900" s="25"/>
      <c r="Q7900" s="25"/>
      <c r="R7900" s="25"/>
      <c r="S7900" s="25"/>
      <c r="T7900" s="141"/>
      <c r="U7900" s="28"/>
    </row>
    <row r="7901" ht="15.75" customHeight="1">
      <c r="P7901" s="25"/>
      <c r="Q7901" s="25"/>
      <c r="R7901" s="25"/>
      <c r="S7901" s="25"/>
      <c r="T7901" s="141"/>
      <c r="U7901" s="28"/>
    </row>
    <row r="7902" ht="15.75" customHeight="1">
      <c r="P7902" s="25"/>
      <c r="Q7902" s="25"/>
      <c r="R7902" s="25"/>
      <c r="S7902" s="25"/>
      <c r="T7902" s="141"/>
      <c r="U7902" s="28"/>
    </row>
    <row r="7903" ht="15.75" customHeight="1">
      <c r="P7903" s="25"/>
      <c r="Q7903" s="25"/>
      <c r="R7903" s="25"/>
      <c r="S7903" s="25"/>
      <c r="T7903" s="141"/>
      <c r="U7903" s="28"/>
    </row>
    <row r="7904" ht="15.75" customHeight="1">
      <c r="P7904" s="25"/>
      <c r="Q7904" s="25"/>
      <c r="R7904" s="25"/>
      <c r="S7904" s="25"/>
      <c r="T7904" s="141"/>
      <c r="U7904" s="28"/>
    </row>
    <row r="7905" ht="15.75" customHeight="1">
      <c r="P7905" s="25"/>
      <c r="Q7905" s="25"/>
      <c r="R7905" s="25"/>
      <c r="S7905" s="25"/>
      <c r="T7905" s="141"/>
      <c r="U7905" s="28"/>
    </row>
    <row r="7906" ht="15.75" customHeight="1">
      <c r="P7906" s="25"/>
      <c r="Q7906" s="25"/>
      <c r="R7906" s="25"/>
      <c r="S7906" s="25"/>
      <c r="T7906" s="141"/>
      <c r="U7906" s="28"/>
    </row>
    <row r="7907" ht="15.75" customHeight="1">
      <c r="P7907" s="25"/>
      <c r="Q7907" s="25"/>
      <c r="R7907" s="25"/>
      <c r="S7907" s="25"/>
      <c r="T7907" s="141"/>
      <c r="U7907" s="28"/>
    </row>
    <row r="7908" ht="15.75" customHeight="1">
      <c r="P7908" s="25"/>
      <c r="Q7908" s="25"/>
      <c r="R7908" s="25"/>
      <c r="S7908" s="25"/>
      <c r="T7908" s="141"/>
      <c r="U7908" s="28"/>
    </row>
    <row r="7909" ht="15.75" customHeight="1">
      <c r="P7909" s="25"/>
      <c r="Q7909" s="25"/>
      <c r="R7909" s="25"/>
      <c r="S7909" s="25"/>
      <c r="T7909" s="141"/>
      <c r="U7909" s="28"/>
    </row>
    <row r="7910" ht="15.75" customHeight="1">
      <c r="P7910" s="25"/>
      <c r="Q7910" s="25"/>
      <c r="R7910" s="25"/>
      <c r="S7910" s="25"/>
      <c r="T7910" s="141"/>
      <c r="U7910" s="28"/>
    </row>
    <row r="7911" ht="15.75" customHeight="1">
      <c r="P7911" s="25"/>
      <c r="Q7911" s="25"/>
      <c r="R7911" s="25"/>
      <c r="S7911" s="25"/>
      <c r="T7911" s="141"/>
      <c r="U7911" s="28"/>
    </row>
    <row r="7912" ht="15.75" customHeight="1">
      <c r="P7912" s="25"/>
      <c r="Q7912" s="25"/>
      <c r="R7912" s="25"/>
      <c r="S7912" s="25"/>
      <c r="T7912" s="141"/>
      <c r="U7912" s="28"/>
    </row>
    <row r="7913" ht="15.75" customHeight="1">
      <c r="P7913" s="25"/>
      <c r="Q7913" s="25"/>
      <c r="R7913" s="25"/>
      <c r="S7913" s="25"/>
      <c r="T7913" s="141"/>
      <c r="U7913" s="28"/>
    </row>
    <row r="7914" ht="15.75" customHeight="1">
      <c r="P7914" s="25"/>
      <c r="Q7914" s="25"/>
      <c r="R7914" s="25"/>
      <c r="S7914" s="25"/>
      <c r="T7914" s="141"/>
      <c r="U7914" s="28"/>
    </row>
    <row r="7915" ht="15.75" customHeight="1">
      <c r="P7915" s="25"/>
      <c r="Q7915" s="25"/>
      <c r="R7915" s="25"/>
      <c r="S7915" s="25"/>
      <c r="T7915" s="141"/>
      <c r="U7915" s="28"/>
    </row>
    <row r="7916" ht="15.75" customHeight="1">
      <c r="P7916" s="25"/>
      <c r="Q7916" s="25"/>
      <c r="R7916" s="25"/>
      <c r="S7916" s="25"/>
      <c r="T7916" s="141"/>
      <c r="U7916" s="28"/>
    </row>
    <row r="7917" ht="15.75" customHeight="1">
      <c r="P7917" s="25"/>
      <c r="Q7917" s="25"/>
      <c r="R7917" s="25"/>
      <c r="S7917" s="25"/>
      <c r="T7917" s="141"/>
      <c r="U7917" s="28"/>
    </row>
    <row r="7918" ht="15.75" customHeight="1">
      <c r="P7918" s="25"/>
      <c r="Q7918" s="25"/>
      <c r="R7918" s="25"/>
      <c r="S7918" s="25"/>
      <c r="T7918" s="141"/>
      <c r="U7918" s="28"/>
    </row>
    <row r="7919" ht="15.75" customHeight="1">
      <c r="P7919" s="25"/>
      <c r="Q7919" s="25"/>
      <c r="R7919" s="25"/>
      <c r="S7919" s="25"/>
      <c r="T7919" s="141"/>
      <c r="U7919" s="28"/>
    </row>
    <row r="7920" ht="15.75" customHeight="1">
      <c r="P7920" s="25"/>
      <c r="Q7920" s="25"/>
      <c r="R7920" s="25"/>
      <c r="S7920" s="25"/>
      <c r="T7920" s="141"/>
      <c r="U7920" s="28"/>
    </row>
    <row r="7921" ht="15.75" customHeight="1">
      <c r="P7921" s="25"/>
      <c r="Q7921" s="25"/>
      <c r="R7921" s="25"/>
      <c r="S7921" s="25"/>
      <c r="T7921" s="141"/>
      <c r="U7921" s="28"/>
    </row>
    <row r="7922" ht="15.75" customHeight="1">
      <c r="P7922" s="25"/>
      <c r="Q7922" s="25"/>
      <c r="R7922" s="25"/>
      <c r="S7922" s="25"/>
      <c r="T7922" s="141"/>
      <c r="U7922" s="28"/>
    </row>
    <row r="7923" ht="15.75" customHeight="1">
      <c r="P7923" s="25"/>
      <c r="Q7923" s="25"/>
      <c r="R7923" s="25"/>
      <c r="S7923" s="25"/>
      <c r="T7923" s="141"/>
      <c r="U7923" s="28"/>
    </row>
    <row r="7924" ht="15.75" customHeight="1">
      <c r="P7924" s="25"/>
      <c r="Q7924" s="25"/>
      <c r="R7924" s="25"/>
      <c r="S7924" s="25"/>
      <c r="T7924" s="141"/>
      <c r="U7924" s="28"/>
    </row>
    <row r="7925" ht="15.75" customHeight="1">
      <c r="P7925" s="25"/>
      <c r="Q7925" s="25"/>
      <c r="R7925" s="25"/>
      <c r="S7925" s="25"/>
      <c r="T7925" s="141"/>
      <c r="U7925" s="28"/>
    </row>
    <row r="7926" ht="15.75" customHeight="1">
      <c r="P7926" s="25"/>
      <c r="Q7926" s="25"/>
      <c r="R7926" s="25"/>
      <c r="S7926" s="25"/>
      <c r="T7926" s="141"/>
      <c r="U7926" s="28"/>
    </row>
    <row r="7927" ht="15.75" customHeight="1">
      <c r="P7927" s="25"/>
      <c r="Q7927" s="25"/>
      <c r="R7927" s="25"/>
      <c r="S7927" s="25"/>
      <c r="T7927" s="141"/>
      <c r="U7927" s="28"/>
    </row>
    <row r="7928" ht="15.75" customHeight="1">
      <c r="P7928" s="25"/>
      <c r="Q7928" s="25"/>
      <c r="R7928" s="25"/>
      <c r="S7928" s="25"/>
      <c r="T7928" s="141"/>
      <c r="U7928" s="28"/>
    </row>
    <row r="7929" ht="15.75" customHeight="1">
      <c r="P7929" s="25"/>
      <c r="Q7929" s="25"/>
      <c r="R7929" s="25"/>
      <c r="S7929" s="25"/>
      <c r="T7929" s="141"/>
      <c r="U7929" s="28"/>
    </row>
    <row r="7930" ht="15.75" customHeight="1">
      <c r="P7930" s="25"/>
      <c r="Q7930" s="25"/>
      <c r="R7930" s="25"/>
      <c r="S7930" s="25"/>
      <c r="T7930" s="141"/>
      <c r="U7930" s="28"/>
    </row>
    <row r="7931" ht="15.75" customHeight="1">
      <c r="P7931" s="25"/>
      <c r="Q7931" s="25"/>
      <c r="R7931" s="25"/>
      <c r="S7931" s="25"/>
      <c r="T7931" s="141"/>
      <c r="U7931" s="28"/>
    </row>
    <row r="7932" ht="15.75" customHeight="1">
      <c r="P7932" s="25"/>
      <c r="Q7932" s="25"/>
      <c r="R7932" s="25"/>
      <c r="S7932" s="25"/>
      <c r="T7932" s="141"/>
      <c r="U7932" s="28"/>
    </row>
    <row r="7933" ht="15.75" customHeight="1">
      <c r="P7933" s="25"/>
      <c r="Q7933" s="25"/>
      <c r="R7933" s="25"/>
      <c r="S7933" s="25"/>
      <c r="T7933" s="141"/>
      <c r="U7933" s="28"/>
    </row>
    <row r="7934" ht="15.75" customHeight="1">
      <c r="P7934" s="25"/>
      <c r="Q7934" s="25"/>
      <c r="R7934" s="25"/>
      <c r="S7934" s="25"/>
      <c r="T7934" s="141"/>
      <c r="U7934" s="28"/>
    </row>
    <row r="7935" ht="15.75" customHeight="1">
      <c r="P7935" s="25"/>
      <c r="Q7935" s="25"/>
      <c r="R7935" s="25"/>
      <c r="S7935" s="25"/>
      <c r="T7935" s="141"/>
      <c r="U7935" s="28"/>
    </row>
    <row r="7936" ht="15.75" customHeight="1">
      <c r="P7936" s="25"/>
      <c r="Q7936" s="25"/>
      <c r="R7936" s="25"/>
      <c r="S7936" s="25"/>
      <c r="T7936" s="141"/>
      <c r="U7936" s="28"/>
    </row>
    <row r="7937" ht="15.75" customHeight="1">
      <c r="P7937" s="25"/>
      <c r="Q7937" s="25"/>
      <c r="R7937" s="25"/>
      <c r="S7937" s="25"/>
      <c r="T7937" s="141"/>
      <c r="U7937" s="28"/>
    </row>
    <row r="7938" ht="15.75" customHeight="1">
      <c r="P7938" s="25"/>
      <c r="Q7938" s="25"/>
      <c r="R7938" s="25"/>
      <c r="S7938" s="25"/>
      <c r="T7938" s="141"/>
      <c r="U7938" s="28"/>
    </row>
    <row r="7939" ht="15.75" customHeight="1">
      <c r="P7939" s="25"/>
      <c r="Q7939" s="25"/>
      <c r="R7939" s="25"/>
      <c r="S7939" s="25"/>
      <c r="T7939" s="141"/>
      <c r="U7939" s="28"/>
    </row>
    <row r="7940" ht="15.75" customHeight="1">
      <c r="P7940" s="25"/>
      <c r="Q7940" s="25"/>
      <c r="R7940" s="25"/>
      <c r="S7940" s="25"/>
      <c r="T7940" s="141"/>
      <c r="U7940" s="28"/>
    </row>
    <row r="7941" ht="15.75" customHeight="1">
      <c r="P7941" s="25"/>
      <c r="Q7941" s="25"/>
      <c r="R7941" s="25"/>
      <c r="S7941" s="25"/>
      <c r="T7941" s="141"/>
      <c r="U7941" s="28"/>
    </row>
    <row r="7942" ht="15.75" customHeight="1">
      <c r="P7942" s="25"/>
      <c r="Q7942" s="25"/>
      <c r="R7942" s="25"/>
      <c r="S7942" s="25"/>
      <c r="T7942" s="141"/>
      <c r="U7942" s="28"/>
    </row>
    <row r="7943" ht="15.75" customHeight="1">
      <c r="P7943" s="25"/>
      <c r="Q7943" s="25"/>
      <c r="R7943" s="25"/>
      <c r="S7943" s="25"/>
      <c r="T7943" s="141"/>
      <c r="U7943" s="28"/>
    </row>
    <row r="7944" ht="15.75" customHeight="1">
      <c r="P7944" s="25"/>
      <c r="Q7944" s="25"/>
      <c r="R7944" s="25"/>
      <c r="S7944" s="25"/>
      <c r="T7944" s="141"/>
      <c r="U7944" s="28"/>
    </row>
    <row r="7945" ht="15.75" customHeight="1">
      <c r="P7945" s="25"/>
      <c r="Q7945" s="25"/>
      <c r="R7945" s="25"/>
      <c r="S7945" s="25"/>
      <c r="T7945" s="141"/>
      <c r="U7945" s="28"/>
    </row>
    <row r="7946" ht="15.75" customHeight="1">
      <c r="P7946" s="25"/>
      <c r="Q7946" s="25"/>
      <c r="R7946" s="25"/>
      <c r="S7946" s="25"/>
      <c r="T7946" s="141"/>
      <c r="U7946" s="28"/>
    </row>
    <row r="7947" ht="15.75" customHeight="1">
      <c r="P7947" s="25"/>
      <c r="Q7947" s="25"/>
      <c r="R7947" s="25"/>
      <c r="S7947" s="25"/>
      <c r="T7947" s="141"/>
      <c r="U7947" s="28"/>
    </row>
    <row r="7948" ht="15.75" customHeight="1">
      <c r="P7948" s="25"/>
      <c r="Q7948" s="25"/>
      <c r="R7948" s="25"/>
      <c r="S7948" s="25"/>
      <c r="T7948" s="141"/>
      <c r="U7948" s="28"/>
    </row>
    <row r="7949" ht="15.75" customHeight="1">
      <c r="P7949" s="25"/>
      <c r="Q7949" s="25"/>
      <c r="R7949" s="25"/>
      <c r="S7949" s="25"/>
      <c r="T7949" s="141"/>
      <c r="U7949" s="28"/>
    </row>
    <row r="7950" ht="15.75" customHeight="1">
      <c r="P7950" s="25"/>
      <c r="Q7950" s="25"/>
      <c r="R7950" s="25"/>
      <c r="S7950" s="25"/>
      <c r="T7950" s="141"/>
      <c r="U7950" s="28"/>
    </row>
    <row r="7951" ht="15.75" customHeight="1">
      <c r="P7951" s="25"/>
      <c r="Q7951" s="25"/>
      <c r="R7951" s="25"/>
      <c r="S7951" s="25"/>
      <c r="T7951" s="141"/>
      <c r="U7951" s="28"/>
    </row>
    <row r="7952" ht="15.75" customHeight="1">
      <c r="P7952" s="25"/>
      <c r="Q7952" s="25"/>
      <c r="R7952" s="25"/>
      <c r="S7952" s="25"/>
      <c r="T7952" s="141"/>
      <c r="U7952" s="28"/>
    </row>
    <row r="7953" ht="15.75" customHeight="1">
      <c r="P7953" s="25"/>
      <c r="Q7953" s="25"/>
      <c r="R7953" s="25"/>
      <c r="S7953" s="25"/>
      <c r="T7953" s="141"/>
      <c r="U7953" s="28"/>
    </row>
    <row r="7954" ht="15.75" customHeight="1">
      <c r="P7954" s="25"/>
      <c r="Q7954" s="25"/>
      <c r="R7954" s="25"/>
      <c r="S7954" s="25"/>
      <c r="T7954" s="141"/>
      <c r="U7954" s="28"/>
    </row>
    <row r="7955" ht="15.75" customHeight="1">
      <c r="P7955" s="25"/>
      <c r="Q7955" s="25"/>
      <c r="R7955" s="25"/>
      <c r="S7955" s="25"/>
      <c r="T7955" s="141"/>
      <c r="U7955" s="28"/>
    </row>
    <row r="7956" ht="15.75" customHeight="1">
      <c r="P7956" s="25"/>
      <c r="Q7956" s="25"/>
      <c r="R7956" s="25"/>
      <c r="S7956" s="25"/>
      <c r="T7956" s="141"/>
      <c r="U7956" s="28"/>
    </row>
    <row r="7957" ht="15.75" customHeight="1">
      <c r="P7957" s="25"/>
      <c r="Q7957" s="25"/>
      <c r="R7957" s="25"/>
      <c r="S7957" s="25"/>
      <c r="T7957" s="141"/>
      <c r="U7957" s="28"/>
    </row>
    <row r="7958" ht="15.75" customHeight="1">
      <c r="P7958" s="25"/>
      <c r="Q7958" s="25"/>
      <c r="R7958" s="25"/>
      <c r="S7958" s="25"/>
      <c r="T7958" s="141"/>
      <c r="U7958" s="28"/>
    </row>
    <row r="7959" ht="15.75" customHeight="1">
      <c r="P7959" s="25"/>
      <c r="Q7959" s="25"/>
      <c r="R7959" s="25"/>
      <c r="S7959" s="25"/>
      <c r="T7959" s="141"/>
      <c r="U7959" s="28"/>
    </row>
    <row r="7960" ht="15.75" customHeight="1">
      <c r="P7960" s="25"/>
      <c r="Q7960" s="25"/>
      <c r="R7960" s="25"/>
      <c r="S7960" s="25"/>
      <c r="T7960" s="141"/>
      <c r="U7960" s="28"/>
    </row>
    <row r="7961" ht="15.75" customHeight="1">
      <c r="P7961" s="25"/>
      <c r="Q7961" s="25"/>
      <c r="R7961" s="25"/>
      <c r="S7961" s="25"/>
      <c r="T7961" s="141"/>
      <c r="U7961" s="28"/>
    </row>
    <row r="7962" ht="15.75" customHeight="1">
      <c r="P7962" s="25"/>
      <c r="Q7962" s="25"/>
      <c r="R7962" s="25"/>
      <c r="S7962" s="25"/>
      <c r="T7962" s="141"/>
      <c r="U7962" s="28"/>
    </row>
    <row r="7963" ht="15.75" customHeight="1">
      <c r="P7963" s="25"/>
      <c r="Q7963" s="25"/>
      <c r="R7963" s="25"/>
      <c r="S7963" s="25"/>
      <c r="T7963" s="141"/>
      <c r="U7963" s="28"/>
    </row>
    <row r="7964" ht="15.75" customHeight="1">
      <c r="P7964" s="25"/>
      <c r="Q7964" s="25"/>
      <c r="R7964" s="25"/>
      <c r="S7964" s="25"/>
      <c r="T7964" s="141"/>
      <c r="U7964" s="28"/>
    </row>
    <row r="7965" ht="15.75" customHeight="1">
      <c r="P7965" s="25"/>
      <c r="Q7965" s="25"/>
      <c r="R7965" s="25"/>
      <c r="S7965" s="25"/>
      <c r="T7965" s="141"/>
      <c r="U7965" s="28"/>
    </row>
    <row r="7966" ht="15.75" customHeight="1">
      <c r="P7966" s="25"/>
      <c r="Q7966" s="25"/>
      <c r="R7966" s="25"/>
      <c r="S7966" s="25"/>
      <c r="T7966" s="141"/>
      <c r="U7966" s="28"/>
    </row>
    <row r="7967" ht="15.75" customHeight="1">
      <c r="P7967" s="25"/>
      <c r="Q7967" s="25"/>
      <c r="R7967" s="25"/>
      <c r="S7967" s="25"/>
      <c r="T7967" s="141"/>
      <c r="U7967" s="28"/>
    </row>
    <row r="7968" ht="15.75" customHeight="1">
      <c r="P7968" s="25"/>
      <c r="Q7968" s="25"/>
      <c r="R7968" s="25"/>
      <c r="S7968" s="25"/>
      <c r="T7968" s="141"/>
      <c r="U7968" s="28"/>
    </row>
    <row r="7969" ht="15.75" customHeight="1">
      <c r="P7969" s="25"/>
      <c r="Q7969" s="25"/>
      <c r="R7969" s="25"/>
      <c r="S7969" s="25"/>
      <c r="T7969" s="141"/>
      <c r="U7969" s="28"/>
    </row>
    <row r="7970" ht="15.75" customHeight="1">
      <c r="P7970" s="25"/>
      <c r="Q7970" s="25"/>
      <c r="R7970" s="25"/>
      <c r="S7970" s="25"/>
      <c r="T7970" s="141"/>
      <c r="U7970" s="28"/>
    </row>
    <row r="7971" ht="15.75" customHeight="1">
      <c r="P7971" s="25"/>
      <c r="Q7971" s="25"/>
      <c r="R7971" s="25"/>
      <c r="S7971" s="25"/>
      <c r="T7971" s="141"/>
      <c r="U7971" s="28"/>
    </row>
    <row r="7972" ht="15.75" customHeight="1">
      <c r="P7972" s="25"/>
      <c r="Q7972" s="25"/>
      <c r="R7972" s="25"/>
      <c r="S7972" s="25"/>
      <c r="T7972" s="141"/>
      <c r="U7972" s="28"/>
    </row>
    <row r="7973" ht="15.75" customHeight="1">
      <c r="P7973" s="25"/>
      <c r="Q7973" s="25"/>
      <c r="R7973" s="25"/>
      <c r="S7973" s="25"/>
      <c r="T7973" s="141"/>
      <c r="U7973" s="28"/>
    </row>
    <row r="7974" ht="15.75" customHeight="1">
      <c r="P7974" s="25"/>
      <c r="Q7974" s="25"/>
      <c r="R7974" s="25"/>
      <c r="S7974" s="25"/>
      <c r="T7974" s="141"/>
      <c r="U7974" s="28"/>
    </row>
    <row r="7975" ht="15.75" customHeight="1">
      <c r="P7975" s="25"/>
      <c r="Q7975" s="25"/>
      <c r="R7975" s="25"/>
      <c r="S7975" s="25"/>
      <c r="T7975" s="141"/>
      <c r="U7975" s="28"/>
    </row>
    <row r="7976" ht="15.75" customHeight="1">
      <c r="P7976" s="25"/>
      <c r="Q7976" s="25"/>
      <c r="R7976" s="25"/>
      <c r="S7976" s="25"/>
      <c r="T7976" s="141"/>
      <c r="U7976" s="28"/>
    </row>
    <row r="7977" ht="15.75" customHeight="1">
      <c r="P7977" s="25"/>
      <c r="Q7977" s="25"/>
      <c r="R7977" s="25"/>
      <c r="S7977" s="25"/>
      <c r="T7977" s="141"/>
      <c r="U7977" s="28"/>
    </row>
    <row r="7978" ht="15.75" customHeight="1">
      <c r="P7978" s="25"/>
      <c r="Q7978" s="25"/>
      <c r="R7978" s="25"/>
      <c r="S7978" s="25"/>
      <c r="T7978" s="141"/>
      <c r="U7978" s="28"/>
    </row>
    <row r="7979" ht="15.75" customHeight="1">
      <c r="P7979" s="25"/>
      <c r="Q7979" s="25"/>
      <c r="R7979" s="25"/>
      <c r="S7979" s="25"/>
      <c r="T7979" s="141"/>
      <c r="U7979" s="28"/>
    </row>
    <row r="7980" ht="15.75" customHeight="1">
      <c r="P7980" s="25"/>
      <c r="Q7980" s="25"/>
      <c r="R7980" s="25"/>
      <c r="S7980" s="25"/>
      <c r="T7980" s="141"/>
      <c r="U7980" s="28"/>
    </row>
    <row r="7981" ht="15.75" customHeight="1">
      <c r="P7981" s="25"/>
      <c r="Q7981" s="25"/>
      <c r="R7981" s="25"/>
      <c r="S7981" s="25"/>
      <c r="T7981" s="141"/>
      <c r="U7981" s="28"/>
    </row>
    <row r="7982" ht="15.75" customHeight="1">
      <c r="P7982" s="25"/>
      <c r="Q7982" s="25"/>
      <c r="R7982" s="25"/>
      <c r="S7982" s="25"/>
      <c r="T7982" s="141"/>
      <c r="U7982" s="28"/>
    </row>
    <row r="7983" ht="15.75" customHeight="1">
      <c r="P7983" s="25"/>
      <c r="Q7983" s="25"/>
      <c r="R7983" s="25"/>
      <c r="S7983" s="25"/>
      <c r="T7983" s="141"/>
      <c r="U7983" s="28"/>
    </row>
    <row r="7984" ht="15.75" customHeight="1">
      <c r="P7984" s="25"/>
      <c r="Q7984" s="25"/>
      <c r="R7984" s="25"/>
      <c r="S7984" s="25"/>
      <c r="T7984" s="141"/>
      <c r="U7984" s="28"/>
    </row>
    <row r="7985" ht="15.75" customHeight="1">
      <c r="P7985" s="25"/>
      <c r="Q7985" s="25"/>
      <c r="R7985" s="25"/>
      <c r="S7985" s="25"/>
      <c r="T7985" s="141"/>
      <c r="U7985" s="28"/>
    </row>
    <row r="7986" ht="15.75" customHeight="1">
      <c r="P7986" s="25"/>
      <c r="Q7986" s="25"/>
      <c r="R7986" s="25"/>
      <c r="S7986" s="25"/>
      <c r="T7986" s="141"/>
      <c r="U7986" s="28"/>
    </row>
    <row r="7987" ht="15.75" customHeight="1">
      <c r="P7987" s="25"/>
      <c r="Q7987" s="25"/>
      <c r="R7987" s="25"/>
      <c r="S7987" s="25"/>
      <c r="T7987" s="141"/>
      <c r="U7987" s="28"/>
    </row>
    <row r="7988" ht="15.75" customHeight="1">
      <c r="P7988" s="25"/>
      <c r="Q7988" s="25"/>
      <c r="R7988" s="25"/>
      <c r="S7988" s="25"/>
      <c r="T7988" s="141"/>
      <c r="U7988" s="28"/>
    </row>
    <row r="7989" ht="15.75" customHeight="1">
      <c r="P7989" s="25"/>
      <c r="Q7989" s="25"/>
      <c r="R7989" s="25"/>
      <c r="S7989" s="25"/>
      <c r="T7989" s="141"/>
      <c r="U7989" s="28"/>
    </row>
    <row r="7990" ht="15.75" customHeight="1">
      <c r="P7990" s="25"/>
      <c r="Q7990" s="25"/>
      <c r="R7990" s="25"/>
      <c r="S7990" s="25"/>
      <c r="T7990" s="141"/>
      <c r="U7990" s="28"/>
    </row>
    <row r="7991" ht="15.75" customHeight="1">
      <c r="P7991" s="25"/>
      <c r="Q7991" s="25"/>
      <c r="R7991" s="25"/>
      <c r="S7991" s="25"/>
      <c r="T7991" s="141"/>
      <c r="U7991" s="28"/>
    </row>
    <row r="7992" ht="15.75" customHeight="1">
      <c r="P7992" s="25"/>
      <c r="Q7992" s="25"/>
      <c r="R7992" s="25"/>
      <c r="S7992" s="25"/>
      <c r="T7992" s="141"/>
      <c r="U7992" s="28"/>
    </row>
    <row r="7993" ht="15.75" customHeight="1">
      <c r="P7993" s="25"/>
      <c r="Q7993" s="25"/>
      <c r="R7993" s="25"/>
      <c r="S7993" s="25"/>
      <c r="T7993" s="141"/>
      <c r="U7993" s="28"/>
    </row>
    <row r="7994" ht="15.75" customHeight="1">
      <c r="P7994" s="25"/>
      <c r="Q7994" s="25"/>
      <c r="R7994" s="25"/>
      <c r="S7994" s="25"/>
      <c r="T7994" s="141"/>
      <c r="U7994" s="28"/>
    </row>
    <row r="7995" ht="15.75" customHeight="1">
      <c r="P7995" s="25"/>
      <c r="Q7995" s="25"/>
      <c r="R7995" s="25"/>
      <c r="S7995" s="25"/>
      <c r="T7995" s="141"/>
      <c r="U7995" s="28"/>
    </row>
    <row r="7996" ht="15.75" customHeight="1">
      <c r="P7996" s="25"/>
      <c r="Q7996" s="25"/>
      <c r="R7996" s="25"/>
      <c r="S7996" s="25"/>
      <c r="T7996" s="141"/>
      <c r="U7996" s="28"/>
    </row>
    <row r="7997" ht="15.75" customHeight="1">
      <c r="P7997" s="25"/>
      <c r="Q7997" s="25"/>
      <c r="R7997" s="25"/>
      <c r="S7997" s="25"/>
      <c r="T7997" s="141"/>
      <c r="U7997" s="28"/>
    </row>
    <row r="7998" ht="15.75" customHeight="1">
      <c r="P7998" s="25"/>
      <c r="Q7998" s="25"/>
      <c r="R7998" s="25"/>
      <c r="S7998" s="25"/>
      <c r="T7998" s="141"/>
      <c r="U7998" s="28"/>
    </row>
    <row r="7999" ht="15.75" customHeight="1">
      <c r="P7999" s="25"/>
      <c r="Q7999" s="25"/>
      <c r="R7999" s="25"/>
      <c r="S7999" s="25"/>
      <c r="T7999" s="141"/>
      <c r="U7999" s="28"/>
    </row>
    <row r="8000" ht="15.75" customHeight="1">
      <c r="P8000" s="25"/>
      <c r="Q8000" s="25"/>
      <c r="R8000" s="25"/>
      <c r="S8000" s="25"/>
      <c r="T8000" s="141"/>
      <c r="U8000" s="28"/>
    </row>
    <row r="8001" ht="15.75" customHeight="1">
      <c r="P8001" s="25"/>
      <c r="Q8001" s="25"/>
      <c r="R8001" s="25"/>
      <c r="S8001" s="25"/>
      <c r="T8001" s="141"/>
      <c r="U8001" s="28"/>
    </row>
    <row r="8002" ht="15.75" customHeight="1">
      <c r="P8002" s="25"/>
      <c r="Q8002" s="25"/>
      <c r="R8002" s="25"/>
      <c r="S8002" s="25"/>
      <c r="T8002" s="141"/>
      <c r="U8002" s="28"/>
    </row>
    <row r="8003" ht="15.75" customHeight="1">
      <c r="P8003" s="25"/>
      <c r="Q8003" s="25"/>
      <c r="R8003" s="25"/>
      <c r="S8003" s="25"/>
      <c r="T8003" s="141"/>
      <c r="U8003" s="28"/>
    </row>
    <row r="8004" ht="15.75" customHeight="1">
      <c r="P8004" s="25"/>
      <c r="Q8004" s="25"/>
      <c r="R8004" s="25"/>
      <c r="S8004" s="25"/>
      <c r="T8004" s="141"/>
      <c r="U8004" s="28"/>
    </row>
    <row r="8005" ht="15.75" customHeight="1">
      <c r="P8005" s="25"/>
      <c r="Q8005" s="25"/>
      <c r="R8005" s="25"/>
      <c r="S8005" s="25"/>
      <c r="T8005" s="141"/>
      <c r="U8005" s="28"/>
    </row>
    <row r="8006" ht="15.75" customHeight="1">
      <c r="P8006" s="25"/>
      <c r="Q8006" s="25"/>
      <c r="R8006" s="25"/>
      <c r="S8006" s="25"/>
      <c r="T8006" s="141"/>
      <c r="U8006" s="28"/>
    </row>
    <row r="8007" ht="15.75" customHeight="1">
      <c r="P8007" s="25"/>
      <c r="Q8007" s="25"/>
      <c r="R8007" s="25"/>
      <c r="S8007" s="25"/>
      <c r="T8007" s="141"/>
      <c r="U8007" s="28"/>
    </row>
    <row r="8008" ht="15.75" customHeight="1">
      <c r="P8008" s="25"/>
      <c r="Q8008" s="25"/>
      <c r="R8008" s="25"/>
      <c r="S8008" s="25"/>
      <c r="T8008" s="141"/>
      <c r="U8008" s="28"/>
    </row>
    <row r="8009" ht="15.75" customHeight="1">
      <c r="P8009" s="25"/>
      <c r="Q8009" s="25"/>
      <c r="R8009" s="25"/>
      <c r="S8009" s="25"/>
      <c r="T8009" s="141"/>
      <c r="U8009" s="28"/>
    </row>
    <row r="8010" ht="15.75" customHeight="1">
      <c r="P8010" s="25"/>
      <c r="Q8010" s="25"/>
      <c r="R8010" s="25"/>
      <c r="S8010" s="25"/>
      <c r="T8010" s="141"/>
      <c r="U8010" s="28"/>
    </row>
    <row r="8011" ht="15.75" customHeight="1">
      <c r="P8011" s="25"/>
      <c r="Q8011" s="25"/>
      <c r="R8011" s="25"/>
      <c r="S8011" s="25"/>
      <c r="T8011" s="141"/>
      <c r="U8011" s="28"/>
    </row>
    <row r="8012" ht="15.75" customHeight="1">
      <c r="P8012" s="25"/>
      <c r="Q8012" s="25"/>
      <c r="R8012" s="25"/>
      <c r="S8012" s="25"/>
      <c r="T8012" s="141"/>
      <c r="U8012" s="28"/>
    </row>
    <row r="8013" ht="15.75" customHeight="1">
      <c r="P8013" s="25"/>
      <c r="Q8013" s="25"/>
      <c r="R8013" s="25"/>
      <c r="S8013" s="25"/>
      <c r="T8013" s="141"/>
      <c r="U8013" s="28"/>
    </row>
    <row r="8014" ht="15.75" customHeight="1">
      <c r="P8014" s="25"/>
      <c r="Q8014" s="25"/>
      <c r="R8014" s="25"/>
      <c r="S8014" s="25"/>
      <c r="T8014" s="141"/>
      <c r="U8014" s="28"/>
    </row>
    <row r="8015" ht="15.75" customHeight="1">
      <c r="P8015" s="25"/>
      <c r="Q8015" s="25"/>
      <c r="R8015" s="25"/>
      <c r="S8015" s="25"/>
      <c r="T8015" s="141"/>
      <c r="U8015" s="28"/>
    </row>
    <row r="8016" ht="15.75" customHeight="1">
      <c r="P8016" s="25"/>
      <c r="Q8016" s="25"/>
      <c r="R8016" s="25"/>
      <c r="S8016" s="25"/>
      <c r="T8016" s="141"/>
      <c r="U8016" s="28"/>
    </row>
    <row r="8017" ht="15.75" customHeight="1">
      <c r="P8017" s="25"/>
      <c r="Q8017" s="25"/>
      <c r="R8017" s="25"/>
      <c r="S8017" s="25"/>
      <c r="T8017" s="141"/>
      <c r="U8017" s="28"/>
    </row>
    <row r="8018" ht="15.75" customHeight="1">
      <c r="P8018" s="25"/>
      <c r="Q8018" s="25"/>
      <c r="R8018" s="25"/>
      <c r="S8018" s="25"/>
      <c r="T8018" s="141"/>
      <c r="U8018" s="28"/>
    </row>
    <row r="8019" ht="15.75" customHeight="1">
      <c r="P8019" s="25"/>
      <c r="Q8019" s="25"/>
      <c r="R8019" s="25"/>
      <c r="S8019" s="25"/>
      <c r="T8019" s="141"/>
      <c r="U8019" s="28"/>
    </row>
    <row r="8020" ht="15.75" customHeight="1">
      <c r="P8020" s="25"/>
      <c r="Q8020" s="25"/>
      <c r="R8020" s="25"/>
      <c r="S8020" s="25"/>
      <c r="T8020" s="141"/>
      <c r="U8020" s="28"/>
    </row>
    <row r="8021" ht="15.75" customHeight="1">
      <c r="P8021" s="25"/>
      <c r="Q8021" s="25"/>
      <c r="R8021" s="25"/>
      <c r="S8021" s="25"/>
      <c r="T8021" s="141"/>
      <c r="U8021" s="28"/>
    </row>
    <row r="8022" ht="15.75" customHeight="1">
      <c r="P8022" s="25"/>
      <c r="Q8022" s="25"/>
      <c r="R8022" s="25"/>
      <c r="S8022" s="25"/>
      <c r="T8022" s="141"/>
      <c r="U8022" s="28"/>
    </row>
    <row r="8023" ht="15.75" customHeight="1">
      <c r="P8023" s="25"/>
      <c r="Q8023" s="25"/>
      <c r="R8023" s="25"/>
      <c r="S8023" s="25"/>
      <c r="T8023" s="141"/>
      <c r="U8023" s="28"/>
    </row>
    <row r="8024" ht="15.75" customHeight="1">
      <c r="P8024" s="25"/>
      <c r="Q8024" s="25"/>
      <c r="R8024" s="25"/>
      <c r="S8024" s="25"/>
      <c r="T8024" s="141"/>
      <c r="U8024" s="28"/>
    </row>
    <row r="8025" ht="15.75" customHeight="1">
      <c r="P8025" s="25"/>
      <c r="Q8025" s="25"/>
      <c r="R8025" s="25"/>
      <c r="S8025" s="25"/>
      <c r="T8025" s="141"/>
      <c r="U8025" s="28"/>
    </row>
    <row r="8026" ht="15.75" customHeight="1">
      <c r="P8026" s="25"/>
      <c r="Q8026" s="25"/>
      <c r="R8026" s="25"/>
      <c r="S8026" s="25"/>
      <c r="T8026" s="141"/>
      <c r="U8026" s="28"/>
    </row>
    <row r="8027" ht="15.75" customHeight="1">
      <c r="P8027" s="25"/>
      <c r="Q8027" s="25"/>
      <c r="R8027" s="25"/>
      <c r="S8027" s="25"/>
      <c r="T8027" s="141"/>
      <c r="U8027" s="28"/>
    </row>
    <row r="8028" ht="15.75" customHeight="1">
      <c r="P8028" s="25"/>
      <c r="Q8028" s="25"/>
      <c r="R8028" s="25"/>
      <c r="S8028" s="25"/>
      <c r="T8028" s="141"/>
      <c r="U8028" s="28"/>
    </row>
    <row r="8029" ht="15.75" customHeight="1">
      <c r="P8029" s="25"/>
      <c r="Q8029" s="25"/>
      <c r="R8029" s="25"/>
      <c r="S8029" s="25"/>
      <c r="T8029" s="141"/>
      <c r="U8029" s="28"/>
    </row>
    <row r="8030" ht="15.75" customHeight="1">
      <c r="P8030" s="25"/>
      <c r="Q8030" s="25"/>
      <c r="R8030" s="25"/>
      <c r="S8030" s="25"/>
      <c r="T8030" s="141"/>
      <c r="U8030" s="28"/>
    </row>
    <row r="8031" ht="15.75" customHeight="1">
      <c r="P8031" s="25"/>
      <c r="Q8031" s="25"/>
      <c r="R8031" s="25"/>
      <c r="S8031" s="25"/>
      <c r="T8031" s="141"/>
      <c r="U8031" s="28"/>
    </row>
    <row r="8032" ht="15.75" customHeight="1">
      <c r="P8032" s="25"/>
      <c r="Q8032" s="25"/>
      <c r="R8032" s="25"/>
      <c r="S8032" s="25"/>
      <c r="T8032" s="141"/>
      <c r="U8032" s="28"/>
    </row>
    <row r="8033" ht="15.75" customHeight="1">
      <c r="P8033" s="25"/>
      <c r="Q8033" s="25"/>
      <c r="R8033" s="25"/>
      <c r="S8033" s="25"/>
      <c r="T8033" s="141"/>
      <c r="U8033" s="28"/>
    </row>
    <row r="8034" ht="15.75" customHeight="1">
      <c r="P8034" s="25"/>
      <c r="Q8034" s="25"/>
      <c r="R8034" s="25"/>
      <c r="S8034" s="25"/>
      <c r="T8034" s="141"/>
      <c r="U8034" s="28"/>
    </row>
    <row r="8035" ht="15.75" customHeight="1">
      <c r="P8035" s="25"/>
      <c r="Q8035" s="25"/>
      <c r="R8035" s="25"/>
      <c r="S8035" s="25"/>
      <c r="T8035" s="141"/>
      <c r="U8035" s="28"/>
    </row>
    <row r="8036" ht="15.75" customHeight="1">
      <c r="P8036" s="25"/>
      <c r="Q8036" s="25"/>
      <c r="R8036" s="25"/>
      <c r="S8036" s="25"/>
      <c r="T8036" s="141"/>
      <c r="U8036" s="28"/>
    </row>
    <row r="8037" ht="15.75" customHeight="1">
      <c r="P8037" s="25"/>
      <c r="Q8037" s="25"/>
      <c r="R8037" s="25"/>
      <c r="S8037" s="25"/>
      <c r="T8037" s="141"/>
      <c r="U8037" s="28"/>
    </row>
    <row r="8038" ht="15.75" customHeight="1">
      <c r="P8038" s="25"/>
      <c r="Q8038" s="25"/>
      <c r="R8038" s="25"/>
      <c r="S8038" s="25"/>
      <c r="T8038" s="141"/>
      <c r="U8038" s="28"/>
    </row>
    <row r="8039" ht="15.75" customHeight="1">
      <c r="P8039" s="25"/>
      <c r="Q8039" s="25"/>
      <c r="R8039" s="25"/>
      <c r="S8039" s="25"/>
      <c r="T8039" s="141"/>
      <c r="U8039" s="28"/>
    </row>
    <row r="8040" ht="15.75" customHeight="1">
      <c r="P8040" s="25"/>
      <c r="Q8040" s="25"/>
      <c r="R8040" s="25"/>
      <c r="S8040" s="25"/>
      <c r="T8040" s="141"/>
      <c r="U8040" s="28"/>
    </row>
    <row r="8041" ht="15.75" customHeight="1">
      <c r="P8041" s="25"/>
      <c r="Q8041" s="25"/>
      <c r="R8041" s="25"/>
      <c r="S8041" s="25"/>
      <c r="T8041" s="141"/>
      <c r="U8041" s="28"/>
    </row>
    <row r="8042" ht="15.75" customHeight="1">
      <c r="P8042" s="25"/>
      <c r="Q8042" s="25"/>
      <c r="R8042" s="25"/>
      <c r="S8042" s="25"/>
      <c r="T8042" s="141"/>
      <c r="U8042" s="28"/>
    </row>
    <row r="8043" ht="15.75" customHeight="1">
      <c r="P8043" s="25"/>
      <c r="Q8043" s="25"/>
      <c r="R8043" s="25"/>
      <c r="S8043" s="25"/>
      <c r="T8043" s="141"/>
      <c r="U8043" s="28"/>
    </row>
    <row r="8044" ht="15.75" customHeight="1">
      <c r="P8044" s="25"/>
      <c r="Q8044" s="25"/>
      <c r="R8044" s="25"/>
      <c r="S8044" s="25"/>
      <c r="T8044" s="141"/>
      <c r="U8044" s="28"/>
    </row>
    <row r="8045" ht="15.75" customHeight="1">
      <c r="P8045" s="25"/>
      <c r="Q8045" s="25"/>
      <c r="R8045" s="25"/>
      <c r="S8045" s="25"/>
      <c r="T8045" s="141"/>
      <c r="U8045" s="28"/>
    </row>
    <row r="8046" ht="15.75" customHeight="1">
      <c r="P8046" s="25"/>
      <c r="Q8046" s="25"/>
      <c r="R8046" s="25"/>
      <c r="S8046" s="25"/>
      <c r="T8046" s="141"/>
      <c r="U8046" s="28"/>
    </row>
    <row r="8047" ht="15.75" customHeight="1">
      <c r="P8047" s="25"/>
      <c r="Q8047" s="25"/>
      <c r="R8047" s="25"/>
      <c r="S8047" s="25"/>
      <c r="T8047" s="141"/>
      <c r="U8047" s="28"/>
    </row>
    <row r="8048" ht="15.75" customHeight="1">
      <c r="P8048" s="25"/>
      <c r="Q8048" s="25"/>
      <c r="R8048" s="25"/>
      <c r="S8048" s="25"/>
      <c r="T8048" s="141"/>
      <c r="U8048" s="28"/>
    </row>
    <row r="8049" ht="15.75" customHeight="1">
      <c r="P8049" s="25"/>
      <c r="Q8049" s="25"/>
      <c r="R8049" s="25"/>
      <c r="S8049" s="25"/>
      <c r="T8049" s="141"/>
      <c r="U8049" s="28"/>
    </row>
    <row r="8050" ht="15.75" customHeight="1">
      <c r="P8050" s="25"/>
      <c r="Q8050" s="25"/>
      <c r="R8050" s="25"/>
      <c r="S8050" s="25"/>
      <c r="T8050" s="141"/>
      <c r="U8050" s="28"/>
    </row>
    <row r="8051" ht="15.75" customHeight="1">
      <c r="P8051" s="25"/>
      <c r="Q8051" s="25"/>
      <c r="R8051" s="25"/>
      <c r="S8051" s="25"/>
      <c r="T8051" s="141"/>
      <c r="U8051" s="28"/>
    </row>
    <row r="8052" ht="15.75" customHeight="1">
      <c r="P8052" s="25"/>
      <c r="Q8052" s="25"/>
      <c r="R8052" s="25"/>
      <c r="S8052" s="25"/>
      <c r="T8052" s="141"/>
      <c r="U8052" s="28"/>
    </row>
    <row r="8053" ht="15.75" customHeight="1">
      <c r="P8053" s="25"/>
      <c r="Q8053" s="25"/>
      <c r="R8053" s="25"/>
      <c r="S8053" s="25"/>
      <c r="T8053" s="141"/>
      <c r="U8053" s="28"/>
    </row>
    <row r="8054" ht="15.75" customHeight="1">
      <c r="P8054" s="25"/>
      <c r="Q8054" s="25"/>
      <c r="R8054" s="25"/>
      <c r="S8054" s="25"/>
      <c r="T8054" s="141"/>
      <c r="U8054" s="28"/>
    </row>
    <row r="8055" ht="15.75" customHeight="1">
      <c r="P8055" s="25"/>
      <c r="Q8055" s="25"/>
      <c r="R8055" s="25"/>
      <c r="S8055" s="25"/>
      <c r="T8055" s="141"/>
      <c r="U8055" s="28"/>
    </row>
    <row r="8056" ht="15.75" customHeight="1">
      <c r="P8056" s="25"/>
      <c r="Q8056" s="25"/>
      <c r="R8056" s="25"/>
      <c r="S8056" s="25"/>
      <c r="T8056" s="141"/>
      <c r="U8056" s="28"/>
    </row>
    <row r="8057" ht="15.75" customHeight="1">
      <c r="P8057" s="25"/>
      <c r="Q8057" s="25"/>
      <c r="R8057" s="25"/>
      <c r="S8057" s="25"/>
      <c r="T8057" s="141"/>
      <c r="U8057" s="28"/>
    </row>
    <row r="8058" ht="15.75" customHeight="1">
      <c r="P8058" s="25"/>
      <c r="Q8058" s="25"/>
      <c r="R8058" s="25"/>
      <c r="S8058" s="25"/>
      <c r="T8058" s="141"/>
      <c r="U8058" s="28"/>
    </row>
    <row r="8059" ht="15.75" customHeight="1">
      <c r="P8059" s="25"/>
      <c r="Q8059" s="25"/>
      <c r="R8059" s="25"/>
      <c r="S8059" s="25"/>
      <c r="T8059" s="141"/>
      <c r="U8059" s="28"/>
    </row>
    <row r="8060" ht="15.75" customHeight="1">
      <c r="P8060" s="25"/>
      <c r="Q8060" s="25"/>
      <c r="R8060" s="25"/>
      <c r="S8060" s="25"/>
      <c r="T8060" s="141"/>
      <c r="U8060" s="28"/>
    </row>
    <row r="8061" ht="15.75" customHeight="1">
      <c r="P8061" s="25"/>
      <c r="Q8061" s="25"/>
      <c r="R8061" s="25"/>
      <c r="S8061" s="25"/>
      <c r="T8061" s="141"/>
      <c r="U8061" s="28"/>
    </row>
    <row r="8062" ht="15.75" customHeight="1">
      <c r="P8062" s="25"/>
      <c r="Q8062" s="25"/>
      <c r="R8062" s="25"/>
      <c r="S8062" s="25"/>
      <c r="T8062" s="141"/>
      <c r="U8062" s="28"/>
    </row>
    <row r="8063" ht="15.75" customHeight="1">
      <c r="P8063" s="25"/>
      <c r="Q8063" s="25"/>
      <c r="R8063" s="25"/>
      <c r="S8063" s="25"/>
      <c r="T8063" s="141"/>
      <c r="U8063" s="28"/>
    </row>
    <row r="8064" ht="15.75" customHeight="1">
      <c r="P8064" s="25"/>
      <c r="Q8064" s="25"/>
      <c r="R8064" s="25"/>
      <c r="S8064" s="25"/>
      <c r="T8064" s="141"/>
      <c r="U8064" s="28"/>
    </row>
    <row r="8065" ht="15.75" customHeight="1">
      <c r="P8065" s="25"/>
      <c r="Q8065" s="25"/>
      <c r="R8065" s="25"/>
      <c r="S8065" s="25"/>
      <c r="T8065" s="141"/>
      <c r="U8065" s="28"/>
    </row>
    <row r="8066" ht="15.75" customHeight="1">
      <c r="P8066" s="25"/>
      <c r="Q8066" s="25"/>
      <c r="R8066" s="25"/>
      <c r="S8066" s="25"/>
      <c r="T8066" s="141"/>
      <c r="U8066" s="28"/>
    </row>
    <row r="8067" ht="15.75" customHeight="1">
      <c r="P8067" s="25"/>
      <c r="Q8067" s="25"/>
      <c r="R8067" s="25"/>
      <c r="S8067" s="25"/>
      <c r="T8067" s="141"/>
      <c r="U8067" s="28"/>
    </row>
    <row r="8068" ht="15.75" customHeight="1">
      <c r="P8068" s="25"/>
      <c r="Q8068" s="25"/>
      <c r="R8068" s="25"/>
      <c r="S8068" s="25"/>
      <c r="T8068" s="141"/>
      <c r="U8068" s="28"/>
    </row>
    <row r="8069" ht="15.75" customHeight="1">
      <c r="P8069" s="25"/>
      <c r="Q8069" s="25"/>
      <c r="R8069" s="25"/>
      <c r="S8069" s="25"/>
      <c r="T8069" s="141"/>
      <c r="U8069" s="28"/>
    </row>
    <row r="8070" ht="15.75" customHeight="1">
      <c r="P8070" s="25"/>
      <c r="Q8070" s="25"/>
      <c r="R8070" s="25"/>
      <c r="S8070" s="25"/>
      <c r="T8070" s="141"/>
      <c r="U8070" s="28"/>
    </row>
    <row r="8071" ht="15.75" customHeight="1">
      <c r="P8071" s="25"/>
      <c r="Q8071" s="25"/>
      <c r="R8071" s="25"/>
      <c r="S8071" s="25"/>
      <c r="T8071" s="141"/>
      <c r="U8071" s="28"/>
    </row>
    <row r="8072" ht="15.75" customHeight="1">
      <c r="P8072" s="25"/>
      <c r="Q8072" s="25"/>
      <c r="R8072" s="25"/>
      <c r="S8072" s="25"/>
      <c r="T8072" s="141"/>
      <c r="U8072" s="28"/>
    </row>
    <row r="8073" ht="15.75" customHeight="1">
      <c r="P8073" s="25"/>
      <c r="Q8073" s="25"/>
      <c r="R8073" s="25"/>
      <c r="S8073" s="25"/>
      <c r="T8073" s="141"/>
      <c r="U8073" s="28"/>
    </row>
    <row r="8074" ht="15.75" customHeight="1">
      <c r="P8074" s="25"/>
      <c r="Q8074" s="25"/>
      <c r="R8074" s="25"/>
      <c r="S8074" s="25"/>
      <c r="T8074" s="141"/>
      <c r="U8074" s="28"/>
    </row>
    <row r="8075" ht="15.75" customHeight="1">
      <c r="P8075" s="25"/>
      <c r="Q8075" s="25"/>
      <c r="R8075" s="25"/>
      <c r="S8075" s="25"/>
      <c r="T8075" s="141"/>
      <c r="U8075" s="28"/>
    </row>
    <row r="8076" ht="15.75" customHeight="1">
      <c r="P8076" s="25"/>
      <c r="Q8076" s="25"/>
      <c r="R8076" s="25"/>
      <c r="S8076" s="25"/>
      <c r="T8076" s="141"/>
      <c r="U8076" s="28"/>
    </row>
    <row r="8077" ht="15.75" customHeight="1">
      <c r="P8077" s="25"/>
      <c r="Q8077" s="25"/>
      <c r="R8077" s="25"/>
      <c r="S8077" s="25"/>
      <c r="T8077" s="141"/>
      <c r="U8077" s="28"/>
    </row>
    <row r="8078" ht="15.75" customHeight="1">
      <c r="P8078" s="25"/>
      <c r="Q8078" s="25"/>
      <c r="R8078" s="25"/>
      <c r="S8078" s="25"/>
      <c r="T8078" s="141"/>
      <c r="U8078" s="28"/>
    </row>
    <row r="8079" ht="15.75" customHeight="1">
      <c r="P8079" s="25"/>
      <c r="Q8079" s="25"/>
      <c r="R8079" s="25"/>
      <c r="S8079" s="25"/>
      <c r="T8079" s="141"/>
      <c r="U8079" s="28"/>
    </row>
    <row r="8080" ht="15.75" customHeight="1">
      <c r="P8080" s="25"/>
      <c r="Q8080" s="25"/>
      <c r="R8080" s="25"/>
      <c r="S8080" s="25"/>
      <c r="T8080" s="141"/>
      <c r="U8080" s="28"/>
    </row>
    <row r="8081" ht="15.75" customHeight="1">
      <c r="P8081" s="25"/>
      <c r="Q8081" s="25"/>
      <c r="R8081" s="25"/>
      <c r="S8081" s="25"/>
      <c r="T8081" s="141"/>
      <c r="U8081" s="28"/>
    </row>
    <row r="8082" ht="15.75" customHeight="1">
      <c r="P8082" s="25"/>
      <c r="Q8082" s="25"/>
      <c r="R8082" s="25"/>
      <c r="S8082" s="25"/>
      <c r="T8082" s="141"/>
      <c r="U8082" s="28"/>
    </row>
    <row r="8083" ht="15.75" customHeight="1">
      <c r="P8083" s="25"/>
      <c r="Q8083" s="25"/>
      <c r="R8083" s="25"/>
      <c r="S8083" s="25"/>
      <c r="T8083" s="141"/>
      <c r="U8083" s="28"/>
    </row>
    <row r="8084" ht="15.75" customHeight="1">
      <c r="P8084" s="25"/>
      <c r="Q8084" s="25"/>
      <c r="R8084" s="25"/>
      <c r="S8084" s="25"/>
      <c r="T8084" s="141"/>
      <c r="U8084" s="28"/>
    </row>
    <row r="8085" ht="15.75" customHeight="1">
      <c r="P8085" s="25"/>
      <c r="Q8085" s="25"/>
      <c r="R8085" s="25"/>
      <c r="S8085" s="25"/>
      <c r="T8085" s="141"/>
      <c r="U8085" s="28"/>
    </row>
    <row r="8086" ht="15.75" customHeight="1">
      <c r="P8086" s="25"/>
      <c r="Q8086" s="25"/>
      <c r="R8086" s="25"/>
      <c r="S8086" s="25"/>
      <c r="T8086" s="141"/>
      <c r="U8086" s="28"/>
    </row>
    <row r="8087" ht="15.75" customHeight="1">
      <c r="P8087" s="25"/>
      <c r="Q8087" s="25"/>
      <c r="R8087" s="25"/>
      <c r="S8087" s="25"/>
      <c r="T8087" s="141"/>
      <c r="U8087" s="28"/>
    </row>
    <row r="8088" ht="15.75" customHeight="1">
      <c r="P8088" s="25"/>
      <c r="Q8088" s="25"/>
      <c r="R8088" s="25"/>
      <c r="S8088" s="25"/>
      <c r="T8088" s="141"/>
      <c r="U8088" s="28"/>
    </row>
    <row r="8089" ht="15.75" customHeight="1">
      <c r="P8089" s="25"/>
      <c r="Q8089" s="25"/>
      <c r="R8089" s="25"/>
      <c r="S8089" s="25"/>
      <c r="T8089" s="141"/>
      <c r="U8089" s="28"/>
    </row>
    <row r="8090" ht="15.75" customHeight="1">
      <c r="P8090" s="25"/>
      <c r="Q8090" s="25"/>
      <c r="R8090" s="25"/>
      <c r="S8090" s="25"/>
      <c r="T8090" s="141"/>
      <c r="U8090" s="28"/>
    </row>
    <row r="8091" ht="15.75" customHeight="1">
      <c r="P8091" s="25"/>
      <c r="Q8091" s="25"/>
      <c r="R8091" s="25"/>
      <c r="S8091" s="25"/>
      <c r="T8091" s="141"/>
      <c r="U8091" s="28"/>
    </row>
    <row r="8092" ht="15.75" customHeight="1">
      <c r="P8092" s="25"/>
      <c r="Q8092" s="25"/>
      <c r="R8092" s="25"/>
      <c r="S8092" s="25"/>
      <c r="T8092" s="141"/>
      <c r="U8092" s="28"/>
    </row>
    <row r="8093" ht="15.75" customHeight="1">
      <c r="P8093" s="25"/>
      <c r="Q8093" s="25"/>
      <c r="R8093" s="25"/>
      <c r="S8093" s="25"/>
      <c r="T8093" s="141"/>
      <c r="U8093" s="28"/>
    </row>
    <row r="8094" ht="15.75" customHeight="1">
      <c r="P8094" s="25"/>
      <c r="Q8094" s="25"/>
      <c r="R8094" s="25"/>
      <c r="S8094" s="25"/>
      <c r="T8094" s="141"/>
      <c r="U8094" s="28"/>
    </row>
    <row r="8095" ht="15.75" customHeight="1">
      <c r="P8095" s="25"/>
      <c r="Q8095" s="25"/>
      <c r="R8095" s="25"/>
      <c r="S8095" s="25"/>
      <c r="T8095" s="141"/>
      <c r="U8095" s="28"/>
    </row>
    <row r="8096" ht="15.75" customHeight="1">
      <c r="P8096" s="25"/>
      <c r="Q8096" s="25"/>
      <c r="R8096" s="25"/>
      <c r="S8096" s="25"/>
      <c r="T8096" s="141"/>
      <c r="U8096" s="28"/>
    </row>
    <row r="8097" ht="15.75" customHeight="1">
      <c r="P8097" s="25"/>
      <c r="Q8097" s="25"/>
      <c r="R8097" s="25"/>
      <c r="S8097" s="25"/>
      <c r="T8097" s="141"/>
      <c r="U8097" s="28"/>
    </row>
    <row r="8098" ht="15.75" customHeight="1">
      <c r="P8098" s="25"/>
      <c r="Q8098" s="25"/>
      <c r="R8098" s="25"/>
      <c r="S8098" s="25"/>
      <c r="T8098" s="141"/>
      <c r="U8098" s="28"/>
    </row>
    <row r="8099" ht="15.75" customHeight="1">
      <c r="P8099" s="25"/>
      <c r="Q8099" s="25"/>
      <c r="R8099" s="25"/>
      <c r="S8099" s="25"/>
      <c r="T8099" s="141"/>
      <c r="U8099" s="28"/>
    </row>
    <row r="8100" ht="15.75" customHeight="1">
      <c r="P8100" s="25"/>
      <c r="Q8100" s="25"/>
      <c r="R8100" s="25"/>
      <c r="S8100" s="25"/>
      <c r="T8100" s="141"/>
      <c r="U8100" s="28"/>
    </row>
    <row r="8101" ht="15.75" customHeight="1">
      <c r="P8101" s="25"/>
      <c r="Q8101" s="25"/>
      <c r="R8101" s="25"/>
      <c r="S8101" s="25"/>
      <c r="T8101" s="141"/>
      <c r="U8101" s="28"/>
    </row>
    <row r="8102" ht="15.75" customHeight="1">
      <c r="P8102" s="25"/>
      <c r="Q8102" s="25"/>
      <c r="R8102" s="25"/>
      <c r="S8102" s="25"/>
      <c r="T8102" s="141"/>
      <c r="U8102" s="28"/>
    </row>
    <row r="8103" ht="15.75" customHeight="1">
      <c r="P8103" s="25"/>
      <c r="Q8103" s="25"/>
      <c r="R8103" s="25"/>
      <c r="S8103" s="25"/>
      <c r="T8103" s="141"/>
      <c r="U8103" s="28"/>
    </row>
    <row r="8104" ht="15.75" customHeight="1">
      <c r="P8104" s="25"/>
      <c r="Q8104" s="25"/>
      <c r="R8104" s="25"/>
      <c r="S8104" s="25"/>
      <c r="T8104" s="141"/>
      <c r="U8104" s="28"/>
    </row>
    <row r="8105" ht="15.75" customHeight="1">
      <c r="P8105" s="25"/>
      <c r="Q8105" s="25"/>
      <c r="R8105" s="25"/>
      <c r="S8105" s="25"/>
      <c r="T8105" s="141"/>
      <c r="U8105" s="28"/>
    </row>
    <row r="8106" ht="15.75" customHeight="1">
      <c r="P8106" s="25"/>
      <c r="Q8106" s="25"/>
      <c r="R8106" s="25"/>
      <c r="S8106" s="25"/>
      <c r="T8106" s="141"/>
      <c r="U8106" s="28"/>
    </row>
    <row r="8107" ht="15.75" customHeight="1">
      <c r="P8107" s="25"/>
      <c r="Q8107" s="25"/>
      <c r="R8107" s="25"/>
      <c r="S8107" s="25"/>
      <c r="T8107" s="141"/>
      <c r="U8107" s="28"/>
    </row>
    <row r="8108" ht="15.75" customHeight="1">
      <c r="P8108" s="25"/>
      <c r="Q8108" s="25"/>
      <c r="R8108" s="25"/>
      <c r="S8108" s="25"/>
      <c r="T8108" s="141"/>
      <c r="U8108" s="28"/>
    </row>
    <row r="8109" ht="15.75" customHeight="1">
      <c r="P8109" s="25"/>
      <c r="Q8109" s="25"/>
      <c r="R8109" s="25"/>
      <c r="S8109" s="25"/>
      <c r="T8109" s="141"/>
      <c r="U8109" s="28"/>
    </row>
    <row r="8110" ht="15.75" customHeight="1">
      <c r="P8110" s="25"/>
      <c r="Q8110" s="25"/>
      <c r="R8110" s="25"/>
      <c r="S8110" s="25"/>
      <c r="T8110" s="141"/>
      <c r="U8110" s="28"/>
    </row>
    <row r="8111" ht="15.75" customHeight="1">
      <c r="P8111" s="25"/>
      <c r="Q8111" s="25"/>
      <c r="R8111" s="25"/>
      <c r="S8111" s="25"/>
      <c r="T8111" s="141"/>
      <c r="U8111" s="28"/>
    </row>
    <row r="8112" ht="15.75" customHeight="1">
      <c r="P8112" s="25"/>
      <c r="Q8112" s="25"/>
      <c r="R8112" s="25"/>
      <c r="S8112" s="25"/>
      <c r="T8112" s="141"/>
      <c r="U8112" s="28"/>
    </row>
    <row r="8113" ht="15.75" customHeight="1">
      <c r="P8113" s="25"/>
      <c r="Q8113" s="25"/>
      <c r="R8113" s="25"/>
      <c r="S8113" s="25"/>
      <c r="T8113" s="141"/>
      <c r="U8113" s="28"/>
    </row>
    <row r="8114" ht="15.75" customHeight="1">
      <c r="P8114" s="25"/>
      <c r="Q8114" s="25"/>
      <c r="R8114" s="25"/>
      <c r="S8114" s="25"/>
      <c r="T8114" s="141"/>
      <c r="U8114" s="28"/>
    </row>
    <row r="8115" ht="15.75" customHeight="1">
      <c r="P8115" s="25"/>
      <c r="Q8115" s="25"/>
      <c r="R8115" s="25"/>
      <c r="S8115" s="25"/>
      <c r="T8115" s="141"/>
      <c r="U8115" s="28"/>
    </row>
    <row r="8116" ht="15.75" customHeight="1">
      <c r="P8116" s="25"/>
      <c r="Q8116" s="25"/>
      <c r="R8116" s="25"/>
      <c r="S8116" s="25"/>
      <c r="T8116" s="141"/>
      <c r="U8116" s="28"/>
    </row>
    <row r="8117" ht="15.75" customHeight="1">
      <c r="P8117" s="25"/>
      <c r="Q8117" s="25"/>
      <c r="R8117" s="25"/>
      <c r="S8117" s="25"/>
      <c r="T8117" s="141"/>
      <c r="U8117" s="28"/>
    </row>
    <row r="8118" ht="15.75" customHeight="1">
      <c r="P8118" s="25"/>
      <c r="Q8118" s="25"/>
      <c r="R8118" s="25"/>
      <c r="S8118" s="25"/>
      <c r="T8118" s="141"/>
      <c r="U8118" s="28"/>
    </row>
    <row r="8119" ht="15.75" customHeight="1">
      <c r="P8119" s="25"/>
      <c r="Q8119" s="25"/>
      <c r="R8119" s="25"/>
      <c r="S8119" s="25"/>
      <c r="T8119" s="141"/>
      <c r="U8119" s="28"/>
    </row>
    <row r="8120" ht="15.75" customHeight="1">
      <c r="P8120" s="25"/>
      <c r="Q8120" s="25"/>
      <c r="R8120" s="25"/>
      <c r="S8120" s="25"/>
      <c r="T8120" s="141"/>
      <c r="U8120" s="28"/>
    </row>
    <row r="8121" ht="15.75" customHeight="1">
      <c r="P8121" s="25"/>
      <c r="Q8121" s="25"/>
      <c r="R8121" s="25"/>
      <c r="S8121" s="25"/>
      <c r="T8121" s="141"/>
      <c r="U8121" s="28"/>
    </row>
    <row r="8122" ht="15.75" customHeight="1">
      <c r="P8122" s="25"/>
      <c r="Q8122" s="25"/>
      <c r="R8122" s="25"/>
      <c r="S8122" s="25"/>
      <c r="T8122" s="141"/>
      <c r="U8122" s="28"/>
    </row>
    <row r="8123" ht="15.75" customHeight="1">
      <c r="P8123" s="25"/>
      <c r="Q8123" s="25"/>
      <c r="R8123" s="25"/>
      <c r="S8123" s="25"/>
      <c r="T8123" s="141"/>
      <c r="U8123" s="28"/>
    </row>
    <row r="8124" ht="15.75" customHeight="1">
      <c r="P8124" s="25"/>
      <c r="Q8124" s="25"/>
      <c r="R8124" s="25"/>
      <c r="S8124" s="25"/>
      <c r="T8124" s="141"/>
      <c r="U8124" s="28"/>
    </row>
    <row r="8125" ht="15.75" customHeight="1">
      <c r="P8125" s="25"/>
      <c r="Q8125" s="25"/>
      <c r="R8125" s="25"/>
      <c r="S8125" s="25"/>
      <c r="T8125" s="141"/>
      <c r="U8125" s="28"/>
    </row>
    <row r="8126" ht="15.75" customHeight="1">
      <c r="P8126" s="25"/>
      <c r="Q8126" s="25"/>
      <c r="R8126" s="25"/>
      <c r="S8126" s="25"/>
      <c r="T8126" s="141"/>
      <c r="U8126" s="28"/>
    </row>
    <row r="8127" ht="15.75" customHeight="1">
      <c r="P8127" s="25"/>
      <c r="Q8127" s="25"/>
      <c r="R8127" s="25"/>
      <c r="S8127" s="25"/>
      <c r="T8127" s="141"/>
      <c r="U8127" s="28"/>
    </row>
    <row r="8128" ht="15.75" customHeight="1">
      <c r="P8128" s="25"/>
      <c r="Q8128" s="25"/>
      <c r="R8128" s="25"/>
      <c r="S8128" s="25"/>
      <c r="T8128" s="141"/>
      <c r="U8128" s="28"/>
    </row>
    <row r="8129" ht="15.75" customHeight="1">
      <c r="P8129" s="25"/>
      <c r="Q8129" s="25"/>
      <c r="R8129" s="25"/>
      <c r="S8129" s="25"/>
      <c r="T8129" s="141"/>
      <c r="U8129" s="28"/>
    </row>
    <row r="8130" ht="15.75" customHeight="1">
      <c r="P8130" s="25"/>
      <c r="Q8130" s="25"/>
      <c r="R8130" s="25"/>
      <c r="S8130" s="25"/>
      <c r="T8130" s="141"/>
      <c r="U8130" s="28"/>
    </row>
    <row r="8131" ht="15.75" customHeight="1">
      <c r="P8131" s="25"/>
      <c r="Q8131" s="25"/>
      <c r="R8131" s="25"/>
      <c r="S8131" s="25"/>
      <c r="T8131" s="141"/>
      <c r="U8131" s="28"/>
    </row>
    <row r="8132" ht="15.75" customHeight="1">
      <c r="P8132" s="25"/>
      <c r="Q8132" s="25"/>
      <c r="R8132" s="25"/>
      <c r="S8132" s="25"/>
      <c r="T8132" s="141"/>
      <c r="U8132" s="28"/>
    </row>
    <row r="8133" ht="15.75" customHeight="1">
      <c r="P8133" s="25"/>
      <c r="Q8133" s="25"/>
      <c r="R8133" s="25"/>
      <c r="S8133" s="25"/>
      <c r="T8133" s="141"/>
      <c r="U8133" s="28"/>
    </row>
    <row r="8134" ht="15.75" customHeight="1">
      <c r="P8134" s="25"/>
      <c r="Q8134" s="25"/>
      <c r="R8134" s="25"/>
      <c r="S8134" s="25"/>
      <c r="T8134" s="141"/>
      <c r="U8134" s="28"/>
    </row>
    <row r="8135" ht="15.75" customHeight="1">
      <c r="P8135" s="25"/>
      <c r="Q8135" s="25"/>
      <c r="R8135" s="25"/>
      <c r="S8135" s="25"/>
      <c r="T8135" s="141"/>
      <c r="U8135" s="28"/>
    </row>
    <row r="8136" ht="15.75" customHeight="1">
      <c r="P8136" s="25"/>
      <c r="Q8136" s="25"/>
      <c r="R8136" s="25"/>
      <c r="S8136" s="25"/>
      <c r="T8136" s="141"/>
      <c r="U8136" s="28"/>
    </row>
    <row r="8137" ht="15.75" customHeight="1">
      <c r="P8137" s="25"/>
      <c r="Q8137" s="25"/>
      <c r="R8137" s="25"/>
      <c r="S8137" s="25"/>
      <c r="T8137" s="141"/>
      <c r="U8137" s="28"/>
    </row>
    <row r="8138" ht="15.75" customHeight="1">
      <c r="P8138" s="25"/>
      <c r="Q8138" s="25"/>
      <c r="R8138" s="25"/>
      <c r="S8138" s="25"/>
      <c r="T8138" s="141"/>
      <c r="U8138" s="28"/>
    </row>
    <row r="8139" ht="15.75" customHeight="1">
      <c r="P8139" s="25"/>
      <c r="Q8139" s="25"/>
      <c r="R8139" s="25"/>
      <c r="S8139" s="25"/>
      <c r="T8139" s="141"/>
      <c r="U8139" s="28"/>
    </row>
    <row r="8140" ht="15.75" customHeight="1">
      <c r="P8140" s="25"/>
      <c r="Q8140" s="25"/>
      <c r="R8140" s="25"/>
      <c r="S8140" s="25"/>
      <c r="T8140" s="141"/>
      <c r="U8140" s="28"/>
    </row>
    <row r="8141" ht="15.75" customHeight="1">
      <c r="P8141" s="25"/>
      <c r="Q8141" s="25"/>
      <c r="R8141" s="25"/>
      <c r="S8141" s="25"/>
      <c r="T8141" s="141"/>
      <c r="U8141" s="28"/>
    </row>
    <row r="8142" ht="15.75" customHeight="1">
      <c r="P8142" s="25"/>
      <c r="Q8142" s="25"/>
      <c r="R8142" s="25"/>
      <c r="S8142" s="25"/>
      <c r="T8142" s="141"/>
      <c r="U8142" s="28"/>
    </row>
    <row r="8143" ht="15.75" customHeight="1">
      <c r="P8143" s="25"/>
      <c r="Q8143" s="25"/>
      <c r="R8143" s="25"/>
      <c r="S8143" s="25"/>
      <c r="T8143" s="141"/>
      <c r="U8143" s="28"/>
    </row>
    <row r="8144" ht="15.75" customHeight="1">
      <c r="P8144" s="25"/>
      <c r="Q8144" s="25"/>
      <c r="R8144" s="25"/>
      <c r="S8144" s="25"/>
      <c r="T8144" s="141"/>
      <c r="U8144" s="28"/>
    </row>
    <row r="8145" ht="15.75" customHeight="1">
      <c r="P8145" s="25"/>
      <c r="Q8145" s="25"/>
      <c r="R8145" s="25"/>
      <c r="S8145" s="25"/>
      <c r="T8145" s="141"/>
      <c r="U8145" s="28"/>
    </row>
    <row r="8146" ht="15.75" customHeight="1">
      <c r="P8146" s="25"/>
      <c r="Q8146" s="25"/>
      <c r="R8146" s="25"/>
      <c r="S8146" s="25"/>
      <c r="T8146" s="141"/>
      <c r="U8146" s="28"/>
    </row>
    <row r="8147" ht="15.75" customHeight="1">
      <c r="P8147" s="25"/>
      <c r="Q8147" s="25"/>
      <c r="R8147" s="25"/>
      <c r="S8147" s="25"/>
      <c r="T8147" s="141"/>
      <c r="U8147" s="28"/>
    </row>
    <row r="8148" ht="15.75" customHeight="1">
      <c r="P8148" s="25"/>
      <c r="Q8148" s="25"/>
      <c r="R8148" s="25"/>
      <c r="S8148" s="25"/>
      <c r="T8148" s="141"/>
      <c r="U8148" s="28"/>
    </row>
    <row r="8149" ht="15.75" customHeight="1">
      <c r="P8149" s="25"/>
      <c r="Q8149" s="25"/>
      <c r="R8149" s="25"/>
      <c r="S8149" s="25"/>
      <c r="T8149" s="141"/>
      <c r="U8149" s="28"/>
    </row>
    <row r="8150" ht="15.75" customHeight="1">
      <c r="P8150" s="25"/>
      <c r="Q8150" s="25"/>
      <c r="R8150" s="25"/>
      <c r="S8150" s="25"/>
      <c r="T8150" s="141"/>
      <c r="U8150" s="28"/>
    </row>
    <row r="8151" ht="15.75" customHeight="1">
      <c r="P8151" s="25"/>
      <c r="Q8151" s="25"/>
      <c r="R8151" s="25"/>
      <c r="S8151" s="25"/>
      <c r="T8151" s="141"/>
      <c r="U8151" s="28"/>
    </row>
    <row r="8152" ht="15.75" customHeight="1">
      <c r="P8152" s="25"/>
      <c r="Q8152" s="25"/>
      <c r="R8152" s="25"/>
      <c r="S8152" s="25"/>
      <c r="T8152" s="141"/>
      <c r="U8152" s="28"/>
    </row>
    <row r="8153" ht="15.75" customHeight="1">
      <c r="P8153" s="25"/>
      <c r="Q8153" s="25"/>
      <c r="R8153" s="25"/>
      <c r="S8153" s="25"/>
      <c r="T8153" s="141"/>
      <c r="U8153" s="28"/>
    </row>
    <row r="8154" ht="15.75" customHeight="1">
      <c r="P8154" s="25"/>
      <c r="Q8154" s="25"/>
      <c r="R8154" s="25"/>
      <c r="S8154" s="25"/>
      <c r="T8154" s="141"/>
      <c r="U8154" s="28"/>
    </row>
    <row r="8155" ht="15.75" customHeight="1">
      <c r="P8155" s="25"/>
      <c r="Q8155" s="25"/>
      <c r="R8155" s="25"/>
      <c r="S8155" s="25"/>
      <c r="T8155" s="141"/>
      <c r="U8155" s="28"/>
    </row>
    <row r="8156" ht="15.75" customHeight="1">
      <c r="P8156" s="25"/>
      <c r="Q8156" s="25"/>
      <c r="R8156" s="25"/>
      <c r="S8156" s="25"/>
      <c r="T8156" s="141"/>
      <c r="U8156" s="28"/>
    </row>
    <row r="8157" ht="15.75" customHeight="1">
      <c r="P8157" s="25"/>
      <c r="Q8157" s="25"/>
      <c r="R8157" s="25"/>
      <c r="S8157" s="25"/>
      <c r="T8157" s="141"/>
      <c r="U8157" s="28"/>
    </row>
    <row r="8158" ht="15.75" customHeight="1">
      <c r="P8158" s="25"/>
      <c r="Q8158" s="25"/>
      <c r="R8158" s="25"/>
      <c r="S8158" s="25"/>
      <c r="T8158" s="141"/>
      <c r="U8158" s="28"/>
    </row>
    <row r="8159" ht="15.75" customHeight="1">
      <c r="P8159" s="25"/>
      <c r="Q8159" s="25"/>
      <c r="R8159" s="25"/>
      <c r="S8159" s="25"/>
      <c r="T8159" s="141"/>
      <c r="U8159" s="28"/>
    </row>
    <row r="8160" ht="15.75" customHeight="1">
      <c r="P8160" s="25"/>
      <c r="Q8160" s="25"/>
      <c r="R8160" s="25"/>
      <c r="S8160" s="25"/>
      <c r="T8160" s="141"/>
      <c r="U8160" s="28"/>
    </row>
    <row r="8161" ht="15.75" customHeight="1">
      <c r="P8161" s="25"/>
      <c r="Q8161" s="25"/>
      <c r="R8161" s="25"/>
      <c r="S8161" s="25"/>
      <c r="T8161" s="141"/>
      <c r="U8161" s="28"/>
    </row>
    <row r="8162" ht="15.75" customHeight="1">
      <c r="P8162" s="25"/>
      <c r="Q8162" s="25"/>
      <c r="R8162" s="25"/>
      <c r="S8162" s="25"/>
      <c r="T8162" s="141"/>
      <c r="U8162" s="28"/>
    </row>
    <row r="8163" ht="15.75" customHeight="1">
      <c r="P8163" s="25"/>
      <c r="Q8163" s="25"/>
      <c r="R8163" s="25"/>
      <c r="S8163" s="25"/>
      <c r="T8163" s="141"/>
      <c r="U8163" s="28"/>
    </row>
    <row r="8164" ht="15.75" customHeight="1">
      <c r="P8164" s="25"/>
      <c r="Q8164" s="25"/>
      <c r="R8164" s="25"/>
      <c r="S8164" s="25"/>
      <c r="T8164" s="141"/>
      <c r="U8164" s="28"/>
    </row>
    <row r="8165" ht="15.75" customHeight="1">
      <c r="P8165" s="25"/>
      <c r="Q8165" s="25"/>
      <c r="R8165" s="25"/>
      <c r="S8165" s="25"/>
      <c r="T8165" s="141"/>
      <c r="U8165" s="28"/>
    </row>
    <row r="8166" ht="15.75" customHeight="1">
      <c r="P8166" s="25"/>
      <c r="Q8166" s="25"/>
      <c r="R8166" s="25"/>
      <c r="S8166" s="25"/>
      <c r="T8166" s="141"/>
      <c r="U8166" s="28"/>
    </row>
    <row r="8167" ht="15.75" customHeight="1">
      <c r="P8167" s="25"/>
      <c r="Q8167" s="25"/>
      <c r="R8167" s="25"/>
      <c r="S8167" s="25"/>
      <c r="T8167" s="141"/>
      <c r="U8167" s="28"/>
    </row>
    <row r="8168" ht="15.75" customHeight="1">
      <c r="P8168" s="25"/>
      <c r="Q8168" s="25"/>
      <c r="R8168" s="25"/>
      <c r="S8168" s="25"/>
      <c r="T8168" s="141"/>
      <c r="U8168" s="28"/>
    </row>
    <row r="8169" ht="15.75" customHeight="1">
      <c r="P8169" s="25"/>
      <c r="Q8169" s="25"/>
      <c r="R8169" s="25"/>
      <c r="S8169" s="25"/>
      <c r="T8169" s="141"/>
      <c r="U8169" s="28"/>
    </row>
    <row r="8170" ht="15.75" customHeight="1">
      <c r="P8170" s="25"/>
      <c r="Q8170" s="25"/>
      <c r="R8170" s="25"/>
      <c r="S8170" s="25"/>
      <c r="T8170" s="141"/>
      <c r="U8170" s="28"/>
    </row>
    <row r="8171" ht="15.75" customHeight="1">
      <c r="P8171" s="25"/>
      <c r="Q8171" s="25"/>
      <c r="R8171" s="25"/>
      <c r="S8171" s="25"/>
      <c r="T8171" s="141"/>
      <c r="U8171" s="28"/>
    </row>
    <row r="8172" ht="15.75" customHeight="1">
      <c r="P8172" s="25"/>
      <c r="Q8172" s="25"/>
      <c r="R8172" s="25"/>
      <c r="S8172" s="25"/>
      <c r="T8172" s="141"/>
      <c r="U8172" s="28"/>
    </row>
    <row r="8173" ht="15.75" customHeight="1">
      <c r="P8173" s="25"/>
      <c r="Q8173" s="25"/>
      <c r="R8173" s="25"/>
      <c r="S8173" s="25"/>
      <c r="T8173" s="141"/>
      <c r="U8173" s="28"/>
    </row>
    <row r="8174" ht="15.75" customHeight="1">
      <c r="P8174" s="25"/>
      <c r="Q8174" s="25"/>
      <c r="R8174" s="25"/>
      <c r="S8174" s="25"/>
      <c r="T8174" s="141"/>
      <c r="U8174" s="28"/>
    </row>
    <row r="8175" ht="15.75" customHeight="1">
      <c r="P8175" s="25"/>
      <c r="Q8175" s="25"/>
      <c r="R8175" s="25"/>
      <c r="S8175" s="25"/>
      <c r="T8175" s="141"/>
      <c r="U8175" s="28"/>
    </row>
    <row r="8176" ht="15.75" customHeight="1">
      <c r="P8176" s="25"/>
      <c r="Q8176" s="25"/>
      <c r="R8176" s="25"/>
      <c r="S8176" s="25"/>
      <c r="T8176" s="141"/>
      <c r="U8176" s="28"/>
    </row>
    <row r="8177" ht="15.75" customHeight="1">
      <c r="P8177" s="25"/>
      <c r="Q8177" s="25"/>
      <c r="R8177" s="25"/>
      <c r="S8177" s="25"/>
      <c r="T8177" s="141"/>
      <c r="U8177" s="28"/>
    </row>
    <row r="8178" ht="15.75" customHeight="1">
      <c r="P8178" s="25"/>
      <c r="Q8178" s="25"/>
      <c r="R8178" s="25"/>
      <c r="S8178" s="25"/>
      <c r="T8178" s="141"/>
      <c r="U8178" s="28"/>
    </row>
    <row r="8179" ht="15.75" customHeight="1">
      <c r="P8179" s="25"/>
      <c r="Q8179" s="25"/>
      <c r="R8179" s="25"/>
      <c r="S8179" s="25"/>
      <c r="T8179" s="141"/>
      <c r="U8179" s="28"/>
    </row>
    <row r="8180" ht="15.75" customHeight="1">
      <c r="P8180" s="25"/>
      <c r="Q8180" s="25"/>
      <c r="R8180" s="25"/>
      <c r="S8180" s="25"/>
      <c r="T8180" s="141"/>
      <c r="U8180" s="28"/>
    </row>
    <row r="8181" ht="15.75" customHeight="1">
      <c r="P8181" s="25"/>
      <c r="Q8181" s="25"/>
      <c r="R8181" s="25"/>
      <c r="S8181" s="25"/>
      <c r="T8181" s="141"/>
      <c r="U8181" s="28"/>
    </row>
    <row r="8182" ht="15.75" customHeight="1">
      <c r="P8182" s="25"/>
      <c r="Q8182" s="25"/>
      <c r="R8182" s="25"/>
      <c r="S8182" s="25"/>
      <c r="T8182" s="141"/>
      <c r="U8182" s="28"/>
    </row>
    <row r="8183" ht="15.75" customHeight="1">
      <c r="P8183" s="25"/>
      <c r="Q8183" s="25"/>
      <c r="R8183" s="25"/>
      <c r="S8183" s="25"/>
      <c r="T8183" s="141"/>
      <c r="U8183" s="28"/>
    </row>
    <row r="8184" ht="15.75" customHeight="1">
      <c r="P8184" s="25"/>
      <c r="Q8184" s="25"/>
      <c r="R8184" s="25"/>
      <c r="S8184" s="25"/>
      <c r="T8184" s="141"/>
      <c r="U8184" s="28"/>
    </row>
    <row r="8185" ht="15.75" customHeight="1">
      <c r="P8185" s="25"/>
      <c r="Q8185" s="25"/>
      <c r="R8185" s="25"/>
      <c r="S8185" s="25"/>
      <c r="T8185" s="141"/>
      <c r="U8185" s="28"/>
    </row>
    <row r="8186" ht="15.75" customHeight="1">
      <c r="P8186" s="25"/>
      <c r="Q8186" s="25"/>
      <c r="R8186" s="25"/>
      <c r="S8186" s="25"/>
      <c r="T8186" s="141"/>
      <c r="U8186" s="28"/>
    </row>
    <row r="8187" ht="15.75" customHeight="1">
      <c r="P8187" s="25"/>
      <c r="Q8187" s="25"/>
      <c r="R8187" s="25"/>
      <c r="S8187" s="25"/>
      <c r="T8187" s="141"/>
      <c r="U8187" s="28"/>
    </row>
    <row r="8188" ht="15.75" customHeight="1">
      <c r="P8188" s="25"/>
      <c r="Q8188" s="25"/>
      <c r="R8188" s="25"/>
      <c r="S8188" s="25"/>
      <c r="T8188" s="141"/>
      <c r="U8188" s="28"/>
    </row>
    <row r="8189" ht="15.75" customHeight="1">
      <c r="P8189" s="25"/>
      <c r="Q8189" s="25"/>
      <c r="R8189" s="25"/>
      <c r="S8189" s="25"/>
      <c r="T8189" s="141"/>
      <c r="U8189" s="28"/>
    </row>
    <row r="8190" ht="15.75" customHeight="1">
      <c r="P8190" s="25"/>
      <c r="Q8190" s="25"/>
      <c r="R8190" s="25"/>
      <c r="S8190" s="25"/>
      <c r="T8190" s="141"/>
      <c r="U8190" s="28"/>
    </row>
    <row r="8191" ht="15.75" customHeight="1">
      <c r="P8191" s="25"/>
      <c r="Q8191" s="25"/>
      <c r="R8191" s="25"/>
      <c r="S8191" s="25"/>
      <c r="T8191" s="141"/>
      <c r="U8191" s="28"/>
    </row>
    <row r="8192" ht="15.75" customHeight="1">
      <c r="P8192" s="25"/>
      <c r="Q8192" s="25"/>
      <c r="R8192" s="25"/>
      <c r="S8192" s="25"/>
      <c r="T8192" s="141"/>
      <c r="U8192" s="28"/>
    </row>
    <row r="8193" ht="15.75" customHeight="1">
      <c r="P8193" s="25"/>
      <c r="Q8193" s="25"/>
      <c r="R8193" s="25"/>
      <c r="S8193" s="25"/>
      <c r="T8193" s="141"/>
      <c r="U8193" s="28"/>
    </row>
    <row r="8194" ht="15.75" customHeight="1">
      <c r="P8194" s="25"/>
      <c r="Q8194" s="25"/>
      <c r="R8194" s="25"/>
      <c r="S8194" s="25"/>
      <c r="T8194" s="141"/>
      <c r="U8194" s="28"/>
    </row>
    <row r="8195" ht="15.75" customHeight="1">
      <c r="P8195" s="25"/>
      <c r="Q8195" s="25"/>
      <c r="R8195" s="25"/>
      <c r="S8195" s="25"/>
      <c r="T8195" s="141"/>
      <c r="U8195" s="28"/>
    </row>
    <row r="8196" ht="15.75" customHeight="1">
      <c r="P8196" s="25"/>
      <c r="Q8196" s="25"/>
      <c r="R8196" s="25"/>
      <c r="S8196" s="25"/>
      <c r="T8196" s="141"/>
      <c r="U8196" s="28"/>
    </row>
    <row r="8197" ht="15.75" customHeight="1">
      <c r="P8197" s="25"/>
      <c r="Q8197" s="25"/>
      <c r="R8197" s="25"/>
      <c r="S8197" s="25"/>
      <c r="T8197" s="141"/>
      <c r="U8197" s="28"/>
    </row>
    <row r="8198" ht="15.75" customHeight="1">
      <c r="P8198" s="25"/>
      <c r="Q8198" s="25"/>
      <c r="R8198" s="25"/>
      <c r="S8198" s="25"/>
      <c r="T8198" s="141"/>
      <c r="U8198" s="28"/>
    </row>
    <row r="8199" ht="15.75" customHeight="1">
      <c r="P8199" s="25"/>
      <c r="Q8199" s="25"/>
      <c r="R8199" s="25"/>
      <c r="S8199" s="25"/>
      <c r="T8199" s="141"/>
      <c r="U8199" s="28"/>
    </row>
    <row r="8200" ht="15.75" customHeight="1">
      <c r="P8200" s="25"/>
      <c r="Q8200" s="25"/>
      <c r="R8200" s="25"/>
      <c r="S8200" s="25"/>
      <c r="T8200" s="141"/>
      <c r="U8200" s="28"/>
    </row>
    <row r="8201" ht="15.75" customHeight="1">
      <c r="P8201" s="25"/>
      <c r="Q8201" s="25"/>
      <c r="R8201" s="25"/>
      <c r="S8201" s="25"/>
      <c r="T8201" s="141"/>
      <c r="U8201" s="28"/>
    </row>
    <row r="8202" ht="15.75" customHeight="1">
      <c r="P8202" s="25"/>
      <c r="Q8202" s="25"/>
      <c r="R8202" s="25"/>
      <c r="S8202" s="25"/>
      <c r="T8202" s="141"/>
      <c r="U8202" s="28"/>
    </row>
    <row r="8203" ht="15.75" customHeight="1">
      <c r="P8203" s="25"/>
      <c r="Q8203" s="25"/>
      <c r="R8203" s="25"/>
      <c r="S8203" s="25"/>
      <c r="T8203" s="141"/>
      <c r="U8203" s="28"/>
    </row>
    <row r="8204" ht="15.75" customHeight="1">
      <c r="P8204" s="25"/>
      <c r="Q8204" s="25"/>
      <c r="R8204" s="25"/>
      <c r="S8204" s="25"/>
      <c r="T8204" s="141"/>
      <c r="U8204" s="28"/>
    </row>
    <row r="8205" ht="15.75" customHeight="1">
      <c r="P8205" s="25"/>
      <c r="Q8205" s="25"/>
      <c r="R8205" s="25"/>
      <c r="S8205" s="25"/>
      <c r="T8205" s="141"/>
      <c r="U8205" s="28"/>
    </row>
    <row r="8206" ht="15.75" customHeight="1">
      <c r="P8206" s="25"/>
      <c r="Q8206" s="25"/>
      <c r="R8206" s="25"/>
      <c r="S8206" s="25"/>
      <c r="T8206" s="141"/>
      <c r="U8206" s="28"/>
    </row>
    <row r="8207" ht="15.75" customHeight="1">
      <c r="P8207" s="25"/>
      <c r="Q8207" s="25"/>
      <c r="R8207" s="25"/>
      <c r="S8207" s="25"/>
      <c r="T8207" s="141"/>
      <c r="U8207" s="28"/>
    </row>
    <row r="8208" ht="15.75" customHeight="1">
      <c r="P8208" s="25"/>
      <c r="Q8208" s="25"/>
      <c r="R8208" s="25"/>
      <c r="S8208" s="25"/>
      <c r="T8208" s="141"/>
      <c r="U8208" s="28"/>
    </row>
    <row r="8209" ht="15.75" customHeight="1">
      <c r="P8209" s="25"/>
      <c r="Q8209" s="25"/>
      <c r="R8209" s="25"/>
      <c r="S8209" s="25"/>
      <c r="T8209" s="141"/>
      <c r="U8209" s="28"/>
    </row>
    <row r="8210" ht="15.75" customHeight="1">
      <c r="P8210" s="25"/>
      <c r="Q8210" s="25"/>
      <c r="R8210" s="25"/>
      <c r="S8210" s="25"/>
      <c r="T8210" s="141"/>
      <c r="U8210" s="28"/>
    </row>
    <row r="8211" ht="15.75" customHeight="1">
      <c r="P8211" s="25"/>
      <c r="Q8211" s="25"/>
      <c r="R8211" s="25"/>
      <c r="S8211" s="25"/>
      <c r="T8211" s="141"/>
      <c r="U8211" s="28"/>
    </row>
    <row r="8212" ht="15.75" customHeight="1">
      <c r="P8212" s="25"/>
      <c r="Q8212" s="25"/>
      <c r="R8212" s="25"/>
      <c r="S8212" s="25"/>
      <c r="T8212" s="141"/>
      <c r="U8212" s="28"/>
    </row>
    <row r="8213" ht="15.75" customHeight="1">
      <c r="P8213" s="25"/>
      <c r="Q8213" s="25"/>
      <c r="R8213" s="25"/>
      <c r="S8213" s="25"/>
      <c r="T8213" s="141"/>
      <c r="U8213" s="28"/>
    </row>
    <row r="8214" ht="15.75" customHeight="1">
      <c r="P8214" s="25"/>
      <c r="Q8214" s="25"/>
      <c r="R8214" s="25"/>
      <c r="S8214" s="25"/>
      <c r="T8214" s="141"/>
      <c r="U8214" s="28"/>
    </row>
    <row r="8215" ht="15.75" customHeight="1">
      <c r="P8215" s="25"/>
      <c r="Q8215" s="25"/>
      <c r="R8215" s="25"/>
      <c r="S8215" s="25"/>
      <c r="T8215" s="141"/>
      <c r="U8215" s="28"/>
    </row>
    <row r="8216" ht="15.75" customHeight="1">
      <c r="P8216" s="25"/>
      <c r="Q8216" s="25"/>
      <c r="R8216" s="25"/>
      <c r="S8216" s="25"/>
      <c r="T8216" s="141"/>
      <c r="U8216" s="28"/>
    </row>
    <row r="8217" ht="15.75" customHeight="1">
      <c r="P8217" s="25"/>
      <c r="Q8217" s="25"/>
      <c r="R8217" s="25"/>
      <c r="S8217" s="25"/>
      <c r="T8217" s="141"/>
      <c r="U8217" s="28"/>
    </row>
    <row r="8218" ht="15.75" customHeight="1">
      <c r="P8218" s="25"/>
      <c r="Q8218" s="25"/>
      <c r="R8218" s="25"/>
      <c r="S8218" s="25"/>
      <c r="T8218" s="141"/>
      <c r="U8218" s="28"/>
    </row>
    <row r="8219" ht="15.75" customHeight="1">
      <c r="P8219" s="25"/>
      <c r="Q8219" s="25"/>
      <c r="R8219" s="25"/>
      <c r="S8219" s="25"/>
      <c r="T8219" s="141"/>
      <c r="U8219" s="28"/>
    </row>
    <row r="8220" ht="15.75" customHeight="1">
      <c r="P8220" s="25"/>
      <c r="Q8220" s="25"/>
      <c r="R8220" s="25"/>
      <c r="S8220" s="25"/>
      <c r="T8220" s="141"/>
      <c r="U8220" s="28"/>
    </row>
    <row r="8221" ht="15.75" customHeight="1">
      <c r="P8221" s="25"/>
      <c r="Q8221" s="25"/>
      <c r="R8221" s="25"/>
      <c r="S8221" s="25"/>
      <c r="T8221" s="141"/>
      <c r="U8221" s="28"/>
    </row>
    <row r="8222" ht="15.75" customHeight="1">
      <c r="P8222" s="25"/>
      <c r="Q8222" s="25"/>
      <c r="R8222" s="25"/>
      <c r="S8222" s="25"/>
      <c r="T8222" s="141"/>
      <c r="U8222" s="28"/>
    </row>
    <row r="8223" ht="15.75" customHeight="1">
      <c r="P8223" s="25"/>
      <c r="Q8223" s="25"/>
      <c r="R8223" s="25"/>
      <c r="S8223" s="25"/>
      <c r="T8223" s="141"/>
      <c r="U8223" s="28"/>
    </row>
    <row r="8224" ht="15.75" customHeight="1">
      <c r="P8224" s="25"/>
      <c r="Q8224" s="25"/>
      <c r="R8224" s="25"/>
      <c r="S8224" s="25"/>
      <c r="T8224" s="141"/>
      <c r="U8224" s="28"/>
    </row>
    <row r="8225" ht="15.75" customHeight="1">
      <c r="P8225" s="25"/>
      <c r="Q8225" s="25"/>
      <c r="R8225" s="25"/>
      <c r="S8225" s="25"/>
      <c r="T8225" s="141"/>
      <c r="U8225" s="28"/>
    </row>
    <row r="8226" ht="15.75" customHeight="1">
      <c r="P8226" s="25"/>
      <c r="Q8226" s="25"/>
      <c r="R8226" s="25"/>
      <c r="S8226" s="25"/>
      <c r="T8226" s="141"/>
      <c r="U8226" s="28"/>
    </row>
    <row r="8227" ht="15.75" customHeight="1">
      <c r="P8227" s="25"/>
      <c r="Q8227" s="25"/>
      <c r="R8227" s="25"/>
      <c r="S8227" s="25"/>
      <c r="T8227" s="141"/>
      <c r="U8227" s="28"/>
    </row>
    <row r="8228" ht="15.75" customHeight="1">
      <c r="P8228" s="25"/>
      <c r="Q8228" s="25"/>
      <c r="R8228" s="25"/>
      <c r="S8228" s="25"/>
      <c r="T8228" s="141"/>
      <c r="U8228" s="28"/>
    </row>
    <row r="8229" ht="15.75" customHeight="1">
      <c r="P8229" s="25"/>
      <c r="Q8229" s="25"/>
      <c r="R8229" s="25"/>
      <c r="S8229" s="25"/>
      <c r="T8229" s="141"/>
      <c r="U8229" s="28"/>
    </row>
    <row r="8230" ht="15.75" customHeight="1">
      <c r="P8230" s="25"/>
      <c r="Q8230" s="25"/>
      <c r="R8230" s="25"/>
      <c r="S8230" s="25"/>
      <c r="T8230" s="141"/>
      <c r="U8230" s="28"/>
    </row>
    <row r="8231" ht="15.75" customHeight="1">
      <c r="P8231" s="25"/>
      <c r="Q8231" s="25"/>
      <c r="R8231" s="25"/>
      <c r="S8231" s="25"/>
      <c r="T8231" s="141"/>
      <c r="U8231" s="28"/>
    </row>
    <row r="8232" ht="15.75" customHeight="1">
      <c r="P8232" s="25"/>
      <c r="Q8232" s="25"/>
      <c r="R8232" s="25"/>
      <c r="S8232" s="25"/>
      <c r="T8232" s="141"/>
      <c r="U8232" s="28"/>
    </row>
    <row r="8233" ht="15.75" customHeight="1">
      <c r="P8233" s="25"/>
      <c r="Q8233" s="25"/>
      <c r="R8233" s="25"/>
      <c r="S8233" s="25"/>
      <c r="T8233" s="141"/>
      <c r="U8233" s="28"/>
    </row>
    <row r="8234" ht="15.75" customHeight="1">
      <c r="P8234" s="25"/>
      <c r="Q8234" s="25"/>
      <c r="R8234" s="25"/>
      <c r="S8234" s="25"/>
      <c r="T8234" s="141"/>
      <c r="U8234" s="28"/>
    </row>
    <row r="8235" ht="15.75" customHeight="1">
      <c r="P8235" s="25"/>
      <c r="Q8235" s="25"/>
      <c r="R8235" s="25"/>
      <c r="S8235" s="25"/>
      <c r="T8235" s="141"/>
      <c r="U8235" s="28"/>
    </row>
    <row r="8236" ht="15.75" customHeight="1">
      <c r="P8236" s="25"/>
      <c r="Q8236" s="25"/>
      <c r="R8236" s="25"/>
      <c r="S8236" s="25"/>
      <c r="T8236" s="141"/>
      <c r="U8236" s="28"/>
    </row>
    <row r="8237" ht="15.75" customHeight="1">
      <c r="P8237" s="25"/>
      <c r="Q8237" s="25"/>
      <c r="R8237" s="25"/>
      <c r="S8237" s="25"/>
      <c r="T8237" s="141"/>
      <c r="U8237" s="28"/>
    </row>
    <row r="8238" ht="15.75" customHeight="1">
      <c r="P8238" s="25"/>
      <c r="Q8238" s="25"/>
      <c r="R8238" s="25"/>
      <c r="S8238" s="25"/>
      <c r="T8238" s="141"/>
      <c r="U8238" s="28"/>
    </row>
    <row r="8239" ht="15.75" customHeight="1">
      <c r="P8239" s="25"/>
      <c r="Q8239" s="25"/>
      <c r="R8239" s="25"/>
      <c r="S8239" s="25"/>
      <c r="T8239" s="141"/>
      <c r="U8239" s="28"/>
    </row>
    <row r="8240" ht="15.75" customHeight="1">
      <c r="P8240" s="25"/>
      <c r="Q8240" s="25"/>
      <c r="R8240" s="25"/>
      <c r="S8240" s="25"/>
      <c r="T8240" s="141"/>
      <c r="U8240" s="28"/>
    </row>
    <row r="8241" ht="15.75" customHeight="1">
      <c r="P8241" s="25"/>
      <c r="Q8241" s="25"/>
      <c r="R8241" s="25"/>
      <c r="S8241" s="25"/>
      <c r="T8241" s="141"/>
      <c r="U8241" s="28"/>
    </row>
    <row r="8242" ht="15.75" customHeight="1">
      <c r="P8242" s="25"/>
      <c r="Q8242" s="25"/>
      <c r="R8242" s="25"/>
      <c r="S8242" s="25"/>
      <c r="T8242" s="141"/>
      <c r="U8242" s="28"/>
    </row>
    <row r="8243" ht="15.75" customHeight="1">
      <c r="P8243" s="25"/>
      <c r="Q8243" s="25"/>
      <c r="R8243" s="25"/>
      <c r="S8243" s="25"/>
      <c r="T8243" s="141"/>
      <c r="U8243" s="28"/>
    </row>
    <row r="8244" ht="15.75" customHeight="1">
      <c r="P8244" s="25"/>
      <c r="Q8244" s="25"/>
      <c r="R8244" s="25"/>
      <c r="S8244" s="25"/>
      <c r="T8244" s="141"/>
      <c r="U8244" s="28"/>
    </row>
    <row r="8245" ht="15.75" customHeight="1">
      <c r="P8245" s="25"/>
      <c r="Q8245" s="25"/>
      <c r="R8245" s="25"/>
      <c r="S8245" s="25"/>
      <c r="T8245" s="141"/>
      <c r="U8245" s="28"/>
    </row>
    <row r="8246" ht="15.75" customHeight="1">
      <c r="P8246" s="25"/>
      <c r="Q8246" s="25"/>
      <c r="R8246" s="25"/>
      <c r="S8246" s="25"/>
      <c r="T8246" s="141"/>
      <c r="U8246" s="28"/>
    </row>
    <row r="8247" ht="15.75" customHeight="1">
      <c r="P8247" s="25"/>
      <c r="Q8247" s="25"/>
      <c r="R8247" s="25"/>
      <c r="S8247" s="25"/>
      <c r="T8247" s="141"/>
      <c r="U8247" s="28"/>
    </row>
    <row r="8248" ht="15.75" customHeight="1">
      <c r="P8248" s="25"/>
      <c r="Q8248" s="25"/>
      <c r="R8248" s="25"/>
      <c r="S8248" s="25"/>
      <c r="T8248" s="141"/>
      <c r="U8248" s="28"/>
    </row>
    <row r="8249" ht="15.75" customHeight="1">
      <c r="P8249" s="25"/>
      <c r="Q8249" s="25"/>
      <c r="R8249" s="25"/>
      <c r="S8249" s="25"/>
      <c r="T8249" s="141"/>
      <c r="U8249" s="28"/>
    </row>
    <row r="8250" ht="15.75" customHeight="1">
      <c r="P8250" s="25"/>
      <c r="Q8250" s="25"/>
      <c r="R8250" s="25"/>
      <c r="S8250" s="25"/>
      <c r="T8250" s="141"/>
      <c r="U8250" s="28"/>
    </row>
    <row r="8251" ht="15.75" customHeight="1">
      <c r="P8251" s="25"/>
      <c r="Q8251" s="25"/>
      <c r="R8251" s="25"/>
      <c r="S8251" s="25"/>
      <c r="T8251" s="141"/>
      <c r="U8251" s="28"/>
    </row>
    <row r="8252" ht="15.75" customHeight="1">
      <c r="P8252" s="25"/>
      <c r="Q8252" s="25"/>
      <c r="R8252" s="25"/>
      <c r="S8252" s="25"/>
      <c r="T8252" s="141"/>
      <c r="U8252" s="28"/>
    </row>
    <row r="8253" ht="15.75" customHeight="1">
      <c r="P8253" s="25"/>
      <c r="Q8253" s="25"/>
      <c r="R8253" s="25"/>
      <c r="S8253" s="25"/>
      <c r="T8253" s="141"/>
      <c r="U8253" s="28"/>
    </row>
    <row r="8254" ht="15.75" customHeight="1">
      <c r="P8254" s="25"/>
      <c r="Q8254" s="25"/>
      <c r="R8254" s="25"/>
      <c r="S8254" s="25"/>
      <c r="T8254" s="141"/>
      <c r="U8254" s="28"/>
    </row>
    <row r="8255" ht="15.75" customHeight="1">
      <c r="P8255" s="25"/>
      <c r="Q8255" s="25"/>
      <c r="R8255" s="25"/>
      <c r="S8255" s="25"/>
      <c r="T8255" s="141"/>
      <c r="U8255" s="28"/>
    </row>
    <row r="8256" ht="15.75" customHeight="1">
      <c r="P8256" s="25"/>
      <c r="Q8256" s="25"/>
      <c r="R8256" s="25"/>
      <c r="S8256" s="25"/>
      <c r="T8256" s="141"/>
      <c r="U8256" s="28"/>
    </row>
    <row r="8257" ht="15.75" customHeight="1">
      <c r="P8257" s="25"/>
      <c r="Q8257" s="25"/>
      <c r="R8257" s="25"/>
      <c r="S8257" s="25"/>
      <c r="T8257" s="141"/>
      <c r="U8257" s="28"/>
    </row>
    <row r="8258" ht="15.75" customHeight="1">
      <c r="P8258" s="25"/>
      <c r="Q8258" s="25"/>
      <c r="R8258" s="25"/>
      <c r="S8258" s="25"/>
      <c r="T8258" s="141"/>
      <c r="U8258" s="28"/>
    </row>
    <row r="8259" ht="15.75" customHeight="1">
      <c r="P8259" s="25"/>
      <c r="Q8259" s="25"/>
      <c r="R8259" s="25"/>
      <c r="S8259" s="25"/>
      <c r="T8259" s="141"/>
      <c r="U8259" s="28"/>
    </row>
    <row r="8260" ht="15.75" customHeight="1">
      <c r="P8260" s="25"/>
      <c r="Q8260" s="25"/>
      <c r="R8260" s="25"/>
      <c r="S8260" s="25"/>
      <c r="T8260" s="141"/>
      <c r="U8260" s="28"/>
    </row>
    <row r="8261" ht="15.75" customHeight="1">
      <c r="P8261" s="25"/>
      <c r="Q8261" s="25"/>
      <c r="R8261" s="25"/>
      <c r="S8261" s="25"/>
      <c r="T8261" s="141"/>
      <c r="U8261" s="28"/>
    </row>
    <row r="8262" ht="15.75" customHeight="1">
      <c r="P8262" s="25"/>
      <c r="Q8262" s="25"/>
      <c r="R8262" s="25"/>
      <c r="S8262" s="25"/>
      <c r="T8262" s="141"/>
      <c r="U8262" s="28"/>
    </row>
    <row r="8263" ht="15.75" customHeight="1">
      <c r="P8263" s="25"/>
      <c r="Q8263" s="25"/>
      <c r="R8263" s="25"/>
      <c r="S8263" s="25"/>
      <c r="T8263" s="141"/>
      <c r="U8263" s="28"/>
    </row>
    <row r="8264" ht="15.75" customHeight="1">
      <c r="P8264" s="25"/>
      <c r="Q8264" s="25"/>
      <c r="R8264" s="25"/>
      <c r="S8264" s="25"/>
      <c r="T8264" s="141"/>
      <c r="U8264" s="28"/>
    </row>
    <row r="8265" ht="15.75" customHeight="1">
      <c r="P8265" s="25"/>
      <c r="Q8265" s="25"/>
      <c r="R8265" s="25"/>
      <c r="S8265" s="25"/>
      <c r="T8265" s="141"/>
      <c r="U8265" s="28"/>
    </row>
    <row r="8266" ht="15.75" customHeight="1">
      <c r="P8266" s="25"/>
      <c r="Q8266" s="25"/>
      <c r="R8266" s="25"/>
      <c r="S8266" s="25"/>
      <c r="T8266" s="141"/>
      <c r="U8266" s="28"/>
    </row>
    <row r="8267" ht="15.75" customHeight="1">
      <c r="P8267" s="25"/>
      <c r="Q8267" s="25"/>
      <c r="R8267" s="25"/>
      <c r="S8267" s="25"/>
      <c r="T8267" s="141"/>
      <c r="U8267" s="28"/>
    </row>
    <row r="8268" ht="15.75" customHeight="1">
      <c r="P8268" s="25"/>
      <c r="Q8268" s="25"/>
      <c r="R8268" s="25"/>
      <c r="S8268" s="25"/>
      <c r="T8268" s="141"/>
      <c r="U8268" s="28"/>
    </row>
    <row r="8269" ht="15.75" customHeight="1">
      <c r="P8269" s="25"/>
      <c r="Q8269" s="25"/>
      <c r="R8269" s="25"/>
      <c r="S8269" s="25"/>
      <c r="T8269" s="141"/>
      <c r="U8269" s="28"/>
    </row>
    <row r="8270" ht="15.75" customHeight="1">
      <c r="P8270" s="25"/>
      <c r="Q8270" s="25"/>
      <c r="R8270" s="25"/>
      <c r="S8270" s="25"/>
      <c r="T8270" s="141"/>
      <c r="U8270" s="28"/>
    </row>
    <row r="8271" ht="15.75" customHeight="1">
      <c r="P8271" s="25"/>
      <c r="Q8271" s="25"/>
      <c r="R8271" s="25"/>
      <c r="S8271" s="25"/>
      <c r="T8271" s="141"/>
      <c r="U8271" s="28"/>
    </row>
    <row r="8272" ht="15.75" customHeight="1">
      <c r="P8272" s="25"/>
      <c r="Q8272" s="25"/>
      <c r="R8272" s="25"/>
      <c r="S8272" s="25"/>
      <c r="T8272" s="141"/>
      <c r="U8272" s="28"/>
    </row>
    <row r="8273" ht="15.75" customHeight="1">
      <c r="P8273" s="25"/>
      <c r="Q8273" s="25"/>
      <c r="R8273" s="25"/>
      <c r="S8273" s="25"/>
      <c r="T8273" s="141"/>
      <c r="U8273" s="28"/>
    </row>
    <row r="8274" ht="15.75" customHeight="1">
      <c r="P8274" s="25"/>
      <c r="Q8274" s="25"/>
      <c r="R8274" s="25"/>
      <c r="S8274" s="25"/>
      <c r="T8274" s="141"/>
      <c r="U8274" s="28"/>
    </row>
    <row r="8275" ht="15.75" customHeight="1">
      <c r="P8275" s="25"/>
      <c r="Q8275" s="25"/>
      <c r="R8275" s="25"/>
      <c r="S8275" s="25"/>
      <c r="T8275" s="141"/>
      <c r="U8275" s="28"/>
    </row>
    <row r="8276" ht="15.75" customHeight="1">
      <c r="P8276" s="25"/>
      <c r="Q8276" s="25"/>
      <c r="R8276" s="25"/>
      <c r="S8276" s="25"/>
      <c r="T8276" s="141"/>
      <c r="U8276" s="28"/>
    </row>
    <row r="8277" ht="15.75" customHeight="1">
      <c r="P8277" s="25"/>
      <c r="Q8277" s="25"/>
      <c r="R8277" s="25"/>
      <c r="S8277" s="25"/>
      <c r="T8277" s="141"/>
      <c r="U8277" s="28"/>
    </row>
    <row r="8278" ht="15.75" customHeight="1">
      <c r="P8278" s="25"/>
      <c r="Q8278" s="25"/>
      <c r="R8278" s="25"/>
      <c r="S8278" s="25"/>
      <c r="T8278" s="141"/>
      <c r="U8278" s="28"/>
    </row>
    <row r="8279" ht="15.75" customHeight="1">
      <c r="P8279" s="25"/>
      <c r="Q8279" s="25"/>
      <c r="R8279" s="25"/>
      <c r="S8279" s="25"/>
      <c r="T8279" s="141"/>
      <c r="U8279" s="28"/>
    </row>
    <row r="8280" ht="15.75" customHeight="1">
      <c r="P8280" s="25"/>
      <c r="Q8280" s="25"/>
      <c r="R8280" s="25"/>
      <c r="S8280" s="25"/>
      <c r="T8280" s="141"/>
      <c r="U8280" s="28"/>
    </row>
    <row r="8281" ht="15.75" customHeight="1">
      <c r="P8281" s="25"/>
      <c r="Q8281" s="25"/>
      <c r="R8281" s="25"/>
      <c r="S8281" s="25"/>
      <c r="T8281" s="141"/>
      <c r="U8281" s="28"/>
    </row>
    <row r="8282" ht="15.75" customHeight="1">
      <c r="P8282" s="25"/>
      <c r="Q8282" s="25"/>
      <c r="R8282" s="25"/>
      <c r="S8282" s="25"/>
      <c r="T8282" s="141"/>
      <c r="U8282" s="28"/>
    </row>
    <row r="8283" ht="15.75" customHeight="1">
      <c r="P8283" s="25"/>
      <c r="Q8283" s="25"/>
      <c r="R8283" s="25"/>
      <c r="S8283" s="25"/>
      <c r="T8283" s="141"/>
      <c r="U8283" s="28"/>
    </row>
    <row r="8284" ht="15.75" customHeight="1">
      <c r="P8284" s="25"/>
      <c r="Q8284" s="25"/>
      <c r="R8284" s="25"/>
      <c r="S8284" s="25"/>
      <c r="T8284" s="141"/>
      <c r="U8284" s="28"/>
    </row>
    <row r="8285" ht="15.75" customHeight="1">
      <c r="P8285" s="25"/>
      <c r="Q8285" s="25"/>
      <c r="R8285" s="25"/>
      <c r="S8285" s="25"/>
      <c r="T8285" s="141"/>
      <c r="U8285" s="28"/>
    </row>
    <row r="8286" ht="15.75" customHeight="1">
      <c r="P8286" s="25"/>
      <c r="Q8286" s="25"/>
      <c r="R8286" s="25"/>
      <c r="S8286" s="25"/>
      <c r="T8286" s="141"/>
      <c r="U8286" s="28"/>
    </row>
    <row r="8287" ht="15.75" customHeight="1">
      <c r="P8287" s="25"/>
      <c r="Q8287" s="25"/>
      <c r="R8287" s="25"/>
      <c r="S8287" s="25"/>
      <c r="T8287" s="141"/>
      <c r="U8287" s="28"/>
    </row>
    <row r="8288" ht="15.75" customHeight="1">
      <c r="P8288" s="25"/>
      <c r="Q8288" s="25"/>
      <c r="R8288" s="25"/>
      <c r="S8288" s="25"/>
      <c r="T8288" s="141"/>
      <c r="U8288" s="28"/>
    </row>
    <row r="8289" ht="15.75" customHeight="1">
      <c r="P8289" s="25"/>
      <c r="Q8289" s="25"/>
      <c r="R8289" s="25"/>
      <c r="S8289" s="25"/>
      <c r="T8289" s="141"/>
      <c r="U8289" s="28"/>
    </row>
    <row r="8290" ht="15.75" customHeight="1">
      <c r="P8290" s="25"/>
      <c r="Q8290" s="25"/>
      <c r="R8290" s="25"/>
      <c r="S8290" s="25"/>
      <c r="T8290" s="141"/>
      <c r="U8290" s="28"/>
    </row>
    <row r="8291" ht="15.75" customHeight="1">
      <c r="P8291" s="25"/>
      <c r="Q8291" s="25"/>
      <c r="R8291" s="25"/>
      <c r="S8291" s="25"/>
      <c r="T8291" s="141"/>
      <c r="U8291" s="28"/>
    </row>
    <row r="8292" ht="15.75" customHeight="1">
      <c r="P8292" s="25"/>
      <c r="Q8292" s="25"/>
      <c r="R8292" s="25"/>
      <c r="S8292" s="25"/>
      <c r="T8292" s="141"/>
      <c r="U8292" s="28"/>
    </row>
    <row r="8293" ht="15.75" customHeight="1">
      <c r="P8293" s="25"/>
      <c r="Q8293" s="25"/>
      <c r="R8293" s="25"/>
      <c r="S8293" s="25"/>
      <c r="T8293" s="141"/>
      <c r="U8293" s="28"/>
    </row>
    <row r="8294" ht="15.75" customHeight="1">
      <c r="P8294" s="25"/>
      <c r="Q8294" s="25"/>
      <c r="R8294" s="25"/>
      <c r="S8294" s="25"/>
      <c r="T8294" s="141"/>
      <c r="U8294" s="28"/>
    </row>
    <row r="8295" ht="15.75" customHeight="1">
      <c r="P8295" s="25"/>
      <c r="Q8295" s="25"/>
      <c r="R8295" s="25"/>
      <c r="S8295" s="25"/>
      <c r="T8295" s="141"/>
      <c r="U8295" s="28"/>
    </row>
    <row r="8296" ht="15.75" customHeight="1">
      <c r="P8296" s="25"/>
      <c r="Q8296" s="25"/>
      <c r="R8296" s="25"/>
      <c r="S8296" s="25"/>
      <c r="T8296" s="141"/>
      <c r="U8296" s="28"/>
    </row>
    <row r="8297" ht="15.75" customHeight="1">
      <c r="P8297" s="25"/>
      <c r="Q8297" s="25"/>
      <c r="R8297" s="25"/>
      <c r="S8297" s="25"/>
      <c r="T8297" s="141"/>
      <c r="U8297" s="28"/>
    </row>
    <row r="8298" ht="15.75" customHeight="1">
      <c r="P8298" s="25"/>
      <c r="Q8298" s="25"/>
      <c r="R8298" s="25"/>
      <c r="S8298" s="25"/>
      <c r="T8298" s="141"/>
      <c r="U8298" s="28"/>
    </row>
    <row r="8299" ht="15.75" customHeight="1">
      <c r="P8299" s="25"/>
      <c r="Q8299" s="25"/>
      <c r="R8299" s="25"/>
      <c r="S8299" s="25"/>
      <c r="T8299" s="141"/>
      <c r="U8299" s="28"/>
    </row>
    <row r="8300" ht="15.75" customHeight="1">
      <c r="P8300" s="25"/>
      <c r="Q8300" s="25"/>
      <c r="R8300" s="25"/>
      <c r="S8300" s="25"/>
      <c r="T8300" s="141"/>
      <c r="U8300" s="28"/>
    </row>
    <row r="8301" ht="15.75" customHeight="1">
      <c r="P8301" s="25"/>
      <c r="Q8301" s="25"/>
      <c r="R8301" s="25"/>
      <c r="S8301" s="25"/>
      <c r="T8301" s="141"/>
      <c r="U8301" s="28"/>
    </row>
    <row r="8302" ht="15.75" customHeight="1">
      <c r="P8302" s="25"/>
      <c r="Q8302" s="25"/>
      <c r="R8302" s="25"/>
      <c r="S8302" s="25"/>
      <c r="T8302" s="141"/>
      <c r="U8302" s="28"/>
    </row>
    <row r="8303" ht="15.75" customHeight="1">
      <c r="P8303" s="25"/>
      <c r="Q8303" s="25"/>
      <c r="R8303" s="25"/>
      <c r="S8303" s="25"/>
      <c r="T8303" s="141"/>
      <c r="U8303" s="28"/>
    </row>
    <row r="8304" ht="15.75" customHeight="1">
      <c r="P8304" s="25"/>
      <c r="Q8304" s="25"/>
      <c r="R8304" s="25"/>
      <c r="S8304" s="25"/>
      <c r="T8304" s="141"/>
      <c r="U8304" s="28"/>
    </row>
    <row r="8305" ht="15.75" customHeight="1">
      <c r="P8305" s="25"/>
      <c r="Q8305" s="25"/>
      <c r="R8305" s="25"/>
      <c r="S8305" s="25"/>
      <c r="T8305" s="141"/>
      <c r="U8305" s="28"/>
    </row>
    <row r="8306" ht="15.75" customHeight="1">
      <c r="P8306" s="25"/>
      <c r="Q8306" s="25"/>
      <c r="R8306" s="25"/>
      <c r="S8306" s="25"/>
      <c r="T8306" s="141"/>
      <c r="U8306" s="28"/>
    </row>
    <row r="8307" ht="15.75" customHeight="1">
      <c r="P8307" s="25"/>
      <c r="Q8307" s="25"/>
      <c r="R8307" s="25"/>
      <c r="S8307" s="25"/>
      <c r="T8307" s="141"/>
      <c r="U8307" s="28"/>
    </row>
    <row r="8308" ht="15.75" customHeight="1">
      <c r="P8308" s="25"/>
      <c r="Q8308" s="25"/>
      <c r="R8308" s="25"/>
      <c r="S8308" s="25"/>
      <c r="T8308" s="141"/>
      <c r="U8308" s="28"/>
    </row>
    <row r="8309" ht="15.75" customHeight="1">
      <c r="P8309" s="25"/>
      <c r="Q8309" s="25"/>
      <c r="R8309" s="25"/>
      <c r="S8309" s="25"/>
      <c r="T8309" s="141"/>
      <c r="U8309" s="28"/>
    </row>
    <row r="8310" ht="15.75" customHeight="1">
      <c r="P8310" s="25"/>
      <c r="Q8310" s="25"/>
      <c r="R8310" s="25"/>
      <c r="S8310" s="25"/>
      <c r="T8310" s="141"/>
      <c r="U8310" s="28"/>
    </row>
    <row r="8311" ht="15.75" customHeight="1">
      <c r="P8311" s="25"/>
      <c r="Q8311" s="25"/>
      <c r="R8311" s="25"/>
      <c r="S8311" s="25"/>
      <c r="T8311" s="141"/>
      <c r="U8311" s="28"/>
    </row>
    <row r="8312" ht="15.75" customHeight="1">
      <c r="P8312" s="25"/>
      <c r="Q8312" s="25"/>
      <c r="R8312" s="25"/>
      <c r="S8312" s="25"/>
      <c r="T8312" s="141"/>
      <c r="U8312" s="28"/>
    </row>
    <row r="8313" ht="15.75" customHeight="1">
      <c r="P8313" s="25"/>
      <c r="Q8313" s="25"/>
      <c r="R8313" s="25"/>
      <c r="S8313" s="25"/>
      <c r="T8313" s="141"/>
      <c r="U8313" s="28"/>
    </row>
    <row r="8314" ht="15.75" customHeight="1">
      <c r="P8314" s="25"/>
      <c r="Q8314" s="25"/>
      <c r="R8314" s="25"/>
      <c r="S8314" s="25"/>
      <c r="T8314" s="141"/>
      <c r="U8314" s="28"/>
    </row>
    <row r="8315" ht="15.75" customHeight="1">
      <c r="P8315" s="25"/>
      <c r="Q8315" s="25"/>
      <c r="R8315" s="25"/>
      <c r="S8315" s="25"/>
      <c r="T8315" s="141"/>
      <c r="U8315" s="28"/>
    </row>
    <row r="8316" ht="15.75" customHeight="1">
      <c r="P8316" s="25"/>
      <c r="Q8316" s="25"/>
      <c r="R8316" s="25"/>
      <c r="S8316" s="25"/>
      <c r="T8316" s="141"/>
      <c r="U8316" s="28"/>
    </row>
    <row r="8317" ht="15.75" customHeight="1">
      <c r="P8317" s="25"/>
      <c r="Q8317" s="25"/>
      <c r="R8317" s="25"/>
      <c r="S8317" s="25"/>
      <c r="T8317" s="141"/>
      <c r="U8317" s="28"/>
    </row>
    <row r="8318" ht="15.75" customHeight="1">
      <c r="P8318" s="25"/>
      <c r="Q8318" s="25"/>
      <c r="R8318" s="25"/>
      <c r="S8318" s="25"/>
      <c r="T8318" s="141"/>
      <c r="U8318" s="28"/>
    </row>
    <row r="8319" ht="15.75" customHeight="1">
      <c r="P8319" s="25"/>
      <c r="Q8319" s="25"/>
      <c r="R8319" s="25"/>
      <c r="S8319" s="25"/>
      <c r="T8319" s="141"/>
      <c r="U8319" s="28"/>
    </row>
    <row r="8320" ht="15.75" customHeight="1">
      <c r="P8320" s="25"/>
      <c r="Q8320" s="25"/>
      <c r="R8320" s="25"/>
      <c r="S8320" s="25"/>
      <c r="T8320" s="141"/>
      <c r="U8320" s="28"/>
    </row>
    <row r="8321" ht="15.75" customHeight="1">
      <c r="P8321" s="25"/>
      <c r="Q8321" s="25"/>
      <c r="R8321" s="25"/>
      <c r="S8321" s="25"/>
      <c r="T8321" s="141"/>
      <c r="U8321" s="28"/>
    </row>
    <row r="8322" ht="15.75" customHeight="1">
      <c r="P8322" s="25"/>
      <c r="Q8322" s="25"/>
      <c r="R8322" s="25"/>
      <c r="S8322" s="25"/>
      <c r="T8322" s="141"/>
      <c r="U8322" s="28"/>
    </row>
    <row r="8323" ht="15.75" customHeight="1">
      <c r="P8323" s="25"/>
      <c r="Q8323" s="25"/>
      <c r="R8323" s="25"/>
      <c r="S8323" s="25"/>
      <c r="T8323" s="141"/>
      <c r="U8323" s="28"/>
    </row>
    <row r="8324" ht="15.75" customHeight="1">
      <c r="P8324" s="25"/>
      <c r="Q8324" s="25"/>
      <c r="R8324" s="25"/>
      <c r="S8324" s="25"/>
      <c r="T8324" s="141"/>
      <c r="U8324" s="28"/>
    </row>
    <row r="8325" ht="15.75" customHeight="1">
      <c r="P8325" s="25"/>
      <c r="Q8325" s="25"/>
      <c r="R8325" s="25"/>
      <c r="S8325" s="25"/>
      <c r="T8325" s="141"/>
      <c r="U8325" s="28"/>
    </row>
    <row r="8326" ht="15.75" customHeight="1">
      <c r="P8326" s="25"/>
      <c r="Q8326" s="25"/>
      <c r="R8326" s="25"/>
      <c r="S8326" s="25"/>
      <c r="T8326" s="141"/>
      <c r="U8326" s="28"/>
    </row>
    <row r="8327" ht="15.75" customHeight="1">
      <c r="P8327" s="25"/>
      <c r="Q8327" s="25"/>
      <c r="R8327" s="25"/>
      <c r="S8327" s="25"/>
      <c r="T8327" s="141"/>
      <c r="U8327" s="28"/>
    </row>
    <row r="8328" ht="15.75" customHeight="1">
      <c r="P8328" s="25"/>
      <c r="Q8328" s="25"/>
      <c r="R8328" s="25"/>
      <c r="S8328" s="25"/>
      <c r="T8328" s="141"/>
      <c r="U8328" s="28"/>
    </row>
    <row r="8329" ht="15.75" customHeight="1">
      <c r="P8329" s="25"/>
      <c r="Q8329" s="25"/>
      <c r="R8329" s="25"/>
      <c r="S8329" s="25"/>
      <c r="T8329" s="141"/>
      <c r="U8329" s="28"/>
    </row>
    <row r="8330" ht="15.75" customHeight="1">
      <c r="P8330" s="25"/>
      <c r="Q8330" s="25"/>
      <c r="R8330" s="25"/>
      <c r="S8330" s="25"/>
      <c r="T8330" s="141"/>
      <c r="U8330" s="28"/>
    </row>
    <row r="8331" ht="15.75" customHeight="1">
      <c r="P8331" s="25"/>
      <c r="Q8331" s="25"/>
      <c r="R8331" s="25"/>
      <c r="S8331" s="25"/>
      <c r="T8331" s="141"/>
      <c r="U8331" s="28"/>
    </row>
    <row r="8332" ht="15.75" customHeight="1">
      <c r="P8332" s="25"/>
      <c r="Q8332" s="25"/>
      <c r="R8332" s="25"/>
      <c r="S8332" s="25"/>
      <c r="T8332" s="141"/>
      <c r="U8332" s="28"/>
    </row>
    <row r="8333" ht="15.75" customHeight="1">
      <c r="P8333" s="25"/>
      <c r="Q8333" s="25"/>
      <c r="R8333" s="25"/>
      <c r="S8333" s="25"/>
      <c r="T8333" s="141"/>
      <c r="U8333" s="28"/>
    </row>
    <row r="8334" ht="15.75" customHeight="1">
      <c r="P8334" s="25"/>
      <c r="Q8334" s="25"/>
      <c r="R8334" s="25"/>
      <c r="S8334" s="25"/>
      <c r="T8334" s="141"/>
      <c r="U8334" s="28"/>
    </row>
    <row r="8335" ht="15.75" customHeight="1">
      <c r="P8335" s="25"/>
      <c r="Q8335" s="25"/>
      <c r="R8335" s="25"/>
      <c r="S8335" s="25"/>
      <c r="T8335" s="141"/>
      <c r="U8335" s="28"/>
    </row>
    <row r="8336" ht="15.75" customHeight="1">
      <c r="P8336" s="25"/>
      <c r="Q8336" s="25"/>
      <c r="R8336" s="25"/>
      <c r="S8336" s="25"/>
      <c r="T8336" s="141"/>
      <c r="U8336" s="28"/>
    </row>
    <row r="8337" ht="15.75" customHeight="1">
      <c r="P8337" s="25"/>
      <c r="Q8337" s="25"/>
      <c r="R8337" s="25"/>
      <c r="S8337" s="25"/>
      <c r="T8337" s="141"/>
      <c r="U8337" s="28"/>
    </row>
    <row r="8338" ht="15.75" customHeight="1">
      <c r="P8338" s="25"/>
      <c r="Q8338" s="25"/>
      <c r="R8338" s="25"/>
      <c r="S8338" s="25"/>
      <c r="T8338" s="141"/>
      <c r="U8338" s="28"/>
    </row>
    <row r="8339" ht="15.75" customHeight="1">
      <c r="P8339" s="25"/>
      <c r="Q8339" s="25"/>
      <c r="R8339" s="25"/>
      <c r="S8339" s="25"/>
      <c r="T8339" s="141"/>
      <c r="U8339" s="28"/>
    </row>
    <row r="8340" ht="15.75" customHeight="1">
      <c r="P8340" s="25"/>
      <c r="Q8340" s="25"/>
      <c r="R8340" s="25"/>
      <c r="S8340" s="25"/>
      <c r="T8340" s="141"/>
      <c r="U8340" s="28"/>
    </row>
    <row r="8341" ht="15.75" customHeight="1">
      <c r="P8341" s="25"/>
      <c r="Q8341" s="25"/>
      <c r="R8341" s="25"/>
      <c r="S8341" s="25"/>
      <c r="T8341" s="141"/>
      <c r="U8341" s="28"/>
    </row>
    <row r="8342" ht="15.75" customHeight="1">
      <c r="P8342" s="25"/>
      <c r="Q8342" s="25"/>
      <c r="R8342" s="25"/>
      <c r="S8342" s="25"/>
      <c r="T8342" s="141"/>
      <c r="U8342" s="28"/>
    </row>
    <row r="8343" ht="15.75" customHeight="1">
      <c r="P8343" s="25"/>
      <c r="Q8343" s="25"/>
      <c r="R8343" s="25"/>
      <c r="S8343" s="25"/>
      <c r="T8343" s="141"/>
      <c r="U8343" s="28"/>
    </row>
    <row r="8344" ht="15.75" customHeight="1">
      <c r="P8344" s="25"/>
      <c r="Q8344" s="25"/>
      <c r="R8344" s="25"/>
      <c r="S8344" s="25"/>
      <c r="T8344" s="141"/>
      <c r="U8344" s="28"/>
    </row>
    <row r="8345" ht="15.75" customHeight="1">
      <c r="P8345" s="25"/>
      <c r="Q8345" s="25"/>
      <c r="R8345" s="25"/>
      <c r="S8345" s="25"/>
      <c r="T8345" s="141"/>
      <c r="U8345" s="28"/>
    </row>
    <row r="8346" ht="15.75" customHeight="1">
      <c r="P8346" s="25"/>
      <c r="Q8346" s="25"/>
      <c r="R8346" s="25"/>
      <c r="S8346" s="25"/>
      <c r="T8346" s="141"/>
      <c r="U8346" s="28"/>
    </row>
    <row r="8347" ht="15.75" customHeight="1">
      <c r="P8347" s="25"/>
      <c r="Q8347" s="25"/>
      <c r="R8347" s="25"/>
      <c r="S8347" s="25"/>
      <c r="T8347" s="141"/>
      <c r="U8347" s="28"/>
    </row>
    <row r="8348" ht="15.75" customHeight="1">
      <c r="P8348" s="25"/>
      <c r="Q8348" s="25"/>
      <c r="R8348" s="25"/>
      <c r="S8348" s="25"/>
      <c r="T8348" s="141"/>
      <c r="U8348" s="28"/>
    </row>
    <row r="8349" ht="15.75" customHeight="1">
      <c r="P8349" s="25"/>
      <c r="Q8349" s="25"/>
      <c r="R8349" s="25"/>
      <c r="S8349" s="25"/>
      <c r="T8349" s="141"/>
      <c r="U8349" s="28"/>
    </row>
    <row r="8350" ht="15.75" customHeight="1">
      <c r="P8350" s="25"/>
      <c r="Q8350" s="25"/>
      <c r="R8350" s="25"/>
      <c r="S8350" s="25"/>
      <c r="T8350" s="141"/>
      <c r="U8350" s="28"/>
    </row>
    <row r="8351" ht="15.75" customHeight="1">
      <c r="P8351" s="25"/>
      <c r="Q8351" s="25"/>
      <c r="R8351" s="25"/>
      <c r="S8351" s="25"/>
      <c r="T8351" s="141"/>
      <c r="U8351" s="28"/>
    </row>
    <row r="8352" ht="15.75" customHeight="1">
      <c r="P8352" s="25"/>
      <c r="Q8352" s="25"/>
      <c r="R8352" s="25"/>
      <c r="S8352" s="25"/>
      <c r="T8352" s="141"/>
      <c r="U8352" s="28"/>
    </row>
    <row r="8353" ht="15.75" customHeight="1">
      <c r="P8353" s="25"/>
      <c r="Q8353" s="25"/>
      <c r="R8353" s="25"/>
      <c r="S8353" s="25"/>
      <c r="T8353" s="141"/>
      <c r="U8353" s="28"/>
    </row>
    <row r="8354" ht="15.75" customHeight="1">
      <c r="P8354" s="25"/>
      <c r="Q8354" s="25"/>
      <c r="R8354" s="25"/>
      <c r="S8354" s="25"/>
      <c r="T8354" s="141"/>
      <c r="U8354" s="28"/>
    </row>
    <row r="8355" ht="15.75" customHeight="1">
      <c r="P8355" s="25"/>
      <c r="Q8355" s="25"/>
      <c r="R8355" s="25"/>
      <c r="S8355" s="25"/>
      <c r="T8355" s="141"/>
      <c r="U8355" s="28"/>
    </row>
    <row r="8356" ht="15.75" customHeight="1">
      <c r="P8356" s="25"/>
      <c r="Q8356" s="25"/>
      <c r="R8356" s="25"/>
      <c r="S8356" s="25"/>
      <c r="T8356" s="141"/>
      <c r="U8356" s="28"/>
    </row>
    <row r="8357" ht="15.75" customHeight="1">
      <c r="P8357" s="25"/>
      <c r="Q8357" s="25"/>
      <c r="R8357" s="25"/>
      <c r="S8357" s="25"/>
      <c r="T8357" s="141"/>
      <c r="U8357" s="28"/>
    </row>
    <row r="8358" ht="15.75" customHeight="1">
      <c r="P8358" s="25"/>
      <c r="Q8358" s="25"/>
      <c r="R8358" s="25"/>
      <c r="S8358" s="25"/>
      <c r="T8358" s="141"/>
      <c r="U8358" s="28"/>
    </row>
    <row r="8359" ht="15.75" customHeight="1">
      <c r="P8359" s="25"/>
      <c r="Q8359" s="25"/>
      <c r="R8359" s="25"/>
      <c r="S8359" s="25"/>
      <c r="T8359" s="141"/>
      <c r="U8359" s="28"/>
    </row>
    <row r="8360" ht="15.75" customHeight="1">
      <c r="P8360" s="25"/>
      <c r="Q8360" s="25"/>
      <c r="R8360" s="25"/>
      <c r="S8360" s="25"/>
      <c r="T8360" s="141"/>
      <c r="U8360" s="28"/>
    </row>
    <row r="8361" ht="15.75" customHeight="1">
      <c r="P8361" s="25"/>
      <c r="Q8361" s="25"/>
      <c r="R8361" s="25"/>
      <c r="S8361" s="25"/>
      <c r="T8361" s="141"/>
      <c r="U8361" s="28"/>
    </row>
    <row r="8362" ht="15.75" customHeight="1">
      <c r="P8362" s="25"/>
      <c r="Q8362" s="25"/>
      <c r="R8362" s="25"/>
      <c r="S8362" s="25"/>
      <c r="T8362" s="141"/>
      <c r="U8362" s="28"/>
    </row>
    <row r="8363" ht="15.75" customHeight="1">
      <c r="P8363" s="25"/>
      <c r="Q8363" s="25"/>
      <c r="R8363" s="25"/>
      <c r="S8363" s="25"/>
      <c r="T8363" s="141"/>
      <c r="U8363" s="28"/>
    </row>
    <row r="8364" ht="15.75" customHeight="1">
      <c r="P8364" s="25"/>
      <c r="Q8364" s="25"/>
      <c r="R8364" s="25"/>
      <c r="S8364" s="25"/>
      <c r="T8364" s="141"/>
      <c r="U8364" s="28"/>
    </row>
    <row r="8365" ht="15.75" customHeight="1">
      <c r="P8365" s="25"/>
      <c r="Q8365" s="25"/>
      <c r="R8365" s="25"/>
      <c r="S8365" s="25"/>
      <c r="T8365" s="141"/>
      <c r="U8365" s="28"/>
    </row>
    <row r="8366" ht="15.75" customHeight="1">
      <c r="P8366" s="25"/>
      <c r="Q8366" s="25"/>
      <c r="R8366" s="25"/>
      <c r="S8366" s="25"/>
      <c r="T8366" s="141"/>
      <c r="U8366" s="28"/>
    </row>
    <row r="8367" ht="15.75" customHeight="1">
      <c r="P8367" s="25"/>
      <c r="Q8367" s="25"/>
      <c r="R8367" s="25"/>
      <c r="S8367" s="25"/>
      <c r="T8367" s="141"/>
      <c r="U8367" s="28"/>
    </row>
    <row r="8368" ht="15.75" customHeight="1">
      <c r="P8368" s="25"/>
      <c r="Q8368" s="25"/>
      <c r="R8368" s="25"/>
      <c r="S8368" s="25"/>
      <c r="T8368" s="141"/>
      <c r="U8368" s="28"/>
    </row>
    <row r="8369" ht="15.75" customHeight="1">
      <c r="P8369" s="25"/>
      <c r="Q8369" s="25"/>
      <c r="R8369" s="25"/>
      <c r="S8369" s="25"/>
      <c r="T8369" s="141"/>
      <c r="U8369" s="28"/>
    </row>
    <row r="8370" ht="15.75" customHeight="1">
      <c r="P8370" s="25"/>
      <c r="Q8370" s="25"/>
      <c r="R8370" s="25"/>
      <c r="S8370" s="25"/>
      <c r="T8370" s="141"/>
      <c r="U8370" s="28"/>
    </row>
    <row r="8371" ht="15.75" customHeight="1">
      <c r="P8371" s="25"/>
      <c r="Q8371" s="25"/>
      <c r="R8371" s="25"/>
      <c r="S8371" s="25"/>
      <c r="T8371" s="141"/>
      <c r="U8371" s="28"/>
    </row>
    <row r="8372" ht="15.75" customHeight="1">
      <c r="P8372" s="25"/>
      <c r="Q8372" s="25"/>
      <c r="R8372" s="25"/>
      <c r="S8372" s="25"/>
      <c r="T8372" s="141"/>
      <c r="U8372" s="28"/>
    </row>
    <row r="8373" ht="15.75" customHeight="1">
      <c r="P8373" s="25"/>
      <c r="Q8373" s="25"/>
      <c r="R8373" s="25"/>
      <c r="S8373" s="25"/>
      <c r="T8373" s="141"/>
      <c r="U8373" s="28"/>
    </row>
    <row r="8374" ht="15.75" customHeight="1">
      <c r="P8374" s="25"/>
      <c r="Q8374" s="25"/>
      <c r="R8374" s="25"/>
      <c r="S8374" s="25"/>
      <c r="T8374" s="141"/>
      <c r="U8374" s="28"/>
    </row>
    <row r="8375" ht="15.75" customHeight="1">
      <c r="P8375" s="25"/>
      <c r="Q8375" s="25"/>
      <c r="R8375" s="25"/>
      <c r="S8375" s="25"/>
      <c r="T8375" s="141"/>
      <c r="U8375" s="28"/>
    </row>
    <row r="8376" ht="15.75" customHeight="1">
      <c r="P8376" s="25"/>
      <c r="Q8376" s="25"/>
      <c r="R8376" s="25"/>
      <c r="S8376" s="25"/>
      <c r="T8376" s="141"/>
      <c r="U8376" s="28"/>
    </row>
    <row r="8377" ht="15.75" customHeight="1">
      <c r="P8377" s="25"/>
      <c r="Q8377" s="25"/>
      <c r="R8377" s="25"/>
      <c r="S8377" s="25"/>
      <c r="T8377" s="141"/>
      <c r="U8377" s="28"/>
    </row>
    <row r="8378" ht="15.75" customHeight="1">
      <c r="P8378" s="25"/>
      <c r="Q8378" s="25"/>
      <c r="R8378" s="25"/>
      <c r="S8378" s="25"/>
      <c r="T8378" s="141"/>
      <c r="U8378" s="28"/>
    </row>
    <row r="8379" ht="15.75" customHeight="1">
      <c r="P8379" s="25"/>
      <c r="Q8379" s="25"/>
      <c r="R8379" s="25"/>
      <c r="S8379" s="25"/>
      <c r="T8379" s="141"/>
      <c r="U8379" s="28"/>
    </row>
    <row r="8380" ht="15.75" customHeight="1">
      <c r="P8380" s="25"/>
      <c r="Q8380" s="25"/>
      <c r="R8380" s="25"/>
      <c r="S8380" s="25"/>
      <c r="T8380" s="141"/>
      <c r="U8380" s="28"/>
    </row>
    <row r="8381" ht="15.75" customHeight="1">
      <c r="P8381" s="25"/>
      <c r="Q8381" s="25"/>
      <c r="R8381" s="25"/>
      <c r="S8381" s="25"/>
      <c r="T8381" s="141"/>
      <c r="U8381" s="28"/>
    </row>
    <row r="8382" ht="15.75" customHeight="1">
      <c r="P8382" s="25"/>
      <c r="Q8382" s="25"/>
      <c r="R8382" s="25"/>
      <c r="S8382" s="25"/>
      <c r="T8382" s="141"/>
      <c r="U8382" s="28"/>
    </row>
    <row r="8383" ht="15.75" customHeight="1">
      <c r="P8383" s="25"/>
      <c r="Q8383" s="25"/>
      <c r="R8383" s="25"/>
      <c r="S8383" s="25"/>
      <c r="T8383" s="141"/>
      <c r="U8383" s="28"/>
    </row>
    <row r="8384" ht="15.75" customHeight="1">
      <c r="P8384" s="25"/>
      <c r="Q8384" s="25"/>
      <c r="R8384" s="25"/>
      <c r="S8384" s="25"/>
      <c r="T8384" s="141"/>
      <c r="U8384" s="28"/>
    </row>
    <row r="8385" ht="15.75" customHeight="1">
      <c r="P8385" s="25"/>
      <c r="Q8385" s="25"/>
      <c r="R8385" s="25"/>
      <c r="S8385" s="25"/>
      <c r="T8385" s="141"/>
      <c r="U8385" s="28"/>
    </row>
    <row r="8386" ht="15.75" customHeight="1">
      <c r="P8386" s="25"/>
      <c r="Q8386" s="25"/>
      <c r="R8386" s="25"/>
      <c r="S8386" s="25"/>
      <c r="T8386" s="141"/>
      <c r="U8386" s="28"/>
    </row>
    <row r="8387" ht="15.75" customHeight="1">
      <c r="P8387" s="25"/>
      <c r="Q8387" s="25"/>
      <c r="R8387" s="25"/>
      <c r="S8387" s="25"/>
      <c r="T8387" s="141"/>
      <c r="U8387" s="28"/>
    </row>
    <row r="8388" ht="15.75" customHeight="1">
      <c r="P8388" s="25"/>
      <c r="Q8388" s="25"/>
      <c r="R8388" s="25"/>
      <c r="S8388" s="25"/>
      <c r="T8388" s="141"/>
      <c r="U8388" s="28"/>
    </row>
    <row r="8389" ht="15.75" customHeight="1">
      <c r="P8389" s="25"/>
      <c r="Q8389" s="25"/>
      <c r="R8389" s="25"/>
      <c r="S8389" s="25"/>
      <c r="T8389" s="141"/>
      <c r="U8389" s="28"/>
    </row>
    <row r="8390" ht="15.75" customHeight="1">
      <c r="P8390" s="25"/>
      <c r="Q8390" s="25"/>
      <c r="R8390" s="25"/>
      <c r="S8390" s="25"/>
      <c r="T8390" s="141"/>
      <c r="U8390" s="28"/>
    </row>
    <row r="8391" ht="15.75" customHeight="1">
      <c r="P8391" s="25"/>
      <c r="Q8391" s="25"/>
      <c r="R8391" s="25"/>
      <c r="S8391" s="25"/>
      <c r="T8391" s="141"/>
      <c r="U8391" s="28"/>
    </row>
    <row r="8392" ht="15.75" customHeight="1">
      <c r="P8392" s="25"/>
      <c r="Q8392" s="25"/>
      <c r="R8392" s="25"/>
      <c r="S8392" s="25"/>
      <c r="T8392" s="141"/>
      <c r="U8392" s="28"/>
    </row>
    <row r="8393" ht="15.75" customHeight="1">
      <c r="P8393" s="25"/>
      <c r="Q8393" s="25"/>
      <c r="R8393" s="25"/>
      <c r="S8393" s="25"/>
      <c r="T8393" s="141"/>
      <c r="U8393" s="28"/>
    </row>
    <row r="8394" ht="15.75" customHeight="1">
      <c r="P8394" s="25"/>
      <c r="Q8394" s="25"/>
      <c r="R8394" s="25"/>
      <c r="S8394" s="25"/>
      <c r="T8394" s="141"/>
      <c r="U8394" s="28"/>
    </row>
    <row r="8395" ht="15.75" customHeight="1">
      <c r="P8395" s="25"/>
      <c r="Q8395" s="25"/>
      <c r="R8395" s="25"/>
      <c r="S8395" s="25"/>
      <c r="T8395" s="141"/>
      <c r="U8395" s="28"/>
    </row>
    <row r="8396" ht="15.75" customHeight="1">
      <c r="P8396" s="25"/>
      <c r="Q8396" s="25"/>
      <c r="R8396" s="25"/>
      <c r="S8396" s="25"/>
      <c r="T8396" s="141"/>
      <c r="U8396" s="28"/>
    </row>
    <row r="8397" ht="15.75" customHeight="1">
      <c r="P8397" s="25"/>
      <c r="Q8397" s="25"/>
      <c r="R8397" s="25"/>
      <c r="S8397" s="25"/>
      <c r="T8397" s="141"/>
      <c r="U8397" s="28"/>
    </row>
    <row r="8398" ht="15.75" customHeight="1">
      <c r="P8398" s="25"/>
      <c r="Q8398" s="25"/>
      <c r="R8398" s="25"/>
      <c r="S8398" s="25"/>
      <c r="T8398" s="141"/>
      <c r="U8398" s="28"/>
    </row>
    <row r="8399" ht="15.75" customHeight="1">
      <c r="P8399" s="25"/>
      <c r="Q8399" s="25"/>
      <c r="R8399" s="25"/>
      <c r="S8399" s="25"/>
      <c r="T8399" s="141"/>
      <c r="U8399" s="28"/>
    </row>
    <row r="8400" ht="15.75" customHeight="1">
      <c r="P8400" s="25"/>
      <c r="Q8400" s="25"/>
      <c r="R8400" s="25"/>
      <c r="S8400" s="25"/>
      <c r="T8400" s="141"/>
      <c r="U8400" s="28"/>
    </row>
    <row r="8401" ht="15.75" customHeight="1">
      <c r="P8401" s="25"/>
      <c r="Q8401" s="25"/>
      <c r="R8401" s="25"/>
      <c r="S8401" s="25"/>
      <c r="T8401" s="141"/>
      <c r="U8401" s="28"/>
    </row>
    <row r="8402" ht="15.75" customHeight="1">
      <c r="P8402" s="25"/>
      <c r="Q8402" s="25"/>
      <c r="R8402" s="25"/>
      <c r="S8402" s="25"/>
      <c r="T8402" s="141"/>
      <c r="U8402" s="28"/>
    </row>
    <row r="8403" ht="15.75" customHeight="1">
      <c r="P8403" s="25"/>
      <c r="Q8403" s="25"/>
      <c r="R8403" s="25"/>
      <c r="S8403" s="25"/>
      <c r="T8403" s="141"/>
      <c r="U8403" s="28"/>
    </row>
    <row r="8404" ht="15.75" customHeight="1">
      <c r="P8404" s="25"/>
      <c r="Q8404" s="25"/>
      <c r="R8404" s="25"/>
      <c r="S8404" s="25"/>
      <c r="T8404" s="141"/>
      <c r="U8404" s="28"/>
    </row>
    <row r="8405" ht="15.75" customHeight="1">
      <c r="P8405" s="25"/>
      <c r="Q8405" s="25"/>
      <c r="R8405" s="25"/>
      <c r="S8405" s="25"/>
      <c r="T8405" s="141"/>
      <c r="U8405" s="28"/>
    </row>
    <row r="8406" ht="15.75" customHeight="1">
      <c r="P8406" s="25"/>
      <c r="Q8406" s="25"/>
      <c r="R8406" s="25"/>
      <c r="S8406" s="25"/>
      <c r="T8406" s="141"/>
      <c r="U8406" s="28"/>
    </row>
    <row r="8407" ht="15.75" customHeight="1">
      <c r="P8407" s="25"/>
      <c r="Q8407" s="25"/>
      <c r="R8407" s="25"/>
      <c r="S8407" s="25"/>
      <c r="T8407" s="141"/>
      <c r="U8407" s="28"/>
    </row>
    <row r="8408" ht="15.75" customHeight="1">
      <c r="P8408" s="25"/>
      <c r="Q8408" s="25"/>
      <c r="R8408" s="25"/>
      <c r="S8408" s="25"/>
      <c r="T8408" s="141"/>
      <c r="U8408" s="28"/>
    </row>
    <row r="8409" ht="15.75" customHeight="1">
      <c r="P8409" s="25"/>
      <c r="Q8409" s="25"/>
      <c r="R8409" s="25"/>
      <c r="S8409" s="25"/>
      <c r="T8409" s="141"/>
      <c r="U8409" s="28"/>
    </row>
    <row r="8410" ht="15.75" customHeight="1">
      <c r="P8410" s="25"/>
      <c r="Q8410" s="25"/>
      <c r="R8410" s="25"/>
      <c r="S8410" s="25"/>
      <c r="T8410" s="141"/>
      <c r="U8410" s="28"/>
    </row>
    <row r="8411" ht="15.75" customHeight="1">
      <c r="P8411" s="25"/>
      <c r="Q8411" s="25"/>
      <c r="R8411" s="25"/>
      <c r="S8411" s="25"/>
      <c r="T8411" s="141"/>
      <c r="U8411" s="28"/>
    </row>
    <row r="8412" ht="15.75" customHeight="1">
      <c r="P8412" s="25"/>
      <c r="Q8412" s="25"/>
      <c r="R8412" s="25"/>
      <c r="S8412" s="25"/>
      <c r="T8412" s="141"/>
      <c r="U8412" s="28"/>
    </row>
    <row r="8413" ht="15.75" customHeight="1">
      <c r="P8413" s="25"/>
      <c r="Q8413" s="25"/>
      <c r="R8413" s="25"/>
      <c r="S8413" s="25"/>
      <c r="T8413" s="141"/>
      <c r="U8413" s="28"/>
    </row>
    <row r="8414" ht="15.75" customHeight="1">
      <c r="P8414" s="25"/>
      <c r="Q8414" s="25"/>
      <c r="R8414" s="25"/>
      <c r="S8414" s="25"/>
      <c r="T8414" s="141"/>
      <c r="U8414" s="28"/>
    </row>
    <row r="8415" ht="15.75" customHeight="1">
      <c r="P8415" s="25"/>
      <c r="Q8415" s="25"/>
      <c r="R8415" s="25"/>
      <c r="S8415" s="25"/>
      <c r="T8415" s="141"/>
      <c r="U8415" s="28"/>
    </row>
    <row r="8416" ht="15.75" customHeight="1">
      <c r="P8416" s="25"/>
      <c r="Q8416" s="25"/>
      <c r="R8416" s="25"/>
      <c r="S8416" s="25"/>
      <c r="T8416" s="141"/>
      <c r="U8416" s="28"/>
    </row>
    <row r="8417" ht="15.75" customHeight="1">
      <c r="P8417" s="25"/>
      <c r="Q8417" s="25"/>
      <c r="R8417" s="25"/>
      <c r="S8417" s="25"/>
      <c r="T8417" s="141"/>
      <c r="U8417" s="28"/>
    </row>
    <row r="8418" ht="15.75" customHeight="1">
      <c r="P8418" s="25"/>
      <c r="Q8418" s="25"/>
      <c r="R8418" s="25"/>
      <c r="S8418" s="25"/>
      <c r="T8418" s="141"/>
      <c r="U8418" s="28"/>
    </row>
    <row r="8419" ht="15.75" customHeight="1">
      <c r="P8419" s="25"/>
      <c r="Q8419" s="25"/>
      <c r="R8419" s="25"/>
      <c r="S8419" s="25"/>
      <c r="T8419" s="141"/>
      <c r="U8419" s="28"/>
    </row>
    <row r="8420" ht="15.75" customHeight="1">
      <c r="P8420" s="25"/>
      <c r="Q8420" s="25"/>
      <c r="R8420" s="25"/>
      <c r="S8420" s="25"/>
      <c r="T8420" s="141"/>
      <c r="U8420" s="28"/>
    </row>
    <row r="8421" ht="15.75" customHeight="1">
      <c r="P8421" s="25"/>
      <c r="Q8421" s="25"/>
      <c r="R8421" s="25"/>
      <c r="S8421" s="25"/>
      <c r="T8421" s="141"/>
      <c r="U8421" s="28"/>
    </row>
    <row r="8422" ht="15.75" customHeight="1">
      <c r="P8422" s="25"/>
      <c r="Q8422" s="25"/>
      <c r="R8422" s="25"/>
      <c r="S8422" s="25"/>
      <c r="T8422" s="141"/>
      <c r="U8422" s="28"/>
    </row>
    <row r="8423" ht="15.75" customHeight="1">
      <c r="P8423" s="25"/>
      <c r="Q8423" s="25"/>
      <c r="R8423" s="25"/>
      <c r="S8423" s="25"/>
      <c r="T8423" s="141"/>
      <c r="U8423" s="28"/>
    </row>
    <row r="8424" ht="15.75" customHeight="1">
      <c r="P8424" s="25"/>
      <c r="Q8424" s="25"/>
      <c r="R8424" s="25"/>
      <c r="S8424" s="25"/>
      <c r="T8424" s="141"/>
      <c r="U8424" s="28"/>
    </row>
    <row r="8425" ht="15.75" customHeight="1">
      <c r="P8425" s="25"/>
      <c r="Q8425" s="25"/>
      <c r="R8425" s="25"/>
      <c r="S8425" s="25"/>
      <c r="T8425" s="141"/>
      <c r="U8425" s="28"/>
    </row>
    <row r="8426" ht="15.75" customHeight="1">
      <c r="P8426" s="25"/>
      <c r="Q8426" s="25"/>
      <c r="R8426" s="25"/>
      <c r="S8426" s="25"/>
      <c r="T8426" s="141"/>
      <c r="U8426" s="28"/>
    </row>
    <row r="8427" ht="15.75" customHeight="1">
      <c r="P8427" s="25"/>
      <c r="Q8427" s="25"/>
      <c r="R8427" s="25"/>
      <c r="S8427" s="25"/>
      <c r="T8427" s="141"/>
      <c r="U8427" s="28"/>
    </row>
    <row r="8428" ht="15.75" customHeight="1">
      <c r="P8428" s="25"/>
      <c r="Q8428" s="25"/>
      <c r="R8428" s="25"/>
      <c r="S8428" s="25"/>
      <c r="T8428" s="141"/>
      <c r="U8428" s="28"/>
    </row>
    <row r="8429" ht="15.75" customHeight="1">
      <c r="P8429" s="25"/>
      <c r="Q8429" s="25"/>
      <c r="R8429" s="25"/>
      <c r="S8429" s="25"/>
      <c r="T8429" s="141"/>
      <c r="U8429" s="28"/>
    </row>
    <row r="8430" ht="15.75" customHeight="1">
      <c r="P8430" s="25"/>
      <c r="Q8430" s="25"/>
      <c r="R8430" s="25"/>
      <c r="S8430" s="25"/>
      <c r="T8430" s="141"/>
      <c r="U8430" s="28"/>
    </row>
    <row r="8431" ht="15.75" customHeight="1">
      <c r="P8431" s="25"/>
      <c r="Q8431" s="25"/>
      <c r="R8431" s="25"/>
      <c r="S8431" s="25"/>
      <c r="T8431" s="141"/>
      <c r="U8431" s="28"/>
    </row>
    <row r="8432" ht="15.75" customHeight="1">
      <c r="P8432" s="25"/>
      <c r="Q8432" s="25"/>
      <c r="R8432" s="25"/>
      <c r="S8432" s="25"/>
      <c r="T8432" s="141"/>
      <c r="U8432" s="28"/>
    </row>
    <row r="8433" ht="15.75" customHeight="1">
      <c r="P8433" s="25"/>
      <c r="Q8433" s="25"/>
      <c r="R8433" s="25"/>
      <c r="S8433" s="25"/>
      <c r="T8433" s="141"/>
      <c r="U8433" s="28"/>
    </row>
    <row r="8434" ht="15.75" customHeight="1">
      <c r="P8434" s="25"/>
      <c r="Q8434" s="25"/>
      <c r="R8434" s="25"/>
      <c r="S8434" s="25"/>
      <c r="T8434" s="141"/>
      <c r="U8434" s="28"/>
    </row>
    <row r="8435" ht="15.75" customHeight="1">
      <c r="P8435" s="25"/>
      <c r="Q8435" s="25"/>
      <c r="R8435" s="25"/>
      <c r="S8435" s="25"/>
      <c r="T8435" s="141"/>
      <c r="U8435" s="28"/>
    </row>
    <row r="8436" ht="15.75" customHeight="1">
      <c r="P8436" s="25"/>
      <c r="Q8436" s="25"/>
      <c r="R8436" s="25"/>
      <c r="S8436" s="25"/>
      <c r="T8436" s="141"/>
      <c r="U8436" s="28"/>
    </row>
    <row r="8437" ht="15.75" customHeight="1">
      <c r="P8437" s="25"/>
      <c r="Q8437" s="25"/>
      <c r="R8437" s="25"/>
      <c r="S8437" s="25"/>
      <c r="T8437" s="141"/>
      <c r="U8437" s="28"/>
    </row>
    <row r="8438" ht="15.75" customHeight="1">
      <c r="P8438" s="25"/>
      <c r="Q8438" s="25"/>
      <c r="R8438" s="25"/>
      <c r="S8438" s="25"/>
      <c r="T8438" s="141"/>
      <c r="U8438" s="28"/>
    </row>
    <row r="8439" ht="15.75" customHeight="1">
      <c r="P8439" s="25"/>
      <c r="Q8439" s="25"/>
      <c r="R8439" s="25"/>
      <c r="S8439" s="25"/>
      <c r="T8439" s="141"/>
      <c r="U8439" s="28"/>
    </row>
    <row r="8440" ht="15.75" customHeight="1">
      <c r="P8440" s="25"/>
      <c r="Q8440" s="25"/>
      <c r="R8440" s="25"/>
      <c r="S8440" s="25"/>
      <c r="T8440" s="141"/>
      <c r="U8440" s="28"/>
    </row>
    <row r="8441" ht="15.75" customHeight="1">
      <c r="P8441" s="25"/>
      <c r="Q8441" s="25"/>
      <c r="R8441" s="25"/>
      <c r="S8441" s="25"/>
      <c r="T8441" s="141"/>
      <c r="U8441" s="28"/>
    </row>
    <row r="8442" ht="15.75" customHeight="1">
      <c r="P8442" s="25"/>
      <c r="Q8442" s="25"/>
      <c r="R8442" s="25"/>
      <c r="S8442" s="25"/>
      <c r="T8442" s="141"/>
      <c r="U8442" s="28"/>
    </row>
    <row r="8443" ht="15.75" customHeight="1">
      <c r="P8443" s="25"/>
      <c r="Q8443" s="25"/>
      <c r="R8443" s="25"/>
      <c r="S8443" s="25"/>
      <c r="T8443" s="141"/>
      <c r="U8443" s="28"/>
    </row>
    <row r="8444" ht="15.75" customHeight="1">
      <c r="P8444" s="25"/>
      <c r="Q8444" s="25"/>
      <c r="R8444" s="25"/>
      <c r="S8444" s="25"/>
      <c r="T8444" s="141"/>
      <c r="U8444" s="28"/>
    </row>
    <row r="8445" ht="15.75" customHeight="1">
      <c r="P8445" s="25"/>
      <c r="Q8445" s="25"/>
      <c r="R8445" s="25"/>
      <c r="S8445" s="25"/>
      <c r="T8445" s="141"/>
      <c r="U8445" s="28"/>
    </row>
    <row r="8446" ht="15.75" customHeight="1">
      <c r="P8446" s="25"/>
      <c r="Q8446" s="25"/>
      <c r="R8446" s="25"/>
      <c r="S8446" s="25"/>
      <c r="T8446" s="141"/>
      <c r="U8446" s="28"/>
    </row>
    <row r="8447" ht="15.75" customHeight="1">
      <c r="P8447" s="25"/>
      <c r="Q8447" s="25"/>
      <c r="R8447" s="25"/>
      <c r="S8447" s="25"/>
      <c r="T8447" s="141"/>
      <c r="U8447" s="28"/>
    </row>
    <row r="8448" ht="15.75" customHeight="1">
      <c r="P8448" s="25"/>
      <c r="Q8448" s="25"/>
      <c r="R8448" s="25"/>
      <c r="S8448" s="25"/>
      <c r="T8448" s="141"/>
      <c r="U8448" s="28"/>
    </row>
    <row r="8449" ht="15.75" customHeight="1">
      <c r="P8449" s="25"/>
      <c r="Q8449" s="25"/>
      <c r="R8449" s="25"/>
      <c r="S8449" s="25"/>
      <c r="T8449" s="141"/>
      <c r="U8449" s="28"/>
    </row>
    <row r="8450" ht="15.75" customHeight="1">
      <c r="P8450" s="25"/>
      <c r="Q8450" s="25"/>
      <c r="R8450" s="25"/>
      <c r="S8450" s="25"/>
      <c r="T8450" s="141"/>
      <c r="U8450" s="28"/>
    </row>
    <row r="8451" ht="15.75" customHeight="1">
      <c r="P8451" s="25"/>
      <c r="Q8451" s="25"/>
      <c r="R8451" s="25"/>
      <c r="S8451" s="25"/>
      <c r="T8451" s="141"/>
      <c r="U8451" s="28"/>
    </row>
    <row r="8452" ht="15.75" customHeight="1">
      <c r="P8452" s="25"/>
      <c r="Q8452" s="25"/>
      <c r="R8452" s="25"/>
      <c r="S8452" s="25"/>
      <c r="T8452" s="141"/>
      <c r="U8452" s="28"/>
    </row>
    <row r="8453" ht="15.75" customHeight="1">
      <c r="P8453" s="25"/>
      <c r="Q8453" s="25"/>
      <c r="R8453" s="25"/>
      <c r="S8453" s="25"/>
      <c r="T8453" s="141"/>
      <c r="U8453" s="28"/>
    </row>
    <row r="8454" ht="15.75" customHeight="1">
      <c r="P8454" s="25"/>
      <c r="Q8454" s="25"/>
      <c r="R8454" s="25"/>
      <c r="S8454" s="25"/>
      <c r="T8454" s="141"/>
      <c r="U8454" s="28"/>
    </row>
    <row r="8455" ht="15.75" customHeight="1">
      <c r="P8455" s="25"/>
      <c r="Q8455" s="25"/>
      <c r="R8455" s="25"/>
      <c r="S8455" s="25"/>
      <c r="T8455" s="141"/>
      <c r="U8455" s="28"/>
    </row>
    <row r="8456" ht="15.75" customHeight="1">
      <c r="P8456" s="25"/>
      <c r="Q8456" s="25"/>
      <c r="R8456" s="25"/>
      <c r="S8456" s="25"/>
      <c r="T8456" s="141"/>
      <c r="U8456" s="28"/>
    </row>
    <row r="8457" ht="15.75" customHeight="1">
      <c r="P8457" s="25"/>
      <c r="Q8457" s="25"/>
      <c r="R8457" s="25"/>
      <c r="S8457" s="25"/>
      <c r="T8457" s="141"/>
      <c r="U8457" s="28"/>
    </row>
    <row r="8458" ht="15.75" customHeight="1">
      <c r="P8458" s="25"/>
      <c r="Q8458" s="25"/>
      <c r="R8458" s="25"/>
      <c r="S8458" s="25"/>
      <c r="T8458" s="141"/>
      <c r="U8458" s="28"/>
    </row>
    <row r="8459" ht="15.75" customHeight="1">
      <c r="P8459" s="25"/>
      <c r="Q8459" s="25"/>
      <c r="R8459" s="25"/>
      <c r="S8459" s="25"/>
      <c r="T8459" s="141"/>
      <c r="U8459" s="28"/>
    </row>
    <row r="8460" ht="15.75" customHeight="1">
      <c r="P8460" s="25"/>
      <c r="Q8460" s="25"/>
      <c r="R8460" s="25"/>
      <c r="S8460" s="25"/>
      <c r="T8460" s="141"/>
      <c r="U8460" s="28"/>
    </row>
    <row r="8461" ht="15.75" customHeight="1">
      <c r="P8461" s="25"/>
      <c r="Q8461" s="25"/>
      <c r="R8461" s="25"/>
      <c r="S8461" s="25"/>
      <c r="T8461" s="141"/>
      <c r="U8461" s="28"/>
    </row>
    <row r="8462" ht="15.75" customHeight="1">
      <c r="P8462" s="25"/>
      <c r="Q8462" s="25"/>
      <c r="R8462" s="25"/>
      <c r="S8462" s="25"/>
      <c r="T8462" s="141"/>
      <c r="U8462" s="28"/>
    </row>
    <row r="8463" ht="15.75" customHeight="1">
      <c r="P8463" s="25"/>
      <c r="Q8463" s="25"/>
      <c r="R8463" s="25"/>
      <c r="S8463" s="25"/>
      <c r="T8463" s="141"/>
      <c r="U8463" s="28"/>
    </row>
    <row r="8464" ht="15.75" customHeight="1">
      <c r="P8464" s="25"/>
      <c r="Q8464" s="25"/>
      <c r="R8464" s="25"/>
      <c r="S8464" s="25"/>
      <c r="T8464" s="141"/>
      <c r="U8464" s="28"/>
    </row>
    <row r="8465" ht="15.75" customHeight="1">
      <c r="P8465" s="25"/>
      <c r="Q8465" s="25"/>
      <c r="R8465" s="25"/>
      <c r="S8465" s="25"/>
      <c r="T8465" s="141"/>
      <c r="U8465" s="28"/>
    </row>
    <row r="8466" ht="15.75" customHeight="1">
      <c r="P8466" s="25"/>
      <c r="Q8466" s="25"/>
      <c r="R8466" s="25"/>
      <c r="S8466" s="25"/>
      <c r="T8466" s="141"/>
      <c r="U8466" s="28"/>
    </row>
    <row r="8467" ht="15.75" customHeight="1">
      <c r="P8467" s="25"/>
      <c r="Q8467" s="25"/>
      <c r="R8467" s="25"/>
      <c r="S8467" s="25"/>
      <c r="T8467" s="141"/>
      <c r="U8467" s="28"/>
    </row>
    <row r="8468" ht="15.75" customHeight="1">
      <c r="P8468" s="25"/>
      <c r="Q8468" s="25"/>
      <c r="R8468" s="25"/>
      <c r="S8468" s="25"/>
      <c r="T8468" s="141"/>
      <c r="U8468" s="28"/>
    </row>
    <row r="8469" ht="15.75" customHeight="1">
      <c r="P8469" s="25"/>
      <c r="Q8469" s="25"/>
      <c r="R8469" s="25"/>
      <c r="S8469" s="25"/>
      <c r="T8469" s="141"/>
      <c r="U8469" s="28"/>
    </row>
    <row r="8470" ht="15.75" customHeight="1">
      <c r="P8470" s="25"/>
      <c r="Q8470" s="25"/>
      <c r="R8470" s="25"/>
      <c r="S8470" s="25"/>
      <c r="T8470" s="141"/>
      <c r="U8470" s="28"/>
    </row>
    <row r="8471" ht="15.75" customHeight="1">
      <c r="P8471" s="25"/>
      <c r="Q8471" s="25"/>
      <c r="R8471" s="25"/>
      <c r="S8471" s="25"/>
      <c r="T8471" s="141"/>
      <c r="U8471" s="28"/>
    </row>
    <row r="8472" ht="15.75" customHeight="1">
      <c r="P8472" s="25"/>
      <c r="Q8472" s="25"/>
      <c r="R8472" s="25"/>
      <c r="S8472" s="25"/>
      <c r="T8472" s="141"/>
      <c r="U8472" s="28"/>
    </row>
    <row r="8473" ht="15.75" customHeight="1">
      <c r="P8473" s="25"/>
      <c r="Q8473" s="25"/>
      <c r="R8473" s="25"/>
      <c r="S8473" s="25"/>
      <c r="T8473" s="141"/>
      <c r="U8473" s="28"/>
    </row>
    <row r="8474" ht="15.75" customHeight="1">
      <c r="P8474" s="25"/>
      <c r="Q8474" s="25"/>
      <c r="R8474" s="25"/>
      <c r="S8474" s="25"/>
      <c r="T8474" s="141"/>
      <c r="U8474" s="28"/>
    </row>
    <row r="8475" ht="15.75" customHeight="1">
      <c r="P8475" s="25"/>
      <c r="Q8475" s="25"/>
      <c r="R8475" s="25"/>
      <c r="S8475" s="25"/>
      <c r="T8475" s="141"/>
      <c r="U8475" s="28"/>
    </row>
    <row r="8476" ht="15.75" customHeight="1">
      <c r="P8476" s="25"/>
      <c r="Q8476" s="25"/>
      <c r="R8476" s="25"/>
      <c r="S8476" s="25"/>
      <c r="T8476" s="141"/>
      <c r="U8476" s="28"/>
    </row>
    <row r="8477" ht="15.75" customHeight="1">
      <c r="P8477" s="25"/>
      <c r="Q8477" s="25"/>
      <c r="R8477" s="25"/>
      <c r="S8477" s="25"/>
      <c r="T8477" s="141"/>
      <c r="U8477" s="28"/>
    </row>
    <row r="8478" ht="15.75" customHeight="1">
      <c r="P8478" s="25"/>
      <c r="Q8478" s="25"/>
      <c r="R8478" s="25"/>
      <c r="S8478" s="25"/>
      <c r="T8478" s="141"/>
      <c r="U8478" s="28"/>
    </row>
    <row r="8479" ht="15.75" customHeight="1">
      <c r="P8479" s="25"/>
      <c r="Q8479" s="25"/>
      <c r="R8479" s="25"/>
      <c r="S8479" s="25"/>
      <c r="T8479" s="141"/>
      <c r="U8479" s="28"/>
    </row>
    <row r="8480" ht="15.75" customHeight="1">
      <c r="P8480" s="25"/>
      <c r="Q8480" s="25"/>
      <c r="R8480" s="25"/>
      <c r="S8480" s="25"/>
      <c r="T8480" s="141"/>
      <c r="U8480" s="28"/>
    </row>
    <row r="8481" ht="15.75" customHeight="1">
      <c r="P8481" s="25"/>
      <c r="Q8481" s="25"/>
      <c r="R8481" s="25"/>
      <c r="S8481" s="25"/>
      <c r="T8481" s="141"/>
      <c r="U8481" s="28"/>
    </row>
    <row r="8482" ht="15.75" customHeight="1">
      <c r="P8482" s="25"/>
      <c r="Q8482" s="25"/>
      <c r="R8482" s="25"/>
      <c r="S8482" s="25"/>
      <c r="T8482" s="141"/>
      <c r="U8482" s="28"/>
    </row>
    <row r="8483" ht="15.75" customHeight="1">
      <c r="P8483" s="25"/>
      <c r="Q8483" s="25"/>
      <c r="R8483" s="25"/>
      <c r="S8483" s="25"/>
      <c r="T8483" s="141"/>
      <c r="U8483" s="28"/>
    </row>
    <row r="8484" ht="15.75" customHeight="1">
      <c r="P8484" s="25"/>
      <c r="Q8484" s="25"/>
      <c r="R8484" s="25"/>
      <c r="S8484" s="25"/>
      <c r="T8484" s="141"/>
      <c r="U8484" s="28"/>
    </row>
    <row r="8485" ht="15.75" customHeight="1">
      <c r="P8485" s="25"/>
      <c r="Q8485" s="25"/>
      <c r="R8485" s="25"/>
      <c r="S8485" s="25"/>
      <c r="T8485" s="141"/>
      <c r="U8485" s="28"/>
    </row>
    <row r="8486" ht="15.75" customHeight="1">
      <c r="P8486" s="25"/>
      <c r="Q8486" s="25"/>
      <c r="R8486" s="25"/>
      <c r="S8486" s="25"/>
      <c r="T8486" s="141"/>
      <c r="U8486" s="28"/>
    </row>
    <row r="8487" ht="15.75" customHeight="1">
      <c r="P8487" s="25"/>
      <c r="Q8487" s="25"/>
      <c r="R8487" s="25"/>
      <c r="S8487" s="25"/>
      <c r="T8487" s="141"/>
      <c r="U8487" s="28"/>
    </row>
    <row r="8488" ht="15.75" customHeight="1">
      <c r="P8488" s="25"/>
      <c r="Q8488" s="25"/>
      <c r="R8488" s="25"/>
      <c r="S8488" s="25"/>
      <c r="T8488" s="141"/>
      <c r="U8488" s="28"/>
    </row>
    <row r="8489" ht="15.75" customHeight="1">
      <c r="P8489" s="25"/>
      <c r="Q8489" s="25"/>
      <c r="R8489" s="25"/>
      <c r="S8489" s="25"/>
      <c r="T8489" s="141"/>
      <c r="U8489" s="28"/>
    </row>
    <row r="8490" ht="15.75" customHeight="1">
      <c r="P8490" s="25"/>
      <c r="Q8490" s="25"/>
      <c r="R8490" s="25"/>
      <c r="S8490" s="25"/>
      <c r="T8490" s="141"/>
      <c r="U8490" s="28"/>
    </row>
    <row r="8491" ht="15.75" customHeight="1">
      <c r="P8491" s="25"/>
      <c r="Q8491" s="25"/>
      <c r="R8491" s="25"/>
      <c r="S8491" s="25"/>
      <c r="T8491" s="141"/>
      <c r="U8491" s="28"/>
    </row>
    <row r="8492" ht="15.75" customHeight="1">
      <c r="P8492" s="25"/>
      <c r="Q8492" s="25"/>
      <c r="R8492" s="25"/>
      <c r="S8492" s="25"/>
      <c r="T8492" s="141"/>
      <c r="U8492" s="28"/>
    </row>
    <row r="8493" ht="15.75" customHeight="1">
      <c r="P8493" s="25"/>
      <c r="Q8493" s="25"/>
      <c r="R8493" s="25"/>
      <c r="S8493" s="25"/>
      <c r="T8493" s="141"/>
      <c r="U8493" s="28"/>
    </row>
    <row r="8494" ht="15.75" customHeight="1">
      <c r="P8494" s="25"/>
      <c r="Q8494" s="25"/>
      <c r="R8494" s="25"/>
      <c r="S8494" s="25"/>
      <c r="T8494" s="141"/>
      <c r="U8494" s="28"/>
    </row>
    <row r="8495" ht="15.75" customHeight="1">
      <c r="P8495" s="25"/>
      <c r="Q8495" s="25"/>
      <c r="R8495" s="25"/>
      <c r="S8495" s="25"/>
      <c r="T8495" s="141"/>
      <c r="U8495" s="28"/>
    </row>
    <row r="8496" ht="15.75" customHeight="1">
      <c r="P8496" s="25"/>
      <c r="Q8496" s="25"/>
      <c r="R8496" s="25"/>
      <c r="S8496" s="25"/>
      <c r="T8496" s="141"/>
      <c r="U8496" s="28"/>
    </row>
    <row r="8497" ht="15.75" customHeight="1">
      <c r="P8497" s="25"/>
      <c r="Q8497" s="25"/>
      <c r="R8497" s="25"/>
      <c r="S8497" s="25"/>
      <c r="T8497" s="141"/>
      <c r="U8497" s="28"/>
    </row>
    <row r="8498" ht="15.75" customHeight="1">
      <c r="P8498" s="25"/>
      <c r="Q8498" s="25"/>
      <c r="R8498" s="25"/>
      <c r="S8498" s="25"/>
      <c r="T8498" s="141"/>
      <c r="U8498" s="28"/>
    </row>
    <row r="8499" ht="15.75" customHeight="1">
      <c r="P8499" s="25"/>
      <c r="Q8499" s="25"/>
      <c r="R8499" s="25"/>
      <c r="S8499" s="25"/>
      <c r="T8499" s="141"/>
      <c r="U8499" s="28"/>
    </row>
    <row r="8500" ht="15.75" customHeight="1">
      <c r="P8500" s="25"/>
      <c r="Q8500" s="25"/>
      <c r="R8500" s="25"/>
      <c r="S8500" s="25"/>
      <c r="T8500" s="141"/>
      <c r="U8500" s="28"/>
    </row>
    <row r="8501" ht="15.75" customHeight="1">
      <c r="P8501" s="25"/>
      <c r="Q8501" s="25"/>
      <c r="R8501" s="25"/>
      <c r="S8501" s="25"/>
      <c r="T8501" s="141"/>
      <c r="U8501" s="28"/>
    </row>
    <row r="8502" ht="15.75" customHeight="1">
      <c r="P8502" s="25"/>
      <c r="Q8502" s="25"/>
      <c r="R8502" s="25"/>
      <c r="S8502" s="25"/>
      <c r="T8502" s="141"/>
      <c r="U8502" s="28"/>
    </row>
    <row r="8503" ht="15.75" customHeight="1">
      <c r="P8503" s="25"/>
      <c r="Q8503" s="25"/>
      <c r="R8503" s="25"/>
      <c r="S8503" s="25"/>
      <c r="T8503" s="141"/>
      <c r="U8503" s="28"/>
    </row>
    <row r="8504" ht="15.75" customHeight="1">
      <c r="P8504" s="25"/>
      <c r="Q8504" s="25"/>
      <c r="R8504" s="25"/>
      <c r="S8504" s="25"/>
      <c r="T8504" s="141"/>
      <c r="U8504" s="28"/>
    </row>
    <row r="8505" ht="15.75" customHeight="1">
      <c r="P8505" s="25"/>
      <c r="Q8505" s="25"/>
      <c r="R8505" s="25"/>
      <c r="S8505" s="25"/>
      <c r="T8505" s="141"/>
      <c r="U8505" s="28"/>
    </row>
    <row r="8506" ht="15.75" customHeight="1">
      <c r="P8506" s="25"/>
      <c r="Q8506" s="25"/>
      <c r="R8506" s="25"/>
      <c r="S8506" s="25"/>
      <c r="T8506" s="141"/>
      <c r="U8506" s="28"/>
    </row>
    <row r="8507" ht="15.75" customHeight="1">
      <c r="P8507" s="25"/>
      <c r="Q8507" s="25"/>
      <c r="R8507" s="25"/>
      <c r="S8507" s="25"/>
      <c r="T8507" s="141"/>
      <c r="U8507" s="28"/>
    </row>
    <row r="8508" ht="15.75" customHeight="1">
      <c r="P8508" s="25"/>
      <c r="Q8508" s="25"/>
      <c r="R8508" s="25"/>
      <c r="S8508" s="25"/>
      <c r="T8508" s="141"/>
      <c r="U8508" s="28"/>
    </row>
    <row r="8509" ht="15.75" customHeight="1">
      <c r="P8509" s="25"/>
      <c r="Q8509" s="25"/>
      <c r="R8509" s="25"/>
      <c r="S8509" s="25"/>
      <c r="T8509" s="141"/>
      <c r="U8509" s="28"/>
    </row>
    <row r="8510" ht="15.75" customHeight="1">
      <c r="P8510" s="25"/>
      <c r="Q8510" s="25"/>
      <c r="R8510" s="25"/>
      <c r="S8510" s="25"/>
      <c r="T8510" s="141"/>
      <c r="U8510" s="28"/>
    </row>
    <row r="8511" ht="15.75" customHeight="1">
      <c r="P8511" s="25"/>
      <c r="Q8511" s="25"/>
      <c r="R8511" s="25"/>
      <c r="S8511" s="25"/>
      <c r="T8511" s="141"/>
      <c r="U8511" s="28"/>
    </row>
    <row r="8512" ht="15.75" customHeight="1">
      <c r="P8512" s="25"/>
      <c r="Q8512" s="25"/>
      <c r="R8512" s="25"/>
      <c r="S8512" s="25"/>
      <c r="T8512" s="141"/>
      <c r="U8512" s="28"/>
    </row>
    <row r="8513" ht="15.75" customHeight="1">
      <c r="P8513" s="25"/>
      <c r="Q8513" s="25"/>
      <c r="R8513" s="25"/>
      <c r="S8513" s="25"/>
      <c r="T8513" s="141"/>
      <c r="U8513" s="28"/>
    </row>
    <row r="8514" ht="15.75" customHeight="1">
      <c r="P8514" s="25"/>
      <c r="Q8514" s="25"/>
      <c r="R8514" s="25"/>
      <c r="S8514" s="25"/>
      <c r="T8514" s="141"/>
      <c r="U8514" s="28"/>
    </row>
    <row r="8515" ht="15.75" customHeight="1">
      <c r="P8515" s="25"/>
      <c r="Q8515" s="25"/>
      <c r="R8515" s="25"/>
      <c r="S8515" s="25"/>
      <c r="T8515" s="141"/>
      <c r="U8515" s="28"/>
    </row>
    <row r="8516" ht="15.75" customHeight="1">
      <c r="P8516" s="25"/>
      <c r="Q8516" s="25"/>
      <c r="R8516" s="25"/>
      <c r="S8516" s="25"/>
      <c r="T8516" s="141"/>
      <c r="U8516" s="28"/>
    </row>
    <row r="8517" ht="15.75" customHeight="1">
      <c r="P8517" s="25"/>
      <c r="Q8517" s="25"/>
      <c r="R8517" s="25"/>
      <c r="S8517" s="25"/>
      <c r="T8517" s="141"/>
      <c r="U8517" s="28"/>
    </row>
    <row r="8518" ht="15.75" customHeight="1">
      <c r="P8518" s="25"/>
      <c r="Q8518" s="25"/>
      <c r="R8518" s="25"/>
      <c r="S8518" s="25"/>
      <c r="T8518" s="141"/>
      <c r="U8518" s="28"/>
    </row>
    <row r="8519" ht="15.75" customHeight="1">
      <c r="P8519" s="25"/>
      <c r="Q8519" s="25"/>
      <c r="R8519" s="25"/>
      <c r="S8519" s="25"/>
      <c r="T8519" s="141"/>
      <c r="U8519" s="28"/>
    </row>
    <row r="8520" ht="15.75" customHeight="1">
      <c r="P8520" s="25"/>
      <c r="Q8520" s="25"/>
      <c r="R8520" s="25"/>
      <c r="S8520" s="25"/>
      <c r="T8520" s="141"/>
      <c r="U8520" s="28"/>
    </row>
    <row r="8521" ht="15.75" customHeight="1">
      <c r="P8521" s="25"/>
      <c r="Q8521" s="25"/>
      <c r="R8521" s="25"/>
      <c r="S8521" s="25"/>
      <c r="T8521" s="141"/>
      <c r="U8521" s="28"/>
    </row>
    <row r="8522" ht="15.75" customHeight="1">
      <c r="P8522" s="25"/>
      <c r="Q8522" s="25"/>
      <c r="R8522" s="25"/>
      <c r="S8522" s="25"/>
      <c r="T8522" s="141"/>
      <c r="U8522" s="28"/>
    </row>
    <row r="8523" ht="15.75" customHeight="1">
      <c r="P8523" s="25"/>
      <c r="Q8523" s="25"/>
      <c r="R8523" s="25"/>
      <c r="S8523" s="25"/>
      <c r="T8523" s="141"/>
      <c r="U8523" s="28"/>
    </row>
    <row r="8524" ht="15.75" customHeight="1">
      <c r="P8524" s="25"/>
      <c r="Q8524" s="25"/>
      <c r="R8524" s="25"/>
      <c r="S8524" s="25"/>
      <c r="T8524" s="141"/>
      <c r="U8524" s="28"/>
    </row>
    <row r="8525" ht="15.75" customHeight="1">
      <c r="P8525" s="25"/>
      <c r="Q8525" s="25"/>
      <c r="R8525" s="25"/>
      <c r="S8525" s="25"/>
      <c r="T8525" s="141"/>
      <c r="U8525" s="28"/>
    </row>
    <row r="8526" ht="15.75" customHeight="1">
      <c r="P8526" s="25"/>
      <c r="Q8526" s="25"/>
      <c r="R8526" s="25"/>
      <c r="S8526" s="25"/>
      <c r="T8526" s="141"/>
      <c r="U8526" s="28"/>
    </row>
    <row r="8527" ht="15.75" customHeight="1">
      <c r="P8527" s="25"/>
      <c r="Q8527" s="25"/>
      <c r="R8527" s="25"/>
      <c r="S8527" s="25"/>
      <c r="T8527" s="141"/>
      <c r="U8527" s="28"/>
    </row>
    <row r="8528" ht="15.75" customHeight="1">
      <c r="P8528" s="25"/>
      <c r="Q8528" s="25"/>
      <c r="R8528" s="25"/>
      <c r="S8528" s="25"/>
      <c r="T8528" s="141"/>
      <c r="U8528" s="28"/>
    </row>
    <row r="8529" ht="15.75" customHeight="1">
      <c r="P8529" s="25"/>
      <c r="Q8529" s="25"/>
      <c r="R8529" s="25"/>
      <c r="S8529" s="25"/>
      <c r="T8529" s="141"/>
      <c r="U8529" s="28"/>
    </row>
    <row r="8530" ht="15.75" customHeight="1">
      <c r="P8530" s="25"/>
      <c r="Q8530" s="25"/>
      <c r="R8530" s="25"/>
      <c r="S8530" s="25"/>
      <c r="T8530" s="141"/>
      <c r="U8530" s="28"/>
    </row>
    <row r="8531" ht="15.75" customHeight="1">
      <c r="P8531" s="25"/>
      <c r="Q8531" s="25"/>
      <c r="R8531" s="25"/>
      <c r="S8531" s="25"/>
      <c r="T8531" s="141"/>
      <c r="U8531" s="28"/>
    </row>
    <row r="8532" ht="15.75" customHeight="1">
      <c r="P8532" s="25"/>
      <c r="Q8532" s="25"/>
      <c r="R8532" s="25"/>
      <c r="S8532" s="25"/>
      <c r="T8532" s="141"/>
      <c r="U8532" s="28"/>
    </row>
    <row r="8533" ht="15.75" customHeight="1">
      <c r="P8533" s="25"/>
      <c r="Q8533" s="25"/>
      <c r="R8533" s="25"/>
      <c r="S8533" s="25"/>
      <c r="T8533" s="141"/>
      <c r="U8533" s="28"/>
    </row>
    <row r="8534" ht="15.75" customHeight="1">
      <c r="P8534" s="25"/>
      <c r="Q8534" s="25"/>
      <c r="R8534" s="25"/>
      <c r="S8534" s="25"/>
      <c r="T8534" s="141"/>
      <c r="U8534" s="28"/>
    </row>
    <row r="8535" ht="15.75" customHeight="1">
      <c r="P8535" s="25"/>
      <c r="Q8535" s="25"/>
      <c r="R8535" s="25"/>
      <c r="S8535" s="25"/>
      <c r="T8535" s="141"/>
      <c r="U8535" s="28"/>
    </row>
    <row r="8536" ht="15.75" customHeight="1">
      <c r="P8536" s="25"/>
      <c r="Q8536" s="25"/>
      <c r="R8536" s="25"/>
      <c r="S8536" s="25"/>
      <c r="T8536" s="141"/>
      <c r="U8536" s="28"/>
    </row>
    <row r="8537" ht="15.75" customHeight="1">
      <c r="P8537" s="25"/>
      <c r="Q8537" s="25"/>
      <c r="R8537" s="25"/>
      <c r="S8537" s="25"/>
      <c r="T8537" s="141"/>
      <c r="U8537" s="28"/>
    </row>
    <row r="8538" ht="15.75" customHeight="1">
      <c r="P8538" s="25"/>
      <c r="Q8538" s="25"/>
      <c r="R8538" s="25"/>
      <c r="S8538" s="25"/>
      <c r="T8538" s="141"/>
      <c r="U8538" s="28"/>
    </row>
    <row r="8539" ht="15.75" customHeight="1">
      <c r="P8539" s="25"/>
      <c r="Q8539" s="25"/>
      <c r="R8539" s="25"/>
      <c r="S8539" s="25"/>
      <c r="T8539" s="141"/>
      <c r="U8539" s="28"/>
    </row>
    <row r="8540" ht="15.75" customHeight="1">
      <c r="P8540" s="25"/>
      <c r="Q8540" s="25"/>
      <c r="R8540" s="25"/>
      <c r="S8540" s="25"/>
      <c r="T8540" s="141"/>
      <c r="U8540" s="28"/>
    </row>
    <row r="8541" ht="15.75" customHeight="1">
      <c r="P8541" s="25"/>
      <c r="Q8541" s="25"/>
      <c r="R8541" s="25"/>
      <c r="S8541" s="25"/>
      <c r="T8541" s="141"/>
      <c r="U8541" s="28"/>
    </row>
    <row r="8542" ht="15.75" customHeight="1">
      <c r="P8542" s="25"/>
      <c r="Q8542" s="25"/>
      <c r="R8542" s="25"/>
      <c r="S8542" s="25"/>
      <c r="T8542" s="141"/>
      <c r="U8542" s="28"/>
    </row>
    <row r="8543" ht="15.75" customHeight="1">
      <c r="P8543" s="25"/>
      <c r="Q8543" s="25"/>
      <c r="R8543" s="25"/>
      <c r="S8543" s="25"/>
      <c r="T8543" s="141"/>
      <c r="U8543" s="28"/>
    </row>
    <row r="8544" ht="15.75" customHeight="1">
      <c r="P8544" s="25"/>
      <c r="Q8544" s="25"/>
      <c r="R8544" s="25"/>
      <c r="S8544" s="25"/>
      <c r="T8544" s="141"/>
      <c r="U8544" s="28"/>
    </row>
    <row r="8545" ht="15.75" customHeight="1">
      <c r="P8545" s="25"/>
      <c r="Q8545" s="25"/>
      <c r="R8545" s="25"/>
      <c r="S8545" s="25"/>
      <c r="T8545" s="141"/>
      <c r="U8545" s="28"/>
    </row>
    <row r="8546" ht="15.75" customHeight="1">
      <c r="P8546" s="25"/>
      <c r="Q8546" s="25"/>
      <c r="R8546" s="25"/>
      <c r="S8546" s="25"/>
      <c r="T8546" s="141"/>
      <c r="U8546" s="28"/>
    </row>
    <row r="8547" ht="15.75" customHeight="1">
      <c r="P8547" s="25"/>
      <c r="Q8547" s="25"/>
      <c r="R8547" s="25"/>
      <c r="S8547" s="25"/>
      <c r="T8547" s="141"/>
      <c r="U8547" s="28"/>
    </row>
    <row r="8548" ht="15.75" customHeight="1">
      <c r="P8548" s="25"/>
      <c r="Q8548" s="25"/>
      <c r="R8548" s="25"/>
      <c r="S8548" s="25"/>
      <c r="T8548" s="141"/>
      <c r="U8548" s="28"/>
    </row>
    <row r="8549" ht="15.75" customHeight="1">
      <c r="P8549" s="25"/>
      <c r="Q8549" s="25"/>
      <c r="R8549" s="25"/>
      <c r="S8549" s="25"/>
      <c r="T8549" s="141"/>
      <c r="U8549" s="28"/>
    </row>
    <row r="8550" ht="15.75" customHeight="1">
      <c r="P8550" s="25"/>
      <c r="Q8550" s="25"/>
      <c r="R8550" s="25"/>
      <c r="S8550" s="25"/>
      <c r="T8550" s="141"/>
      <c r="U8550" s="28"/>
    </row>
    <row r="8551" ht="15.75" customHeight="1">
      <c r="P8551" s="25"/>
      <c r="Q8551" s="25"/>
      <c r="R8551" s="25"/>
      <c r="S8551" s="25"/>
      <c r="T8551" s="141"/>
      <c r="U8551" s="28"/>
    </row>
    <row r="8552" ht="15.75" customHeight="1">
      <c r="P8552" s="25"/>
      <c r="Q8552" s="25"/>
      <c r="R8552" s="25"/>
      <c r="S8552" s="25"/>
      <c r="T8552" s="141"/>
      <c r="U8552" s="28"/>
    </row>
    <row r="8553" ht="15.75" customHeight="1">
      <c r="P8553" s="25"/>
      <c r="Q8553" s="25"/>
      <c r="R8553" s="25"/>
      <c r="S8553" s="25"/>
      <c r="T8553" s="141"/>
      <c r="U8553" s="28"/>
    </row>
    <row r="8554" ht="15.75" customHeight="1">
      <c r="P8554" s="25"/>
      <c r="Q8554" s="25"/>
      <c r="R8554" s="25"/>
      <c r="S8554" s="25"/>
      <c r="T8554" s="141"/>
      <c r="U8554" s="28"/>
    </row>
    <row r="8555" ht="15.75" customHeight="1">
      <c r="P8555" s="25"/>
      <c r="Q8555" s="25"/>
      <c r="R8555" s="25"/>
      <c r="S8555" s="25"/>
      <c r="T8555" s="141"/>
      <c r="U8555" s="28"/>
    </row>
    <row r="8556" ht="15.75" customHeight="1">
      <c r="P8556" s="25"/>
      <c r="Q8556" s="25"/>
      <c r="R8556" s="25"/>
      <c r="S8556" s="25"/>
      <c r="T8556" s="141"/>
      <c r="U8556" s="28"/>
    </row>
    <row r="8557" ht="15.75" customHeight="1">
      <c r="P8557" s="25"/>
      <c r="Q8557" s="25"/>
      <c r="R8557" s="25"/>
      <c r="S8557" s="25"/>
      <c r="T8557" s="141"/>
      <c r="U8557" s="28"/>
    </row>
    <row r="8558" ht="15.75" customHeight="1">
      <c r="P8558" s="25"/>
      <c r="Q8558" s="25"/>
      <c r="R8558" s="25"/>
      <c r="S8558" s="25"/>
      <c r="T8558" s="141"/>
      <c r="U8558" s="28"/>
    </row>
    <row r="8559" ht="15.75" customHeight="1">
      <c r="P8559" s="25"/>
      <c r="Q8559" s="25"/>
      <c r="R8559" s="25"/>
      <c r="S8559" s="25"/>
      <c r="T8559" s="141"/>
      <c r="U8559" s="28"/>
    </row>
    <row r="8560" ht="15.75" customHeight="1">
      <c r="P8560" s="25"/>
      <c r="Q8560" s="25"/>
      <c r="R8560" s="25"/>
      <c r="S8560" s="25"/>
      <c r="T8560" s="141"/>
      <c r="U8560" s="28"/>
    </row>
    <row r="8561" ht="15.75" customHeight="1">
      <c r="P8561" s="25"/>
      <c r="Q8561" s="25"/>
      <c r="R8561" s="25"/>
      <c r="S8561" s="25"/>
      <c r="T8561" s="141"/>
      <c r="U8561" s="28"/>
    </row>
    <row r="8562" ht="15.75" customHeight="1">
      <c r="P8562" s="25"/>
      <c r="Q8562" s="25"/>
      <c r="R8562" s="25"/>
      <c r="S8562" s="25"/>
      <c r="T8562" s="141"/>
      <c r="U8562" s="28"/>
    </row>
    <row r="8563" ht="15.75" customHeight="1">
      <c r="P8563" s="25"/>
      <c r="Q8563" s="25"/>
      <c r="R8563" s="25"/>
      <c r="S8563" s="25"/>
      <c r="T8563" s="141"/>
      <c r="U8563" s="28"/>
    </row>
    <row r="8564" ht="15.75" customHeight="1">
      <c r="P8564" s="25"/>
      <c r="Q8564" s="25"/>
      <c r="R8564" s="25"/>
      <c r="S8564" s="25"/>
      <c r="T8564" s="141"/>
      <c r="U8564" s="28"/>
    </row>
    <row r="8565" ht="15.75" customHeight="1">
      <c r="P8565" s="25"/>
      <c r="Q8565" s="25"/>
      <c r="R8565" s="25"/>
      <c r="S8565" s="25"/>
      <c r="T8565" s="141"/>
      <c r="U8565" s="28"/>
    </row>
    <row r="8566" ht="15.75" customHeight="1">
      <c r="P8566" s="25"/>
      <c r="Q8566" s="25"/>
      <c r="R8566" s="25"/>
      <c r="S8566" s="25"/>
      <c r="T8566" s="141"/>
      <c r="U8566" s="28"/>
    </row>
    <row r="8567" ht="15.75" customHeight="1">
      <c r="P8567" s="25"/>
      <c r="Q8567" s="25"/>
      <c r="R8567" s="25"/>
      <c r="S8567" s="25"/>
      <c r="T8567" s="141"/>
      <c r="U8567" s="28"/>
    </row>
    <row r="8568" ht="15.75" customHeight="1">
      <c r="P8568" s="25"/>
      <c r="Q8568" s="25"/>
      <c r="R8568" s="25"/>
      <c r="S8568" s="25"/>
      <c r="T8568" s="141"/>
      <c r="U8568" s="28"/>
    </row>
    <row r="8569" ht="15.75" customHeight="1">
      <c r="P8569" s="25"/>
      <c r="Q8569" s="25"/>
      <c r="R8569" s="25"/>
      <c r="S8569" s="25"/>
      <c r="T8569" s="141"/>
      <c r="U8569" s="28"/>
    </row>
    <row r="8570" ht="15.75" customHeight="1">
      <c r="P8570" s="25"/>
      <c r="Q8570" s="25"/>
      <c r="R8570" s="25"/>
      <c r="S8570" s="25"/>
      <c r="T8570" s="141"/>
      <c r="U8570" s="28"/>
    </row>
    <row r="8571" ht="15.75" customHeight="1">
      <c r="P8571" s="25"/>
      <c r="Q8571" s="25"/>
      <c r="R8571" s="25"/>
      <c r="S8571" s="25"/>
      <c r="T8571" s="141"/>
      <c r="U8571" s="28"/>
    </row>
    <row r="8572" ht="15.75" customHeight="1">
      <c r="P8572" s="25"/>
      <c r="Q8572" s="25"/>
      <c r="R8572" s="25"/>
      <c r="S8572" s="25"/>
      <c r="T8572" s="141"/>
      <c r="U8572" s="28"/>
    </row>
    <row r="8573" ht="15.75" customHeight="1">
      <c r="P8573" s="25"/>
      <c r="Q8573" s="25"/>
      <c r="R8573" s="25"/>
      <c r="S8573" s="25"/>
      <c r="T8573" s="141"/>
      <c r="U8573" s="28"/>
    </row>
    <row r="8574" ht="15.75" customHeight="1">
      <c r="P8574" s="25"/>
      <c r="Q8574" s="25"/>
      <c r="R8574" s="25"/>
      <c r="S8574" s="25"/>
      <c r="T8574" s="141"/>
      <c r="U8574" s="28"/>
    </row>
    <row r="8575" ht="15.75" customHeight="1">
      <c r="P8575" s="25"/>
      <c r="Q8575" s="25"/>
      <c r="R8575" s="25"/>
      <c r="S8575" s="25"/>
      <c r="T8575" s="141"/>
      <c r="U8575" s="28"/>
    </row>
    <row r="8576" ht="15.75" customHeight="1">
      <c r="P8576" s="25"/>
      <c r="Q8576" s="25"/>
      <c r="R8576" s="25"/>
      <c r="S8576" s="25"/>
      <c r="T8576" s="141"/>
      <c r="U8576" s="28"/>
    </row>
    <row r="8577" ht="15.75" customHeight="1">
      <c r="P8577" s="25"/>
      <c r="Q8577" s="25"/>
      <c r="R8577" s="25"/>
      <c r="S8577" s="25"/>
      <c r="T8577" s="141"/>
      <c r="U8577" s="28"/>
    </row>
    <row r="8578" ht="15.75" customHeight="1">
      <c r="P8578" s="25"/>
      <c r="Q8578" s="25"/>
      <c r="R8578" s="25"/>
      <c r="S8578" s="25"/>
      <c r="T8578" s="141"/>
      <c r="U8578" s="28"/>
    </row>
    <row r="8579" ht="15.75" customHeight="1">
      <c r="P8579" s="25"/>
      <c r="Q8579" s="25"/>
      <c r="R8579" s="25"/>
      <c r="S8579" s="25"/>
      <c r="T8579" s="141"/>
      <c r="U8579" s="28"/>
    </row>
    <row r="8580" ht="15.75" customHeight="1">
      <c r="P8580" s="25"/>
      <c r="Q8580" s="25"/>
      <c r="R8580" s="25"/>
      <c r="S8580" s="25"/>
      <c r="T8580" s="141"/>
      <c r="U8580" s="28"/>
    </row>
    <row r="8581" ht="15.75" customHeight="1">
      <c r="P8581" s="25"/>
      <c r="Q8581" s="25"/>
      <c r="R8581" s="25"/>
      <c r="S8581" s="25"/>
      <c r="T8581" s="141"/>
      <c r="U8581" s="28"/>
    </row>
    <row r="8582" ht="15.75" customHeight="1">
      <c r="P8582" s="25"/>
      <c r="Q8582" s="25"/>
      <c r="R8582" s="25"/>
      <c r="S8582" s="25"/>
      <c r="T8582" s="141"/>
      <c r="U8582" s="28"/>
    </row>
    <row r="8583" ht="15.75" customHeight="1">
      <c r="P8583" s="25"/>
      <c r="Q8583" s="25"/>
      <c r="R8583" s="25"/>
      <c r="S8583" s="25"/>
      <c r="T8583" s="141"/>
      <c r="U8583" s="28"/>
    </row>
    <row r="8584" ht="15.75" customHeight="1">
      <c r="P8584" s="25"/>
      <c r="Q8584" s="25"/>
      <c r="R8584" s="25"/>
      <c r="S8584" s="25"/>
      <c r="T8584" s="141"/>
      <c r="U8584" s="28"/>
    </row>
    <row r="8585" ht="15.75" customHeight="1">
      <c r="P8585" s="25"/>
      <c r="Q8585" s="25"/>
      <c r="R8585" s="25"/>
      <c r="S8585" s="25"/>
      <c r="T8585" s="141"/>
      <c r="U8585" s="28"/>
    </row>
    <row r="8586" ht="15.75" customHeight="1">
      <c r="P8586" s="25"/>
      <c r="Q8586" s="25"/>
      <c r="R8586" s="25"/>
      <c r="S8586" s="25"/>
      <c r="T8586" s="141"/>
      <c r="U8586" s="28"/>
    </row>
    <row r="8587" ht="15.75" customHeight="1">
      <c r="P8587" s="25"/>
      <c r="Q8587" s="25"/>
      <c r="R8587" s="25"/>
      <c r="S8587" s="25"/>
      <c r="T8587" s="141"/>
      <c r="U8587" s="28"/>
    </row>
    <row r="8588" ht="15.75" customHeight="1">
      <c r="P8588" s="25"/>
      <c r="Q8588" s="25"/>
      <c r="R8588" s="25"/>
      <c r="S8588" s="25"/>
      <c r="T8588" s="141"/>
      <c r="U8588" s="28"/>
    </row>
    <row r="8589" ht="15.75" customHeight="1">
      <c r="P8589" s="25"/>
      <c r="Q8589" s="25"/>
      <c r="R8589" s="25"/>
      <c r="S8589" s="25"/>
      <c r="T8589" s="141"/>
      <c r="U8589" s="28"/>
    </row>
    <row r="8590" ht="15.75" customHeight="1">
      <c r="P8590" s="25"/>
      <c r="Q8590" s="25"/>
      <c r="R8590" s="25"/>
      <c r="S8590" s="25"/>
      <c r="T8590" s="141"/>
      <c r="U8590" s="28"/>
    </row>
    <row r="8591" ht="15.75" customHeight="1">
      <c r="P8591" s="25"/>
      <c r="Q8591" s="25"/>
      <c r="R8591" s="25"/>
      <c r="S8591" s="25"/>
      <c r="T8591" s="141"/>
      <c r="U8591" s="28"/>
    </row>
    <row r="8592" ht="15.75" customHeight="1">
      <c r="P8592" s="25"/>
      <c r="Q8592" s="25"/>
      <c r="R8592" s="25"/>
      <c r="S8592" s="25"/>
      <c r="T8592" s="141"/>
      <c r="U8592" s="28"/>
    </row>
    <row r="8593" ht="15.75" customHeight="1">
      <c r="P8593" s="25"/>
      <c r="Q8593" s="25"/>
      <c r="R8593" s="25"/>
      <c r="S8593" s="25"/>
      <c r="T8593" s="141"/>
      <c r="U8593" s="28"/>
    </row>
    <row r="8594" ht="15.75" customHeight="1">
      <c r="P8594" s="25"/>
      <c r="Q8594" s="25"/>
      <c r="R8594" s="25"/>
      <c r="S8594" s="25"/>
      <c r="T8594" s="141"/>
      <c r="U8594" s="28"/>
    </row>
    <row r="8595" ht="15.75" customHeight="1">
      <c r="P8595" s="25"/>
      <c r="Q8595" s="25"/>
      <c r="R8595" s="25"/>
      <c r="S8595" s="25"/>
      <c r="T8595" s="141"/>
      <c r="U8595" s="28"/>
    </row>
    <row r="8596" ht="15.75" customHeight="1">
      <c r="P8596" s="25"/>
      <c r="Q8596" s="25"/>
      <c r="R8596" s="25"/>
      <c r="S8596" s="25"/>
      <c r="T8596" s="141"/>
      <c r="U8596" s="28"/>
    </row>
    <row r="8597" ht="15.75" customHeight="1">
      <c r="P8597" s="25"/>
      <c r="Q8597" s="25"/>
      <c r="R8597" s="25"/>
      <c r="S8597" s="25"/>
      <c r="T8597" s="141"/>
      <c r="U8597" s="28"/>
    </row>
    <row r="8598" ht="15.75" customHeight="1">
      <c r="P8598" s="25"/>
      <c r="Q8598" s="25"/>
      <c r="R8598" s="25"/>
      <c r="S8598" s="25"/>
      <c r="T8598" s="141"/>
      <c r="U8598" s="28"/>
    </row>
    <row r="8599" ht="15.75" customHeight="1">
      <c r="P8599" s="25"/>
      <c r="Q8599" s="25"/>
      <c r="R8599" s="25"/>
      <c r="S8599" s="25"/>
      <c r="T8599" s="141"/>
      <c r="U8599" s="28"/>
    </row>
    <row r="8600" ht="15.75" customHeight="1">
      <c r="P8600" s="25"/>
      <c r="Q8600" s="25"/>
      <c r="R8600" s="25"/>
      <c r="S8600" s="25"/>
      <c r="T8600" s="141"/>
      <c r="U8600" s="28"/>
    </row>
    <row r="8601" ht="15.75" customHeight="1">
      <c r="P8601" s="25"/>
      <c r="Q8601" s="25"/>
      <c r="R8601" s="25"/>
      <c r="S8601" s="25"/>
      <c r="T8601" s="141"/>
      <c r="U8601" s="28"/>
    </row>
    <row r="8602" ht="15.75" customHeight="1">
      <c r="P8602" s="25"/>
      <c r="Q8602" s="25"/>
      <c r="R8602" s="25"/>
      <c r="S8602" s="25"/>
      <c r="T8602" s="141"/>
      <c r="U8602" s="28"/>
    </row>
    <row r="8603" ht="15.75" customHeight="1">
      <c r="P8603" s="25"/>
      <c r="Q8603" s="25"/>
      <c r="R8603" s="25"/>
      <c r="S8603" s="25"/>
      <c r="T8603" s="141"/>
      <c r="U8603" s="28"/>
    </row>
    <row r="8604" ht="15.75" customHeight="1">
      <c r="P8604" s="25"/>
      <c r="Q8604" s="25"/>
      <c r="R8604" s="25"/>
      <c r="S8604" s="25"/>
      <c r="T8604" s="141"/>
      <c r="U8604" s="28"/>
    </row>
    <row r="8605" ht="15.75" customHeight="1">
      <c r="P8605" s="25"/>
      <c r="Q8605" s="25"/>
      <c r="R8605" s="25"/>
      <c r="S8605" s="25"/>
      <c r="T8605" s="141"/>
      <c r="U8605" s="28"/>
    </row>
    <row r="8606" ht="15.75" customHeight="1">
      <c r="P8606" s="25"/>
      <c r="Q8606" s="25"/>
      <c r="R8606" s="25"/>
      <c r="S8606" s="25"/>
      <c r="T8606" s="141"/>
      <c r="U8606" s="28"/>
    </row>
    <row r="8607" ht="15.75" customHeight="1">
      <c r="P8607" s="25"/>
      <c r="Q8607" s="25"/>
      <c r="R8607" s="25"/>
      <c r="S8607" s="25"/>
      <c r="T8607" s="141"/>
      <c r="U8607" s="28"/>
    </row>
    <row r="8608" ht="15.75" customHeight="1">
      <c r="P8608" s="25"/>
      <c r="Q8608" s="25"/>
      <c r="R8608" s="25"/>
      <c r="S8608" s="25"/>
      <c r="T8608" s="141"/>
      <c r="U8608" s="28"/>
    </row>
    <row r="8609" ht="15.75" customHeight="1">
      <c r="P8609" s="25"/>
      <c r="Q8609" s="25"/>
      <c r="R8609" s="25"/>
      <c r="S8609" s="25"/>
      <c r="T8609" s="141"/>
      <c r="U8609" s="28"/>
    </row>
    <row r="8610" ht="15.75" customHeight="1">
      <c r="P8610" s="25"/>
      <c r="Q8610" s="25"/>
      <c r="R8610" s="25"/>
      <c r="S8610" s="25"/>
      <c r="T8610" s="141"/>
      <c r="U8610" s="28"/>
    </row>
    <row r="8611" ht="15.75" customHeight="1">
      <c r="P8611" s="25"/>
      <c r="Q8611" s="25"/>
      <c r="R8611" s="25"/>
      <c r="S8611" s="25"/>
      <c r="T8611" s="141"/>
      <c r="U8611" s="28"/>
    </row>
    <row r="8612" ht="15.75" customHeight="1">
      <c r="P8612" s="25"/>
      <c r="Q8612" s="25"/>
      <c r="R8612" s="25"/>
      <c r="S8612" s="25"/>
      <c r="T8612" s="141"/>
      <c r="U8612" s="28"/>
    </row>
    <row r="8613" ht="15.75" customHeight="1">
      <c r="P8613" s="25"/>
      <c r="Q8613" s="25"/>
      <c r="R8613" s="25"/>
      <c r="S8613" s="25"/>
      <c r="T8613" s="141"/>
      <c r="U8613" s="28"/>
    </row>
    <row r="8614" ht="15.75" customHeight="1">
      <c r="P8614" s="25"/>
      <c r="Q8614" s="25"/>
      <c r="R8614" s="25"/>
      <c r="S8614" s="25"/>
      <c r="T8614" s="141"/>
      <c r="U8614" s="28"/>
    </row>
    <row r="8615" ht="15.75" customHeight="1">
      <c r="P8615" s="25"/>
      <c r="Q8615" s="25"/>
      <c r="R8615" s="25"/>
      <c r="S8615" s="25"/>
      <c r="T8615" s="141"/>
      <c r="U8615" s="28"/>
    </row>
    <row r="8616" ht="15.75" customHeight="1">
      <c r="P8616" s="25"/>
      <c r="Q8616" s="25"/>
      <c r="R8616" s="25"/>
      <c r="S8616" s="25"/>
      <c r="T8616" s="141"/>
      <c r="U8616" s="28"/>
    </row>
    <row r="8617" ht="15.75" customHeight="1">
      <c r="P8617" s="25"/>
      <c r="Q8617" s="25"/>
      <c r="R8617" s="25"/>
      <c r="S8617" s="25"/>
      <c r="T8617" s="141"/>
      <c r="U8617" s="28"/>
    </row>
    <row r="8618" ht="15.75" customHeight="1">
      <c r="P8618" s="25"/>
      <c r="Q8618" s="25"/>
      <c r="R8618" s="25"/>
      <c r="S8618" s="25"/>
      <c r="T8618" s="141"/>
      <c r="U8618" s="28"/>
    </row>
    <row r="8619" ht="15.75" customHeight="1">
      <c r="P8619" s="25"/>
      <c r="Q8619" s="25"/>
      <c r="R8619" s="25"/>
      <c r="S8619" s="25"/>
      <c r="T8619" s="141"/>
      <c r="U8619" s="28"/>
    </row>
    <row r="8620" ht="15.75" customHeight="1">
      <c r="P8620" s="25"/>
      <c r="Q8620" s="25"/>
      <c r="R8620" s="25"/>
      <c r="S8620" s="25"/>
      <c r="T8620" s="141"/>
      <c r="U8620" s="28"/>
    </row>
    <row r="8621" ht="15.75" customHeight="1">
      <c r="P8621" s="25"/>
      <c r="Q8621" s="25"/>
      <c r="R8621" s="25"/>
      <c r="S8621" s="25"/>
      <c r="T8621" s="141"/>
      <c r="U8621" s="28"/>
    </row>
    <row r="8622" ht="15.75" customHeight="1">
      <c r="P8622" s="25"/>
      <c r="Q8622" s="25"/>
      <c r="R8622" s="25"/>
      <c r="S8622" s="25"/>
      <c r="T8622" s="141"/>
      <c r="U8622" s="28"/>
    </row>
    <row r="8623" ht="15.75" customHeight="1">
      <c r="P8623" s="25"/>
      <c r="Q8623" s="25"/>
      <c r="R8623" s="25"/>
      <c r="S8623" s="25"/>
      <c r="T8623" s="141"/>
      <c r="U8623" s="28"/>
    </row>
    <row r="8624" ht="15.75" customHeight="1">
      <c r="P8624" s="25"/>
      <c r="Q8624" s="25"/>
      <c r="R8624" s="25"/>
      <c r="S8624" s="25"/>
      <c r="T8624" s="141"/>
      <c r="U8624" s="28"/>
    </row>
    <row r="8625" ht="15.75" customHeight="1">
      <c r="P8625" s="25"/>
      <c r="Q8625" s="25"/>
      <c r="R8625" s="25"/>
      <c r="S8625" s="25"/>
      <c r="T8625" s="141"/>
      <c r="U8625" s="28"/>
    </row>
    <row r="8626" ht="15.75" customHeight="1">
      <c r="P8626" s="25"/>
      <c r="Q8626" s="25"/>
      <c r="R8626" s="25"/>
      <c r="S8626" s="25"/>
      <c r="T8626" s="141"/>
      <c r="U8626" s="28"/>
    </row>
    <row r="8627" ht="15.75" customHeight="1">
      <c r="P8627" s="25"/>
      <c r="Q8627" s="25"/>
      <c r="R8627" s="25"/>
      <c r="S8627" s="25"/>
      <c r="T8627" s="141"/>
      <c r="U8627" s="28"/>
    </row>
    <row r="8628" ht="15.75" customHeight="1">
      <c r="P8628" s="25"/>
      <c r="Q8628" s="25"/>
      <c r="R8628" s="25"/>
      <c r="S8628" s="25"/>
      <c r="T8628" s="141"/>
      <c r="U8628" s="28"/>
    </row>
    <row r="8629" ht="15.75" customHeight="1">
      <c r="P8629" s="25"/>
      <c r="Q8629" s="25"/>
      <c r="R8629" s="25"/>
      <c r="S8629" s="25"/>
      <c r="T8629" s="141"/>
      <c r="U8629" s="28"/>
    </row>
    <row r="8630" ht="15.75" customHeight="1">
      <c r="P8630" s="25"/>
      <c r="Q8630" s="25"/>
      <c r="R8630" s="25"/>
      <c r="S8630" s="25"/>
      <c r="T8630" s="141"/>
      <c r="U8630" s="28"/>
    </row>
    <row r="8631" ht="15.75" customHeight="1">
      <c r="P8631" s="25"/>
      <c r="Q8631" s="25"/>
      <c r="R8631" s="25"/>
      <c r="S8631" s="25"/>
      <c r="T8631" s="141"/>
      <c r="U8631" s="28"/>
    </row>
    <row r="8632" ht="15.75" customHeight="1">
      <c r="P8632" s="25"/>
      <c r="Q8632" s="25"/>
      <c r="R8632" s="25"/>
      <c r="S8632" s="25"/>
      <c r="T8632" s="141"/>
      <c r="U8632" s="28"/>
    </row>
    <row r="8633" ht="15.75" customHeight="1">
      <c r="P8633" s="25"/>
      <c r="Q8633" s="25"/>
      <c r="R8633" s="25"/>
      <c r="S8633" s="25"/>
      <c r="T8633" s="141"/>
      <c r="U8633" s="28"/>
    </row>
    <row r="8634" ht="15.75" customHeight="1">
      <c r="P8634" s="25"/>
      <c r="Q8634" s="25"/>
      <c r="R8634" s="25"/>
      <c r="S8634" s="25"/>
      <c r="T8634" s="141"/>
      <c r="U8634" s="28"/>
    </row>
    <row r="8635" ht="15.75" customHeight="1">
      <c r="P8635" s="25"/>
      <c r="Q8635" s="25"/>
      <c r="R8635" s="25"/>
      <c r="S8635" s="25"/>
      <c r="T8635" s="141"/>
      <c r="U8635" s="28"/>
    </row>
    <row r="8636" ht="15.75" customHeight="1">
      <c r="P8636" s="25"/>
      <c r="Q8636" s="25"/>
      <c r="R8636" s="25"/>
      <c r="S8636" s="25"/>
      <c r="T8636" s="141"/>
      <c r="U8636" s="28"/>
    </row>
    <row r="8637" ht="15.75" customHeight="1">
      <c r="P8637" s="25"/>
      <c r="Q8637" s="25"/>
      <c r="R8637" s="25"/>
      <c r="S8637" s="25"/>
      <c r="T8637" s="141"/>
      <c r="U8637" s="28"/>
    </row>
    <row r="8638" ht="15.75" customHeight="1">
      <c r="P8638" s="25"/>
      <c r="Q8638" s="25"/>
      <c r="R8638" s="25"/>
      <c r="S8638" s="25"/>
      <c r="T8638" s="141"/>
      <c r="U8638" s="28"/>
    </row>
    <row r="8639" ht="15.75" customHeight="1">
      <c r="P8639" s="25"/>
      <c r="Q8639" s="25"/>
      <c r="R8639" s="25"/>
      <c r="S8639" s="25"/>
      <c r="T8639" s="141"/>
      <c r="U8639" s="28"/>
    </row>
    <row r="8640" ht="15.75" customHeight="1">
      <c r="P8640" s="25"/>
      <c r="Q8640" s="25"/>
      <c r="R8640" s="25"/>
      <c r="S8640" s="25"/>
      <c r="T8640" s="141"/>
      <c r="U8640" s="28"/>
    </row>
    <row r="8641" ht="15.75" customHeight="1">
      <c r="P8641" s="25"/>
      <c r="Q8641" s="25"/>
      <c r="R8641" s="25"/>
      <c r="S8641" s="25"/>
      <c r="T8641" s="141"/>
      <c r="U8641" s="28"/>
    </row>
    <row r="8642" ht="15.75" customHeight="1">
      <c r="P8642" s="25"/>
      <c r="Q8642" s="25"/>
      <c r="R8642" s="25"/>
      <c r="S8642" s="25"/>
      <c r="T8642" s="141"/>
      <c r="U8642" s="28"/>
    </row>
    <row r="8643" ht="15.75" customHeight="1">
      <c r="P8643" s="25"/>
      <c r="Q8643" s="25"/>
      <c r="R8643" s="25"/>
      <c r="S8643" s="25"/>
      <c r="T8643" s="141"/>
      <c r="U8643" s="28"/>
    </row>
    <row r="8644" ht="15.75" customHeight="1">
      <c r="P8644" s="25"/>
      <c r="Q8644" s="25"/>
      <c r="R8644" s="25"/>
      <c r="S8644" s="25"/>
      <c r="T8644" s="141"/>
      <c r="U8644" s="28"/>
    </row>
    <row r="8645" ht="15.75" customHeight="1">
      <c r="P8645" s="25"/>
      <c r="Q8645" s="25"/>
      <c r="R8645" s="25"/>
      <c r="S8645" s="25"/>
      <c r="T8645" s="141"/>
      <c r="U8645" s="28"/>
    </row>
    <row r="8646" ht="15.75" customHeight="1">
      <c r="P8646" s="25"/>
      <c r="Q8646" s="25"/>
      <c r="R8646" s="25"/>
      <c r="S8646" s="25"/>
      <c r="T8646" s="141"/>
      <c r="U8646" s="28"/>
    </row>
    <row r="8647" ht="15.75" customHeight="1">
      <c r="P8647" s="25"/>
      <c r="Q8647" s="25"/>
      <c r="R8647" s="25"/>
      <c r="S8647" s="25"/>
      <c r="T8647" s="141"/>
      <c r="U8647" s="28"/>
    </row>
    <row r="8648" ht="15.75" customHeight="1">
      <c r="P8648" s="25"/>
      <c r="Q8648" s="25"/>
      <c r="R8648" s="25"/>
      <c r="S8648" s="25"/>
      <c r="T8648" s="141"/>
      <c r="U8648" s="28"/>
    </row>
    <row r="8649" ht="15.75" customHeight="1">
      <c r="P8649" s="25"/>
      <c r="Q8649" s="25"/>
      <c r="R8649" s="25"/>
      <c r="S8649" s="25"/>
      <c r="T8649" s="141"/>
      <c r="U8649" s="28"/>
    </row>
    <row r="8650" ht="15.75" customHeight="1">
      <c r="P8650" s="25"/>
      <c r="Q8650" s="25"/>
      <c r="R8650" s="25"/>
      <c r="S8650" s="25"/>
      <c r="T8650" s="141"/>
      <c r="U8650" s="28"/>
    </row>
    <row r="8651" ht="15.75" customHeight="1">
      <c r="P8651" s="25"/>
      <c r="Q8651" s="25"/>
      <c r="R8651" s="25"/>
      <c r="S8651" s="25"/>
      <c r="T8651" s="141"/>
      <c r="U8651" s="28"/>
    </row>
    <row r="8652" ht="15.75" customHeight="1">
      <c r="P8652" s="25"/>
      <c r="Q8652" s="25"/>
      <c r="R8652" s="25"/>
      <c r="S8652" s="25"/>
      <c r="T8652" s="141"/>
      <c r="U8652" s="28"/>
    </row>
    <row r="8653" ht="15.75" customHeight="1">
      <c r="P8653" s="25"/>
      <c r="Q8653" s="25"/>
      <c r="R8653" s="25"/>
      <c r="S8653" s="25"/>
      <c r="T8653" s="141"/>
      <c r="U8653" s="28"/>
    </row>
    <row r="8654" ht="15.75" customHeight="1">
      <c r="P8654" s="25"/>
      <c r="Q8654" s="25"/>
      <c r="R8654" s="25"/>
      <c r="S8654" s="25"/>
      <c r="T8654" s="141"/>
      <c r="U8654" s="28"/>
    </row>
    <row r="8655" ht="15.75" customHeight="1">
      <c r="P8655" s="25"/>
      <c r="Q8655" s="25"/>
      <c r="R8655" s="25"/>
      <c r="S8655" s="25"/>
      <c r="T8655" s="141"/>
      <c r="U8655" s="28"/>
    </row>
    <row r="8656" ht="15.75" customHeight="1">
      <c r="P8656" s="25"/>
      <c r="Q8656" s="25"/>
      <c r="R8656" s="25"/>
      <c r="S8656" s="25"/>
      <c r="T8656" s="141"/>
      <c r="U8656" s="28"/>
    </row>
    <row r="8657" ht="15.75" customHeight="1">
      <c r="P8657" s="25"/>
      <c r="Q8657" s="25"/>
      <c r="R8657" s="25"/>
      <c r="S8657" s="25"/>
      <c r="T8657" s="141"/>
      <c r="U8657" s="28"/>
    </row>
    <row r="8658" ht="15.75" customHeight="1">
      <c r="P8658" s="25"/>
      <c r="Q8658" s="25"/>
      <c r="R8658" s="25"/>
      <c r="S8658" s="25"/>
      <c r="T8658" s="141"/>
      <c r="U8658" s="28"/>
    </row>
    <row r="8659" ht="15.75" customHeight="1">
      <c r="P8659" s="25"/>
      <c r="Q8659" s="25"/>
      <c r="R8659" s="25"/>
      <c r="S8659" s="25"/>
      <c r="T8659" s="141"/>
      <c r="U8659" s="28"/>
    </row>
    <row r="8660" ht="15.75" customHeight="1">
      <c r="P8660" s="25"/>
      <c r="Q8660" s="25"/>
      <c r="R8660" s="25"/>
      <c r="S8660" s="25"/>
      <c r="T8660" s="141"/>
      <c r="U8660" s="28"/>
    </row>
    <row r="8661" ht="15.75" customHeight="1">
      <c r="P8661" s="25"/>
      <c r="Q8661" s="25"/>
      <c r="R8661" s="25"/>
      <c r="S8661" s="25"/>
      <c r="T8661" s="141"/>
      <c r="U8661" s="28"/>
    </row>
    <row r="8662" ht="15.75" customHeight="1">
      <c r="P8662" s="25"/>
      <c r="Q8662" s="25"/>
      <c r="R8662" s="25"/>
      <c r="S8662" s="25"/>
      <c r="T8662" s="141"/>
      <c r="U8662" s="28"/>
    </row>
    <row r="8663" ht="15.75" customHeight="1">
      <c r="P8663" s="25"/>
      <c r="Q8663" s="25"/>
      <c r="R8663" s="25"/>
      <c r="S8663" s="25"/>
      <c r="T8663" s="141"/>
      <c r="U8663" s="28"/>
    </row>
    <row r="8664" ht="15.75" customHeight="1">
      <c r="P8664" s="25"/>
      <c r="Q8664" s="25"/>
      <c r="R8664" s="25"/>
      <c r="S8664" s="25"/>
      <c r="T8664" s="141"/>
      <c r="U8664" s="28"/>
    </row>
    <row r="8665" ht="15.75" customHeight="1">
      <c r="P8665" s="25"/>
      <c r="Q8665" s="25"/>
      <c r="R8665" s="25"/>
      <c r="S8665" s="25"/>
      <c r="T8665" s="141"/>
      <c r="U8665" s="28"/>
    </row>
    <row r="8666" ht="15.75" customHeight="1">
      <c r="P8666" s="25"/>
      <c r="Q8666" s="25"/>
      <c r="R8666" s="25"/>
      <c r="S8666" s="25"/>
      <c r="T8666" s="141"/>
      <c r="U8666" s="28"/>
    </row>
    <row r="8667" ht="15.75" customHeight="1">
      <c r="P8667" s="25"/>
      <c r="Q8667" s="25"/>
      <c r="R8667" s="25"/>
      <c r="S8667" s="25"/>
      <c r="T8667" s="141"/>
      <c r="U8667" s="28"/>
    </row>
    <row r="8668" ht="15.75" customHeight="1">
      <c r="P8668" s="25"/>
      <c r="Q8668" s="25"/>
      <c r="R8668" s="25"/>
      <c r="S8668" s="25"/>
      <c r="T8668" s="141"/>
      <c r="U8668" s="28"/>
    </row>
    <row r="8669" ht="15.75" customHeight="1">
      <c r="P8669" s="25"/>
      <c r="Q8669" s="25"/>
      <c r="R8669" s="25"/>
      <c r="S8669" s="25"/>
      <c r="T8669" s="141"/>
      <c r="U8669" s="28"/>
    </row>
    <row r="8670" ht="15.75" customHeight="1">
      <c r="P8670" s="25"/>
      <c r="Q8670" s="25"/>
      <c r="R8670" s="25"/>
      <c r="S8670" s="25"/>
      <c r="T8670" s="141"/>
      <c r="U8670" s="28"/>
    </row>
    <row r="8671" ht="15.75" customHeight="1">
      <c r="P8671" s="25"/>
      <c r="Q8671" s="25"/>
      <c r="R8671" s="25"/>
      <c r="S8671" s="25"/>
      <c r="T8671" s="141"/>
      <c r="U8671" s="28"/>
    </row>
    <row r="8672" ht="15.75" customHeight="1">
      <c r="P8672" s="25"/>
      <c r="Q8672" s="25"/>
      <c r="R8672" s="25"/>
      <c r="S8672" s="25"/>
      <c r="T8672" s="141"/>
      <c r="U8672" s="28"/>
    </row>
    <row r="8673" ht="15.75" customHeight="1">
      <c r="P8673" s="25"/>
      <c r="Q8673" s="25"/>
      <c r="R8673" s="25"/>
      <c r="S8673" s="25"/>
      <c r="T8673" s="141"/>
      <c r="U8673" s="28"/>
    </row>
    <row r="8674" ht="15.75" customHeight="1">
      <c r="P8674" s="25"/>
      <c r="Q8674" s="25"/>
      <c r="R8674" s="25"/>
      <c r="S8674" s="25"/>
      <c r="T8674" s="141"/>
      <c r="U8674" s="28"/>
    </row>
    <row r="8675" ht="15.75" customHeight="1">
      <c r="P8675" s="25"/>
      <c r="Q8675" s="25"/>
      <c r="R8675" s="25"/>
      <c r="S8675" s="25"/>
      <c r="T8675" s="141"/>
      <c r="U8675" s="28"/>
    </row>
    <row r="8676" ht="15.75" customHeight="1">
      <c r="P8676" s="25"/>
      <c r="Q8676" s="25"/>
      <c r="R8676" s="25"/>
      <c r="S8676" s="25"/>
      <c r="T8676" s="141"/>
      <c r="U8676" s="28"/>
    </row>
    <row r="8677" ht="15.75" customHeight="1">
      <c r="P8677" s="25"/>
      <c r="Q8677" s="25"/>
      <c r="R8677" s="25"/>
      <c r="S8677" s="25"/>
      <c r="T8677" s="141"/>
      <c r="U8677" s="28"/>
    </row>
    <row r="8678" ht="15.75" customHeight="1">
      <c r="P8678" s="25"/>
      <c r="Q8678" s="25"/>
      <c r="R8678" s="25"/>
      <c r="S8678" s="25"/>
      <c r="T8678" s="141"/>
      <c r="U8678" s="28"/>
    </row>
    <row r="8679" ht="15.75" customHeight="1">
      <c r="P8679" s="25"/>
      <c r="Q8679" s="25"/>
      <c r="R8679" s="25"/>
      <c r="S8679" s="25"/>
      <c r="T8679" s="141"/>
      <c r="U8679" s="28"/>
    </row>
    <row r="8680" ht="15.75" customHeight="1">
      <c r="P8680" s="25"/>
      <c r="Q8680" s="25"/>
      <c r="R8680" s="25"/>
      <c r="S8680" s="25"/>
      <c r="T8680" s="141"/>
      <c r="U8680" s="28"/>
    </row>
    <row r="8681" ht="15.75" customHeight="1">
      <c r="P8681" s="25"/>
      <c r="Q8681" s="25"/>
      <c r="R8681" s="25"/>
      <c r="S8681" s="25"/>
      <c r="T8681" s="141"/>
      <c r="U8681" s="28"/>
    </row>
    <row r="8682" ht="15.75" customHeight="1">
      <c r="P8682" s="25"/>
      <c r="Q8682" s="25"/>
      <c r="R8682" s="25"/>
      <c r="S8682" s="25"/>
      <c r="T8682" s="141"/>
      <c r="U8682" s="28"/>
    </row>
    <row r="8683" ht="15.75" customHeight="1">
      <c r="P8683" s="25"/>
      <c r="Q8683" s="25"/>
      <c r="R8683" s="25"/>
      <c r="S8683" s="25"/>
      <c r="T8683" s="141"/>
      <c r="U8683" s="28"/>
    </row>
    <row r="8684" ht="15.75" customHeight="1">
      <c r="P8684" s="25"/>
      <c r="Q8684" s="25"/>
      <c r="R8684" s="25"/>
      <c r="S8684" s="25"/>
      <c r="T8684" s="141"/>
      <c r="U8684" s="28"/>
    </row>
    <row r="8685" ht="15.75" customHeight="1">
      <c r="P8685" s="25"/>
      <c r="Q8685" s="25"/>
      <c r="R8685" s="25"/>
      <c r="S8685" s="25"/>
      <c r="T8685" s="141"/>
      <c r="U8685" s="28"/>
    </row>
    <row r="8686" ht="15.75" customHeight="1">
      <c r="P8686" s="25"/>
      <c r="Q8686" s="25"/>
      <c r="R8686" s="25"/>
      <c r="S8686" s="25"/>
      <c r="T8686" s="141"/>
      <c r="U8686" s="28"/>
    </row>
    <row r="8687" ht="15.75" customHeight="1">
      <c r="P8687" s="25"/>
      <c r="Q8687" s="25"/>
      <c r="R8687" s="25"/>
      <c r="S8687" s="25"/>
      <c r="T8687" s="141"/>
      <c r="U8687" s="28"/>
    </row>
    <row r="8688" ht="15.75" customHeight="1">
      <c r="P8688" s="25"/>
      <c r="Q8688" s="25"/>
      <c r="R8688" s="25"/>
      <c r="S8688" s="25"/>
      <c r="T8688" s="141"/>
      <c r="U8688" s="28"/>
    </row>
    <row r="8689" ht="15.75" customHeight="1">
      <c r="P8689" s="25"/>
      <c r="Q8689" s="25"/>
      <c r="R8689" s="25"/>
      <c r="S8689" s="25"/>
      <c r="T8689" s="141"/>
      <c r="U8689" s="28"/>
    </row>
    <row r="8690" ht="15.75" customHeight="1">
      <c r="P8690" s="25"/>
      <c r="Q8690" s="25"/>
      <c r="R8690" s="25"/>
      <c r="S8690" s="25"/>
      <c r="T8690" s="141"/>
      <c r="U8690" s="28"/>
    </row>
    <row r="8691" ht="15.75" customHeight="1">
      <c r="P8691" s="25"/>
      <c r="Q8691" s="25"/>
      <c r="R8691" s="25"/>
      <c r="S8691" s="25"/>
      <c r="T8691" s="141"/>
      <c r="U8691" s="28"/>
    </row>
    <row r="8692" ht="15.75" customHeight="1">
      <c r="P8692" s="25"/>
      <c r="Q8692" s="25"/>
      <c r="R8692" s="25"/>
      <c r="S8692" s="25"/>
      <c r="T8692" s="141"/>
      <c r="U8692" s="28"/>
    </row>
    <row r="8693" ht="15.75" customHeight="1">
      <c r="P8693" s="25"/>
      <c r="Q8693" s="25"/>
      <c r="R8693" s="25"/>
      <c r="S8693" s="25"/>
      <c r="T8693" s="141"/>
      <c r="U8693" s="28"/>
    </row>
    <row r="8694" ht="15.75" customHeight="1">
      <c r="P8694" s="25"/>
      <c r="Q8694" s="25"/>
      <c r="R8694" s="25"/>
      <c r="S8694" s="25"/>
      <c r="T8694" s="141"/>
      <c r="U8694" s="28"/>
    </row>
    <row r="8695" ht="15.75" customHeight="1">
      <c r="P8695" s="25"/>
      <c r="Q8695" s="25"/>
      <c r="R8695" s="25"/>
      <c r="S8695" s="25"/>
      <c r="T8695" s="141"/>
      <c r="U8695" s="28"/>
    </row>
    <row r="8696" ht="15.75" customHeight="1">
      <c r="P8696" s="25"/>
      <c r="Q8696" s="25"/>
      <c r="R8696" s="25"/>
      <c r="S8696" s="25"/>
      <c r="T8696" s="141"/>
      <c r="U8696" s="28"/>
    </row>
    <row r="8697" ht="15.75" customHeight="1">
      <c r="P8697" s="25"/>
      <c r="Q8697" s="25"/>
      <c r="R8697" s="25"/>
      <c r="S8697" s="25"/>
      <c r="T8697" s="141"/>
      <c r="U8697" s="28"/>
    </row>
    <row r="8698" ht="15.75" customHeight="1">
      <c r="P8698" s="25"/>
      <c r="Q8698" s="25"/>
      <c r="R8698" s="25"/>
      <c r="S8698" s="25"/>
      <c r="T8698" s="141"/>
      <c r="U8698" s="28"/>
    </row>
    <row r="8699" ht="15.75" customHeight="1">
      <c r="P8699" s="25"/>
      <c r="Q8699" s="25"/>
      <c r="R8699" s="25"/>
      <c r="S8699" s="25"/>
      <c r="T8699" s="141"/>
      <c r="U8699" s="28"/>
    </row>
    <row r="8700" ht="15.75" customHeight="1">
      <c r="P8700" s="25"/>
      <c r="Q8700" s="25"/>
      <c r="R8700" s="25"/>
      <c r="S8700" s="25"/>
      <c r="T8700" s="141"/>
      <c r="U8700" s="28"/>
    </row>
    <row r="8701" ht="15.75" customHeight="1">
      <c r="P8701" s="25"/>
      <c r="Q8701" s="25"/>
      <c r="R8701" s="25"/>
      <c r="S8701" s="25"/>
      <c r="T8701" s="141"/>
      <c r="U8701" s="28"/>
    </row>
    <row r="8702" ht="15.75" customHeight="1">
      <c r="P8702" s="25"/>
      <c r="Q8702" s="25"/>
      <c r="R8702" s="25"/>
      <c r="S8702" s="25"/>
      <c r="T8702" s="141"/>
      <c r="U8702" s="28"/>
    </row>
    <row r="8703" ht="15.75" customHeight="1">
      <c r="P8703" s="25"/>
      <c r="Q8703" s="25"/>
      <c r="R8703" s="25"/>
      <c r="S8703" s="25"/>
      <c r="T8703" s="141"/>
      <c r="U8703" s="28"/>
    </row>
    <row r="8704" ht="15.75" customHeight="1">
      <c r="P8704" s="25"/>
      <c r="Q8704" s="25"/>
      <c r="R8704" s="25"/>
      <c r="S8704" s="25"/>
      <c r="T8704" s="141"/>
      <c r="U8704" s="28"/>
    </row>
    <row r="8705" ht="15.75" customHeight="1">
      <c r="P8705" s="25"/>
      <c r="Q8705" s="25"/>
      <c r="R8705" s="25"/>
      <c r="S8705" s="25"/>
      <c r="T8705" s="141"/>
      <c r="U8705" s="28"/>
    </row>
    <row r="8706" ht="15.75" customHeight="1">
      <c r="P8706" s="25"/>
      <c r="Q8706" s="25"/>
      <c r="R8706" s="25"/>
      <c r="S8706" s="25"/>
      <c r="T8706" s="141"/>
      <c r="U8706" s="28"/>
    </row>
    <row r="8707" ht="15.75" customHeight="1">
      <c r="P8707" s="25"/>
      <c r="Q8707" s="25"/>
      <c r="R8707" s="25"/>
      <c r="S8707" s="25"/>
      <c r="T8707" s="141"/>
      <c r="U8707" s="28"/>
    </row>
    <row r="8708" ht="15.75" customHeight="1">
      <c r="P8708" s="25"/>
      <c r="Q8708" s="25"/>
      <c r="R8708" s="25"/>
      <c r="S8708" s="25"/>
      <c r="T8708" s="141"/>
      <c r="U8708" s="28"/>
    </row>
    <row r="8709" ht="15.75" customHeight="1">
      <c r="P8709" s="25"/>
      <c r="Q8709" s="25"/>
      <c r="R8709" s="25"/>
      <c r="S8709" s="25"/>
      <c r="T8709" s="141"/>
      <c r="U8709" s="28"/>
    </row>
    <row r="8710" ht="15.75" customHeight="1">
      <c r="P8710" s="25"/>
      <c r="Q8710" s="25"/>
      <c r="R8710" s="25"/>
      <c r="S8710" s="25"/>
      <c r="T8710" s="141"/>
      <c r="U8710" s="28"/>
    </row>
    <row r="8711" ht="15.75" customHeight="1">
      <c r="P8711" s="25"/>
      <c r="Q8711" s="25"/>
      <c r="R8711" s="25"/>
      <c r="S8711" s="25"/>
      <c r="T8711" s="141"/>
      <c r="U8711" s="28"/>
    </row>
    <row r="8712" ht="15.75" customHeight="1">
      <c r="P8712" s="25"/>
      <c r="Q8712" s="25"/>
      <c r="R8712" s="25"/>
      <c r="S8712" s="25"/>
      <c r="T8712" s="141"/>
      <c r="U8712" s="28"/>
    </row>
    <row r="8713" ht="15.75" customHeight="1">
      <c r="P8713" s="25"/>
      <c r="Q8713" s="25"/>
      <c r="R8713" s="25"/>
      <c r="S8713" s="25"/>
      <c r="T8713" s="141"/>
      <c r="U8713" s="28"/>
    </row>
    <row r="8714" ht="15.75" customHeight="1">
      <c r="P8714" s="25"/>
      <c r="Q8714" s="25"/>
      <c r="R8714" s="25"/>
      <c r="S8714" s="25"/>
      <c r="T8714" s="141"/>
      <c r="U8714" s="28"/>
    </row>
    <row r="8715" ht="15.75" customHeight="1">
      <c r="P8715" s="25"/>
      <c r="Q8715" s="25"/>
      <c r="R8715" s="25"/>
      <c r="S8715" s="25"/>
      <c r="T8715" s="141"/>
      <c r="U8715" s="28"/>
    </row>
    <row r="8716" ht="15.75" customHeight="1">
      <c r="P8716" s="25"/>
      <c r="Q8716" s="25"/>
      <c r="R8716" s="25"/>
      <c r="S8716" s="25"/>
      <c r="T8716" s="141"/>
      <c r="U8716" s="28"/>
    </row>
    <row r="8717" ht="15.75" customHeight="1">
      <c r="P8717" s="25"/>
      <c r="Q8717" s="25"/>
      <c r="R8717" s="25"/>
      <c r="S8717" s="25"/>
      <c r="T8717" s="141"/>
      <c r="U8717" s="28"/>
    </row>
    <row r="8718" ht="15.75" customHeight="1">
      <c r="P8718" s="25"/>
      <c r="Q8718" s="25"/>
      <c r="R8718" s="25"/>
      <c r="S8718" s="25"/>
      <c r="T8718" s="141"/>
      <c r="U8718" s="28"/>
    </row>
    <row r="8719" ht="15.75" customHeight="1">
      <c r="P8719" s="25"/>
      <c r="Q8719" s="25"/>
      <c r="R8719" s="25"/>
      <c r="S8719" s="25"/>
      <c r="T8719" s="141"/>
      <c r="U8719" s="28"/>
    </row>
    <row r="8720" ht="15.75" customHeight="1">
      <c r="P8720" s="25"/>
      <c r="Q8720" s="25"/>
      <c r="R8720" s="25"/>
      <c r="S8720" s="25"/>
      <c r="T8720" s="141"/>
      <c r="U8720" s="28"/>
    </row>
    <row r="8721" ht="15.75" customHeight="1">
      <c r="P8721" s="25"/>
      <c r="Q8721" s="25"/>
      <c r="R8721" s="25"/>
      <c r="S8721" s="25"/>
      <c r="T8721" s="141"/>
      <c r="U8721" s="28"/>
    </row>
    <row r="8722" ht="15.75" customHeight="1">
      <c r="P8722" s="25"/>
      <c r="Q8722" s="25"/>
      <c r="R8722" s="25"/>
      <c r="S8722" s="25"/>
      <c r="T8722" s="141"/>
      <c r="U8722" s="28"/>
    </row>
    <row r="8723" ht="15.75" customHeight="1">
      <c r="P8723" s="25"/>
      <c r="Q8723" s="25"/>
      <c r="R8723" s="25"/>
      <c r="S8723" s="25"/>
      <c r="T8723" s="141"/>
      <c r="U8723" s="28"/>
    </row>
    <row r="8724" ht="15.75" customHeight="1">
      <c r="P8724" s="25"/>
      <c r="Q8724" s="25"/>
      <c r="R8724" s="25"/>
      <c r="S8724" s="25"/>
      <c r="T8724" s="141"/>
      <c r="U8724" s="28"/>
    </row>
    <row r="8725" ht="15.75" customHeight="1">
      <c r="P8725" s="25"/>
      <c r="Q8725" s="25"/>
      <c r="R8725" s="25"/>
      <c r="S8725" s="25"/>
      <c r="T8725" s="141"/>
      <c r="U8725" s="28"/>
    </row>
    <row r="8726" ht="15.75" customHeight="1">
      <c r="P8726" s="25"/>
      <c r="Q8726" s="25"/>
      <c r="R8726" s="25"/>
      <c r="S8726" s="25"/>
      <c r="T8726" s="141"/>
      <c r="U8726" s="28"/>
    </row>
    <row r="8727" ht="15.75" customHeight="1">
      <c r="P8727" s="25"/>
      <c r="Q8727" s="25"/>
      <c r="R8727" s="25"/>
      <c r="S8727" s="25"/>
      <c r="T8727" s="141"/>
      <c r="U8727" s="28"/>
    </row>
    <row r="8728" ht="15.75" customHeight="1">
      <c r="P8728" s="25"/>
      <c r="Q8728" s="25"/>
      <c r="R8728" s="25"/>
      <c r="S8728" s="25"/>
      <c r="T8728" s="141"/>
      <c r="U8728" s="28"/>
    </row>
    <row r="8729" ht="15.75" customHeight="1">
      <c r="P8729" s="25"/>
      <c r="Q8729" s="25"/>
      <c r="R8729" s="25"/>
      <c r="S8729" s="25"/>
      <c r="T8729" s="141"/>
      <c r="U8729" s="28"/>
    </row>
    <row r="8730" ht="15.75" customHeight="1">
      <c r="P8730" s="25"/>
      <c r="Q8730" s="25"/>
      <c r="R8730" s="25"/>
      <c r="S8730" s="25"/>
      <c r="T8730" s="141"/>
      <c r="U8730" s="28"/>
    </row>
    <row r="8731" ht="15.75" customHeight="1">
      <c r="P8731" s="25"/>
      <c r="Q8731" s="25"/>
      <c r="R8731" s="25"/>
      <c r="S8731" s="25"/>
      <c r="T8731" s="141"/>
      <c r="U8731" s="28"/>
    </row>
    <row r="8732" ht="15.75" customHeight="1">
      <c r="P8732" s="25"/>
      <c r="Q8732" s="25"/>
      <c r="R8732" s="25"/>
      <c r="S8732" s="25"/>
      <c r="T8732" s="141"/>
      <c r="U8732" s="28"/>
    </row>
    <row r="8733" ht="15.75" customHeight="1">
      <c r="P8733" s="25"/>
      <c r="Q8733" s="25"/>
      <c r="R8733" s="25"/>
      <c r="S8733" s="25"/>
      <c r="T8733" s="141"/>
      <c r="U8733" s="28"/>
    </row>
    <row r="8734" ht="15.75" customHeight="1">
      <c r="P8734" s="25"/>
      <c r="Q8734" s="25"/>
      <c r="R8734" s="25"/>
      <c r="S8734" s="25"/>
      <c r="T8734" s="141"/>
      <c r="U8734" s="28"/>
    </row>
    <row r="8735" ht="15.75" customHeight="1">
      <c r="P8735" s="25"/>
      <c r="Q8735" s="25"/>
      <c r="R8735" s="25"/>
      <c r="S8735" s="25"/>
      <c r="T8735" s="141"/>
      <c r="U8735" s="28"/>
    </row>
    <row r="8736" ht="15.75" customHeight="1">
      <c r="P8736" s="25"/>
      <c r="Q8736" s="25"/>
      <c r="R8736" s="25"/>
      <c r="S8736" s="25"/>
      <c r="T8736" s="141"/>
      <c r="U8736" s="28"/>
    </row>
    <row r="8737" ht="15.75" customHeight="1">
      <c r="P8737" s="25"/>
      <c r="Q8737" s="25"/>
      <c r="R8737" s="25"/>
      <c r="S8737" s="25"/>
      <c r="T8737" s="141"/>
      <c r="U8737" s="28"/>
    </row>
    <row r="8738" ht="15.75" customHeight="1">
      <c r="P8738" s="25"/>
      <c r="Q8738" s="25"/>
      <c r="R8738" s="25"/>
      <c r="S8738" s="25"/>
      <c r="T8738" s="141"/>
      <c r="U8738" s="28"/>
    </row>
    <row r="8739" ht="15.75" customHeight="1">
      <c r="P8739" s="25"/>
      <c r="Q8739" s="25"/>
      <c r="R8739" s="25"/>
      <c r="S8739" s="25"/>
      <c r="T8739" s="141"/>
      <c r="U8739" s="28"/>
    </row>
    <row r="8740" ht="15.75" customHeight="1">
      <c r="P8740" s="25"/>
      <c r="Q8740" s="25"/>
      <c r="R8740" s="25"/>
      <c r="S8740" s="25"/>
      <c r="T8740" s="141"/>
      <c r="U8740" s="28"/>
    </row>
    <row r="8741" ht="15.75" customHeight="1">
      <c r="P8741" s="25"/>
      <c r="Q8741" s="25"/>
      <c r="R8741" s="25"/>
      <c r="S8741" s="25"/>
      <c r="T8741" s="141"/>
      <c r="U8741" s="28"/>
    </row>
    <row r="8742" ht="15.75" customHeight="1">
      <c r="P8742" s="25"/>
      <c r="Q8742" s="25"/>
      <c r="R8742" s="25"/>
      <c r="S8742" s="25"/>
      <c r="T8742" s="141"/>
      <c r="U8742" s="28"/>
    </row>
    <row r="8743" ht="15.75" customHeight="1">
      <c r="P8743" s="25"/>
      <c r="Q8743" s="25"/>
      <c r="R8743" s="25"/>
      <c r="S8743" s="25"/>
      <c r="T8743" s="141"/>
      <c r="U8743" s="28"/>
    </row>
    <row r="8744" ht="15.75" customHeight="1">
      <c r="P8744" s="25"/>
      <c r="Q8744" s="25"/>
      <c r="R8744" s="25"/>
      <c r="S8744" s="25"/>
      <c r="T8744" s="141"/>
      <c r="U8744" s="28"/>
    </row>
    <row r="8745" ht="15.75" customHeight="1">
      <c r="P8745" s="25"/>
      <c r="Q8745" s="25"/>
      <c r="R8745" s="25"/>
      <c r="S8745" s="25"/>
      <c r="T8745" s="141"/>
      <c r="U8745" s="28"/>
    </row>
    <row r="8746" ht="15.75" customHeight="1">
      <c r="P8746" s="25"/>
      <c r="Q8746" s="25"/>
      <c r="R8746" s="25"/>
      <c r="S8746" s="25"/>
      <c r="T8746" s="141"/>
      <c r="U8746" s="28"/>
    </row>
    <row r="8747" ht="15.75" customHeight="1">
      <c r="P8747" s="25"/>
      <c r="Q8747" s="25"/>
      <c r="R8747" s="25"/>
      <c r="S8747" s="25"/>
      <c r="T8747" s="141"/>
      <c r="U8747" s="28"/>
    </row>
    <row r="8748" ht="15.75" customHeight="1">
      <c r="P8748" s="25"/>
      <c r="Q8748" s="25"/>
      <c r="R8748" s="25"/>
      <c r="S8748" s="25"/>
      <c r="T8748" s="141"/>
      <c r="U8748" s="28"/>
    </row>
    <row r="8749" ht="15.75" customHeight="1">
      <c r="P8749" s="25"/>
      <c r="Q8749" s="25"/>
      <c r="R8749" s="25"/>
      <c r="S8749" s="25"/>
      <c r="T8749" s="141"/>
      <c r="U8749" s="28"/>
    </row>
    <row r="8750" ht="15.75" customHeight="1">
      <c r="P8750" s="25"/>
      <c r="Q8750" s="25"/>
      <c r="R8750" s="25"/>
      <c r="S8750" s="25"/>
      <c r="T8750" s="141"/>
      <c r="U8750" s="28"/>
    </row>
    <row r="8751" ht="15.75" customHeight="1">
      <c r="P8751" s="25"/>
      <c r="Q8751" s="25"/>
      <c r="R8751" s="25"/>
      <c r="S8751" s="25"/>
      <c r="T8751" s="141"/>
      <c r="U8751" s="28"/>
    </row>
    <row r="8752" ht="15.75" customHeight="1">
      <c r="P8752" s="25"/>
      <c r="Q8752" s="25"/>
      <c r="R8752" s="25"/>
      <c r="S8752" s="25"/>
      <c r="T8752" s="141"/>
      <c r="U8752" s="28"/>
    </row>
    <row r="8753" ht="15.75" customHeight="1">
      <c r="P8753" s="25"/>
      <c r="Q8753" s="25"/>
      <c r="R8753" s="25"/>
      <c r="S8753" s="25"/>
      <c r="T8753" s="141"/>
      <c r="U8753" s="28"/>
    </row>
    <row r="8754" ht="15.75" customHeight="1">
      <c r="P8754" s="25"/>
      <c r="Q8754" s="25"/>
      <c r="R8754" s="25"/>
      <c r="S8754" s="25"/>
      <c r="T8754" s="141"/>
      <c r="U8754" s="28"/>
    </row>
    <row r="8755" ht="15.75" customHeight="1">
      <c r="P8755" s="25"/>
      <c r="Q8755" s="25"/>
      <c r="R8755" s="25"/>
      <c r="S8755" s="25"/>
      <c r="T8755" s="141"/>
      <c r="U8755" s="28"/>
    </row>
    <row r="8756" ht="15.75" customHeight="1">
      <c r="P8756" s="25"/>
      <c r="Q8756" s="25"/>
      <c r="R8756" s="25"/>
      <c r="S8756" s="25"/>
      <c r="T8756" s="141"/>
      <c r="U8756" s="28"/>
    </row>
    <row r="8757" ht="15.75" customHeight="1">
      <c r="P8757" s="25"/>
      <c r="Q8757" s="25"/>
      <c r="R8757" s="25"/>
      <c r="S8757" s="25"/>
      <c r="T8757" s="141"/>
      <c r="U8757" s="28"/>
    </row>
    <row r="8758" ht="15.75" customHeight="1">
      <c r="P8758" s="25"/>
      <c r="Q8758" s="25"/>
      <c r="R8758" s="25"/>
      <c r="S8758" s="25"/>
      <c r="T8758" s="141"/>
      <c r="U8758" s="28"/>
    </row>
    <row r="8759" ht="15.75" customHeight="1">
      <c r="P8759" s="25"/>
      <c r="Q8759" s="25"/>
      <c r="R8759" s="25"/>
      <c r="S8759" s="25"/>
      <c r="T8759" s="141"/>
      <c r="U8759" s="28"/>
    </row>
    <row r="8760" ht="15.75" customHeight="1">
      <c r="P8760" s="25"/>
      <c r="Q8760" s="25"/>
      <c r="R8760" s="25"/>
      <c r="S8760" s="25"/>
      <c r="T8760" s="141"/>
      <c r="U8760" s="28"/>
    </row>
    <row r="8761" ht="15.75" customHeight="1">
      <c r="P8761" s="25"/>
      <c r="Q8761" s="25"/>
      <c r="R8761" s="25"/>
      <c r="S8761" s="25"/>
      <c r="T8761" s="141"/>
      <c r="U8761" s="28"/>
    </row>
    <row r="8762" ht="15.75" customHeight="1">
      <c r="P8762" s="25"/>
      <c r="Q8762" s="25"/>
      <c r="R8762" s="25"/>
      <c r="S8762" s="25"/>
      <c r="T8762" s="141"/>
      <c r="U8762" s="28"/>
    </row>
    <row r="8763" ht="15.75" customHeight="1">
      <c r="P8763" s="25"/>
      <c r="Q8763" s="25"/>
      <c r="R8763" s="25"/>
      <c r="S8763" s="25"/>
      <c r="T8763" s="141"/>
      <c r="U8763" s="28"/>
    </row>
    <row r="8764" ht="15.75" customHeight="1">
      <c r="P8764" s="25"/>
      <c r="Q8764" s="25"/>
      <c r="R8764" s="25"/>
      <c r="S8764" s="25"/>
      <c r="T8764" s="141"/>
      <c r="U8764" s="28"/>
    </row>
    <row r="8765" ht="15.75" customHeight="1">
      <c r="P8765" s="25"/>
      <c r="Q8765" s="25"/>
      <c r="R8765" s="25"/>
      <c r="S8765" s="25"/>
      <c r="T8765" s="141"/>
      <c r="U8765" s="28"/>
    </row>
    <row r="8766" ht="15.75" customHeight="1">
      <c r="P8766" s="25"/>
      <c r="Q8766" s="25"/>
      <c r="R8766" s="25"/>
      <c r="S8766" s="25"/>
      <c r="T8766" s="141"/>
      <c r="U8766" s="28"/>
    </row>
    <row r="8767" ht="15.75" customHeight="1">
      <c r="P8767" s="25"/>
      <c r="Q8767" s="25"/>
      <c r="R8767" s="25"/>
      <c r="S8767" s="25"/>
      <c r="T8767" s="141"/>
      <c r="U8767" s="28"/>
    </row>
    <row r="8768" ht="15.75" customHeight="1">
      <c r="P8768" s="25"/>
      <c r="Q8768" s="25"/>
      <c r="R8768" s="25"/>
      <c r="S8768" s="25"/>
      <c r="T8768" s="141"/>
      <c r="U8768" s="28"/>
    </row>
    <row r="8769" ht="15.75" customHeight="1">
      <c r="P8769" s="25"/>
      <c r="Q8769" s="25"/>
      <c r="R8769" s="25"/>
      <c r="S8769" s="25"/>
      <c r="T8769" s="141"/>
      <c r="U8769" s="28"/>
    </row>
    <row r="8770" ht="15.75" customHeight="1">
      <c r="P8770" s="25"/>
      <c r="Q8770" s="25"/>
      <c r="R8770" s="25"/>
      <c r="S8770" s="25"/>
      <c r="T8770" s="141"/>
      <c r="U8770" s="28"/>
    </row>
    <row r="8771" ht="15.75" customHeight="1">
      <c r="P8771" s="25"/>
      <c r="Q8771" s="25"/>
      <c r="R8771" s="25"/>
      <c r="S8771" s="25"/>
      <c r="T8771" s="141"/>
      <c r="U8771" s="28"/>
    </row>
    <row r="8772" ht="15.75" customHeight="1">
      <c r="P8772" s="25"/>
      <c r="Q8772" s="25"/>
      <c r="R8772" s="25"/>
      <c r="S8772" s="25"/>
      <c r="T8772" s="141"/>
      <c r="U8772" s="28"/>
    </row>
    <row r="8773" ht="15.75" customHeight="1">
      <c r="P8773" s="25"/>
      <c r="Q8773" s="25"/>
      <c r="R8773" s="25"/>
      <c r="S8773" s="25"/>
      <c r="T8773" s="141"/>
      <c r="U8773" s="28"/>
    </row>
    <row r="8774" ht="15.75" customHeight="1">
      <c r="P8774" s="25"/>
      <c r="Q8774" s="25"/>
      <c r="R8774" s="25"/>
      <c r="S8774" s="25"/>
      <c r="T8774" s="141"/>
      <c r="U8774" s="28"/>
    </row>
    <row r="8775" ht="15.75" customHeight="1">
      <c r="P8775" s="25"/>
      <c r="Q8775" s="25"/>
      <c r="R8775" s="25"/>
      <c r="S8775" s="25"/>
      <c r="T8775" s="141"/>
      <c r="U8775" s="28"/>
    </row>
    <row r="8776" ht="15.75" customHeight="1">
      <c r="P8776" s="25"/>
      <c r="Q8776" s="25"/>
      <c r="R8776" s="25"/>
      <c r="S8776" s="25"/>
      <c r="T8776" s="141"/>
      <c r="U8776" s="28"/>
    </row>
    <row r="8777" ht="15.75" customHeight="1">
      <c r="P8777" s="25"/>
      <c r="Q8777" s="25"/>
      <c r="R8777" s="25"/>
      <c r="S8777" s="25"/>
      <c r="T8777" s="141"/>
      <c r="U8777" s="28"/>
    </row>
    <row r="8778" ht="15.75" customHeight="1">
      <c r="P8778" s="25"/>
      <c r="Q8778" s="25"/>
      <c r="R8778" s="25"/>
      <c r="S8778" s="25"/>
      <c r="T8778" s="141"/>
      <c r="U8778" s="28"/>
    </row>
    <row r="8779" ht="15.75" customHeight="1">
      <c r="P8779" s="25"/>
      <c r="Q8779" s="25"/>
      <c r="R8779" s="25"/>
      <c r="S8779" s="25"/>
      <c r="T8779" s="141"/>
      <c r="U8779" s="28"/>
    </row>
    <row r="8780" ht="15.75" customHeight="1">
      <c r="P8780" s="25"/>
      <c r="Q8780" s="25"/>
      <c r="R8780" s="25"/>
      <c r="S8780" s="25"/>
      <c r="T8780" s="141"/>
      <c r="U8780" s="28"/>
    </row>
    <row r="8781" ht="15.75" customHeight="1">
      <c r="P8781" s="25"/>
      <c r="Q8781" s="25"/>
      <c r="R8781" s="25"/>
      <c r="S8781" s="25"/>
      <c r="T8781" s="141"/>
      <c r="U8781" s="28"/>
    </row>
    <row r="8782" ht="15.75" customHeight="1">
      <c r="P8782" s="25"/>
      <c r="Q8782" s="25"/>
      <c r="R8782" s="25"/>
      <c r="S8782" s="25"/>
      <c r="T8782" s="141"/>
      <c r="U8782" s="28"/>
    </row>
    <row r="8783" ht="15.75" customHeight="1">
      <c r="P8783" s="25"/>
      <c r="Q8783" s="25"/>
      <c r="R8783" s="25"/>
      <c r="S8783" s="25"/>
      <c r="T8783" s="141"/>
      <c r="U8783" s="28"/>
    </row>
    <row r="8784" ht="15.75" customHeight="1">
      <c r="P8784" s="25"/>
      <c r="Q8784" s="25"/>
      <c r="R8784" s="25"/>
      <c r="S8784" s="25"/>
      <c r="T8784" s="141"/>
      <c r="U8784" s="28"/>
    </row>
    <row r="8785" ht="15.75" customHeight="1">
      <c r="P8785" s="25"/>
      <c r="Q8785" s="25"/>
      <c r="R8785" s="25"/>
      <c r="S8785" s="25"/>
      <c r="T8785" s="141"/>
      <c r="U8785" s="28"/>
    </row>
    <row r="8786" ht="15.75" customHeight="1">
      <c r="P8786" s="25"/>
      <c r="Q8786" s="25"/>
      <c r="R8786" s="25"/>
      <c r="S8786" s="25"/>
      <c r="T8786" s="141"/>
      <c r="U8786" s="28"/>
    </row>
    <row r="8787" ht="15.75" customHeight="1">
      <c r="P8787" s="25"/>
      <c r="Q8787" s="25"/>
      <c r="R8787" s="25"/>
      <c r="S8787" s="25"/>
      <c r="T8787" s="141"/>
      <c r="U8787" s="28"/>
    </row>
    <row r="8788" ht="15.75" customHeight="1">
      <c r="P8788" s="25"/>
      <c r="Q8788" s="25"/>
      <c r="R8788" s="25"/>
      <c r="S8788" s="25"/>
      <c r="T8788" s="141"/>
      <c r="U8788" s="28"/>
    </row>
    <row r="8789" ht="15.75" customHeight="1">
      <c r="P8789" s="25"/>
      <c r="Q8789" s="25"/>
      <c r="R8789" s="25"/>
      <c r="S8789" s="25"/>
      <c r="T8789" s="141"/>
      <c r="U8789" s="28"/>
    </row>
    <row r="8790" ht="15.75" customHeight="1">
      <c r="P8790" s="25"/>
      <c r="Q8790" s="25"/>
      <c r="R8790" s="25"/>
      <c r="S8790" s="25"/>
      <c r="T8790" s="141"/>
      <c r="U8790" s="28"/>
    </row>
    <row r="8791" ht="15.75" customHeight="1">
      <c r="P8791" s="25"/>
      <c r="Q8791" s="25"/>
      <c r="R8791" s="25"/>
      <c r="S8791" s="25"/>
      <c r="T8791" s="141"/>
      <c r="U8791" s="28"/>
    </row>
    <row r="8792" ht="15.75" customHeight="1">
      <c r="P8792" s="25"/>
      <c r="Q8792" s="25"/>
      <c r="R8792" s="25"/>
      <c r="S8792" s="25"/>
      <c r="T8792" s="141"/>
      <c r="U8792" s="28"/>
    </row>
    <row r="8793" ht="15.75" customHeight="1">
      <c r="P8793" s="25"/>
      <c r="Q8793" s="25"/>
      <c r="R8793" s="25"/>
      <c r="S8793" s="25"/>
      <c r="T8793" s="141"/>
      <c r="U8793" s="28"/>
    </row>
    <row r="8794" ht="15.75" customHeight="1">
      <c r="P8794" s="25"/>
      <c r="Q8794" s="25"/>
      <c r="R8794" s="25"/>
      <c r="S8794" s="25"/>
      <c r="T8794" s="141"/>
      <c r="U8794" s="28"/>
    </row>
    <row r="8795" ht="15.75" customHeight="1">
      <c r="P8795" s="25"/>
      <c r="Q8795" s="25"/>
      <c r="R8795" s="25"/>
      <c r="S8795" s="25"/>
      <c r="T8795" s="141"/>
      <c r="U8795" s="28"/>
    </row>
    <row r="8796" ht="15.75" customHeight="1">
      <c r="P8796" s="25"/>
      <c r="Q8796" s="25"/>
      <c r="R8796" s="25"/>
      <c r="S8796" s="25"/>
      <c r="T8796" s="141"/>
      <c r="U8796" s="28"/>
    </row>
    <row r="8797" ht="15.75" customHeight="1">
      <c r="P8797" s="25"/>
      <c r="Q8797" s="25"/>
      <c r="R8797" s="25"/>
      <c r="S8797" s="25"/>
      <c r="T8797" s="141"/>
      <c r="U8797" s="28"/>
    </row>
    <row r="8798" ht="15.75" customHeight="1">
      <c r="P8798" s="25"/>
      <c r="Q8798" s="25"/>
      <c r="R8798" s="25"/>
      <c r="S8798" s="25"/>
      <c r="T8798" s="141"/>
      <c r="U8798" s="28"/>
    </row>
    <row r="8799" ht="15.75" customHeight="1">
      <c r="P8799" s="25"/>
      <c r="Q8799" s="25"/>
      <c r="R8799" s="25"/>
      <c r="S8799" s="25"/>
      <c r="T8799" s="141"/>
      <c r="U8799" s="28"/>
    </row>
    <row r="8800" ht="15.75" customHeight="1">
      <c r="P8800" s="25"/>
      <c r="Q8800" s="25"/>
      <c r="R8800" s="25"/>
      <c r="S8800" s="25"/>
      <c r="T8800" s="141"/>
      <c r="U8800" s="28"/>
    </row>
    <row r="8801" ht="15.75" customHeight="1">
      <c r="P8801" s="25"/>
      <c r="Q8801" s="25"/>
      <c r="R8801" s="25"/>
      <c r="S8801" s="25"/>
      <c r="T8801" s="141"/>
      <c r="U8801" s="28"/>
    </row>
    <row r="8802" ht="15.75" customHeight="1">
      <c r="P8802" s="25"/>
      <c r="Q8802" s="25"/>
      <c r="R8802" s="25"/>
      <c r="S8802" s="25"/>
      <c r="T8802" s="141"/>
      <c r="U8802" s="28"/>
    </row>
    <row r="8803" ht="15.75" customHeight="1">
      <c r="P8803" s="25"/>
      <c r="Q8803" s="25"/>
      <c r="R8803" s="25"/>
      <c r="S8803" s="25"/>
      <c r="T8803" s="141"/>
      <c r="U8803" s="28"/>
    </row>
    <row r="8804" ht="15.75" customHeight="1">
      <c r="P8804" s="25"/>
      <c r="Q8804" s="25"/>
      <c r="R8804" s="25"/>
      <c r="S8804" s="25"/>
      <c r="T8804" s="141"/>
      <c r="U8804" s="28"/>
    </row>
    <row r="8805" ht="15.75" customHeight="1">
      <c r="P8805" s="25"/>
      <c r="Q8805" s="25"/>
      <c r="R8805" s="25"/>
      <c r="S8805" s="25"/>
      <c r="T8805" s="141"/>
      <c r="U8805" s="28"/>
    </row>
    <row r="8806" ht="15.75" customHeight="1">
      <c r="P8806" s="25"/>
      <c r="Q8806" s="25"/>
      <c r="R8806" s="25"/>
      <c r="S8806" s="25"/>
      <c r="T8806" s="141"/>
      <c r="U8806" s="28"/>
    </row>
    <row r="8807" ht="15.75" customHeight="1">
      <c r="P8807" s="25"/>
      <c r="Q8807" s="25"/>
      <c r="R8807" s="25"/>
      <c r="S8807" s="25"/>
      <c r="T8807" s="141"/>
      <c r="U8807" s="28"/>
    </row>
    <row r="8808" ht="15.75" customHeight="1">
      <c r="P8808" s="25"/>
      <c r="Q8808" s="25"/>
      <c r="R8808" s="25"/>
      <c r="S8808" s="25"/>
      <c r="T8808" s="141"/>
      <c r="U8808" s="28"/>
    </row>
    <row r="8809" ht="15.75" customHeight="1">
      <c r="P8809" s="25"/>
      <c r="Q8809" s="25"/>
      <c r="R8809" s="25"/>
      <c r="S8809" s="25"/>
      <c r="T8809" s="141"/>
      <c r="U8809" s="28"/>
    </row>
    <row r="8810" ht="15.75" customHeight="1">
      <c r="P8810" s="25"/>
      <c r="Q8810" s="25"/>
      <c r="R8810" s="25"/>
      <c r="S8810" s="25"/>
      <c r="T8810" s="141"/>
      <c r="U8810" s="28"/>
    </row>
    <row r="8811" ht="15.75" customHeight="1">
      <c r="P8811" s="25"/>
      <c r="Q8811" s="25"/>
      <c r="R8811" s="25"/>
      <c r="S8811" s="25"/>
      <c r="T8811" s="141"/>
      <c r="U8811" s="28"/>
    </row>
    <row r="8812" ht="15.75" customHeight="1">
      <c r="P8812" s="25"/>
      <c r="Q8812" s="25"/>
      <c r="R8812" s="25"/>
      <c r="S8812" s="25"/>
      <c r="T8812" s="141"/>
      <c r="U8812" s="28"/>
    </row>
    <row r="8813" ht="15.75" customHeight="1">
      <c r="P8813" s="25"/>
      <c r="Q8813" s="25"/>
      <c r="R8813" s="25"/>
      <c r="S8813" s="25"/>
      <c r="T8813" s="141"/>
      <c r="U8813" s="28"/>
    </row>
    <row r="8814" ht="15.75" customHeight="1">
      <c r="P8814" s="25"/>
      <c r="Q8814" s="25"/>
      <c r="R8814" s="25"/>
      <c r="S8814" s="25"/>
      <c r="T8814" s="141"/>
      <c r="U8814" s="28"/>
    </row>
    <row r="8815" ht="15.75" customHeight="1">
      <c r="P8815" s="25"/>
      <c r="Q8815" s="25"/>
      <c r="R8815" s="25"/>
      <c r="S8815" s="25"/>
      <c r="T8815" s="141"/>
      <c r="U8815" s="28"/>
    </row>
    <row r="8816" ht="15.75" customHeight="1">
      <c r="P8816" s="25"/>
      <c r="Q8816" s="25"/>
      <c r="R8816" s="25"/>
      <c r="S8816" s="25"/>
      <c r="T8816" s="141"/>
      <c r="U8816" s="28"/>
    </row>
    <row r="8817" ht="15.75" customHeight="1">
      <c r="P8817" s="25"/>
      <c r="Q8817" s="25"/>
      <c r="R8817" s="25"/>
      <c r="S8817" s="25"/>
      <c r="T8817" s="141"/>
      <c r="U8817" s="28"/>
    </row>
    <row r="8818" ht="15.75" customHeight="1">
      <c r="P8818" s="25"/>
      <c r="Q8818" s="25"/>
      <c r="R8818" s="25"/>
      <c r="S8818" s="25"/>
      <c r="T8818" s="141"/>
      <c r="U8818" s="28"/>
    </row>
    <row r="8819" ht="15.75" customHeight="1">
      <c r="P8819" s="25"/>
      <c r="Q8819" s="25"/>
      <c r="R8819" s="25"/>
      <c r="S8819" s="25"/>
      <c r="T8819" s="141"/>
      <c r="U8819" s="28"/>
    </row>
    <row r="8820" ht="15.75" customHeight="1">
      <c r="P8820" s="25"/>
      <c r="Q8820" s="25"/>
      <c r="R8820" s="25"/>
      <c r="S8820" s="25"/>
      <c r="T8820" s="141"/>
      <c r="U8820" s="28"/>
    </row>
    <row r="8821" ht="15.75" customHeight="1">
      <c r="P8821" s="25"/>
      <c r="Q8821" s="25"/>
      <c r="R8821" s="25"/>
      <c r="S8821" s="25"/>
      <c r="T8821" s="141"/>
      <c r="U8821" s="28"/>
    </row>
    <row r="8822" ht="15.75" customHeight="1">
      <c r="P8822" s="25"/>
      <c r="Q8822" s="25"/>
      <c r="R8822" s="25"/>
      <c r="S8822" s="25"/>
      <c r="T8822" s="141"/>
      <c r="U8822" s="28"/>
    </row>
    <row r="8823" ht="15.75" customHeight="1">
      <c r="P8823" s="25"/>
      <c r="Q8823" s="25"/>
      <c r="R8823" s="25"/>
      <c r="S8823" s="25"/>
      <c r="T8823" s="141"/>
      <c r="U8823" s="28"/>
    </row>
    <row r="8824" ht="15.75" customHeight="1">
      <c r="P8824" s="25"/>
      <c r="Q8824" s="25"/>
      <c r="R8824" s="25"/>
      <c r="S8824" s="25"/>
      <c r="T8824" s="141"/>
      <c r="U8824" s="28"/>
    </row>
    <row r="8825" ht="15.75" customHeight="1">
      <c r="P8825" s="25"/>
      <c r="Q8825" s="25"/>
      <c r="R8825" s="25"/>
      <c r="S8825" s="25"/>
      <c r="T8825" s="141"/>
      <c r="U8825" s="28"/>
    </row>
    <row r="8826" ht="15.75" customHeight="1">
      <c r="P8826" s="25"/>
      <c r="Q8826" s="25"/>
      <c r="R8826" s="25"/>
      <c r="S8826" s="25"/>
      <c r="T8826" s="141"/>
      <c r="U8826" s="28"/>
    </row>
    <row r="8827" ht="15.75" customHeight="1">
      <c r="P8827" s="25"/>
      <c r="Q8827" s="25"/>
      <c r="R8827" s="25"/>
      <c r="S8827" s="25"/>
      <c r="T8827" s="141"/>
      <c r="U8827" s="28"/>
    </row>
    <row r="8828" ht="15.75" customHeight="1">
      <c r="P8828" s="25"/>
      <c r="Q8828" s="25"/>
      <c r="R8828" s="25"/>
      <c r="S8828" s="25"/>
      <c r="T8828" s="141"/>
      <c r="U8828" s="28"/>
    </row>
    <row r="8829" ht="15.75" customHeight="1">
      <c r="P8829" s="25"/>
      <c r="Q8829" s="25"/>
      <c r="R8829" s="25"/>
      <c r="S8829" s="25"/>
      <c r="T8829" s="141"/>
      <c r="U8829" s="28"/>
    </row>
    <row r="8830" ht="15.75" customHeight="1">
      <c r="P8830" s="25"/>
      <c r="Q8830" s="25"/>
      <c r="R8830" s="25"/>
      <c r="S8830" s="25"/>
      <c r="T8830" s="141"/>
      <c r="U8830" s="28"/>
    </row>
    <row r="8831" ht="15.75" customHeight="1">
      <c r="P8831" s="25"/>
      <c r="Q8831" s="25"/>
      <c r="R8831" s="25"/>
      <c r="S8831" s="25"/>
      <c r="T8831" s="141"/>
      <c r="U8831" s="28"/>
    </row>
    <row r="8832" ht="15.75" customHeight="1">
      <c r="P8832" s="25"/>
      <c r="Q8832" s="25"/>
      <c r="R8832" s="25"/>
      <c r="S8832" s="25"/>
      <c r="T8832" s="141"/>
      <c r="U8832" s="28"/>
    </row>
    <row r="8833" ht="15.75" customHeight="1">
      <c r="P8833" s="25"/>
      <c r="Q8833" s="25"/>
      <c r="R8833" s="25"/>
      <c r="S8833" s="25"/>
      <c r="T8833" s="141"/>
      <c r="U8833" s="28"/>
    </row>
    <row r="8834" ht="15.75" customHeight="1">
      <c r="P8834" s="25"/>
      <c r="Q8834" s="25"/>
      <c r="R8834" s="25"/>
      <c r="S8834" s="25"/>
      <c r="T8834" s="141"/>
      <c r="U8834" s="28"/>
    </row>
    <row r="8835" ht="15.75" customHeight="1">
      <c r="P8835" s="25"/>
      <c r="Q8835" s="25"/>
      <c r="R8835" s="25"/>
      <c r="S8835" s="25"/>
      <c r="T8835" s="141"/>
      <c r="U8835" s="28"/>
    </row>
    <row r="8836" ht="15.75" customHeight="1">
      <c r="P8836" s="25"/>
      <c r="Q8836" s="25"/>
      <c r="R8836" s="25"/>
      <c r="S8836" s="25"/>
      <c r="T8836" s="141"/>
      <c r="U8836" s="28"/>
    </row>
    <row r="8837" ht="15.75" customHeight="1">
      <c r="P8837" s="25"/>
      <c r="Q8837" s="25"/>
      <c r="R8837" s="25"/>
      <c r="S8837" s="25"/>
      <c r="T8837" s="141"/>
      <c r="U8837" s="28"/>
    </row>
    <row r="8838" ht="15.75" customHeight="1">
      <c r="P8838" s="25"/>
      <c r="Q8838" s="25"/>
      <c r="R8838" s="25"/>
      <c r="S8838" s="25"/>
      <c r="T8838" s="141"/>
      <c r="U8838" s="28"/>
    </row>
    <row r="8839" ht="15.75" customHeight="1">
      <c r="P8839" s="25"/>
      <c r="Q8839" s="25"/>
      <c r="R8839" s="25"/>
      <c r="S8839" s="25"/>
      <c r="T8839" s="141"/>
      <c r="U8839" s="28"/>
    </row>
    <row r="8840" ht="15.75" customHeight="1">
      <c r="P8840" s="25"/>
      <c r="Q8840" s="25"/>
      <c r="R8840" s="25"/>
      <c r="S8840" s="25"/>
      <c r="T8840" s="141"/>
      <c r="U8840" s="28"/>
    </row>
    <row r="8841" ht="15.75" customHeight="1">
      <c r="P8841" s="25"/>
      <c r="Q8841" s="25"/>
      <c r="R8841" s="25"/>
      <c r="S8841" s="25"/>
      <c r="T8841" s="141"/>
      <c r="U8841" s="28"/>
    </row>
    <row r="8842" ht="15.75" customHeight="1">
      <c r="P8842" s="25"/>
      <c r="Q8842" s="25"/>
      <c r="R8842" s="25"/>
      <c r="S8842" s="25"/>
      <c r="T8842" s="141"/>
      <c r="U8842" s="28"/>
    </row>
    <row r="8843" ht="15.75" customHeight="1">
      <c r="P8843" s="25"/>
      <c r="Q8843" s="25"/>
      <c r="R8843" s="25"/>
      <c r="S8843" s="25"/>
      <c r="T8843" s="141"/>
      <c r="U8843" s="28"/>
    </row>
    <row r="8844" ht="15.75" customHeight="1">
      <c r="P8844" s="25"/>
      <c r="Q8844" s="25"/>
      <c r="R8844" s="25"/>
      <c r="S8844" s="25"/>
      <c r="T8844" s="141"/>
      <c r="U8844" s="28"/>
    </row>
    <row r="8845" ht="15.75" customHeight="1">
      <c r="P8845" s="25"/>
      <c r="Q8845" s="25"/>
      <c r="R8845" s="25"/>
      <c r="S8845" s="25"/>
      <c r="T8845" s="141"/>
      <c r="U8845" s="28"/>
    </row>
    <row r="8846" ht="15.75" customHeight="1">
      <c r="P8846" s="25"/>
      <c r="Q8846" s="25"/>
      <c r="R8846" s="25"/>
      <c r="S8846" s="25"/>
      <c r="T8846" s="141"/>
      <c r="U8846" s="28"/>
    </row>
    <row r="8847" ht="15.75" customHeight="1">
      <c r="P8847" s="25"/>
      <c r="Q8847" s="25"/>
      <c r="R8847" s="25"/>
      <c r="S8847" s="25"/>
      <c r="T8847" s="141"/>
      <c r="U8847" s="28"/>
    </row>
    <row r="8848" ht="15.75" customHeight="1">
      <c r="P8848" s="25"/>
      <c r="Q8848" s="25"/>
      <c r="R8848" s="25"/>
      <c r="S8848" s="25"/>
      <c r="T8848" s="141"/>
      <c r="U8848" s="28"/>
    </row>
    <row r="8849" ht="15.75" customHeight="1">
      <c r="P8849" s="25"/>
      <c r="Q8849" s="25"/>
      <c r="R8849" s="25"/>
      <c r="S8849" s="25"/>
      <c r="T8849" s="141"/>
      <c r="U8849" s="28"/>
    </row>
    <row r="8850" ht="15.75" customHeight="1">
      <c r="P8850" s="25"/>
      <c r="Q8850" s="25"/>
      <c r="R8850" s="25"/>
      <c r="S8850" s="25"/>
      <c r="T8850" s="141"/>
      <c r="U8850" s="28"/>
    </row>
    <row r="8851" ht="15.75" customHeight="1">
      <c r="P8851" s="25"/>
      <c r="Q8851" s="25"/>
      <c r="R8851" s="25"/>
      <c r="S8851" s="25"/>
      <c r="T8851" s="141"/>
      <c r="U8851" s="28"/>
    </row>
    <row r="8852" ht="15.75" customHeight="1">
      <c r="P8852" s="25"/>
      <c r="Q8852" s="25"/>
      <c r="R8852" s="25"/>
      <c r="S8852" s="25"/>
      <c r="T8852" s="141"/>
      <c r="U8852" s="28"/>
    </row>
    <row r="8853" ht="15.75" customHeight="1">
      <c r="P8853" s="25"/>
      <c r="Q8853" s="25"/>
      <c r="R8853" s="25"/>
      <c r="S8853" s="25"/>
      <c r="T8853" s="141"/>
      <c r="U8853" s="28"/>
    </row>
    <row r="8854" ht="15.75" customHeight="1">
      <c r="P8854" s="25"/>
      <c r="Q8854" s="25"/>
      <c r="R8854" s="25"/>
      <c r="S8854" s="25"/>
      <c r="T8854" s="141"/>
      <c r="U8854" s="28"/>
    </row>
    <row r="8855" ht="15.75" customHeight="1">
      <c r="P8855" s="25"/>
      <c r="Q8855" s="25"/>
      <c r="R8855" s="25"/>
      <c r="S8855" s="25"/>
      <c r="T8855" s="141"/>
      <c r="U8855" s="28"/>
    </row>
    <row r="8856" ht="15.75" customHeight="1">
      <c r="P8856" s="25"/>
      <c r="Q8856" s="25"/>
      <c r="R8856" s="25"/>
      <c r="S8856" s="25"/>
      <c r="T8856" s="141"/>
      <c r="U8856" s="28"/>
    </row>
    <row r="8857" ht="15.75" customHeight="1">
      <c r="P8857" s="25"/>
      <c r="Q8857" s="25"/>
      <c r="R8857" s="25"/>
      <c r="S8857" s="25"/>
      <c r="T8857" s="141"/>
      <c r="U8857" s="28"/>
    </row>
    <row r="8858" ht="15.75" customHeight="1">
      <c r="P8858" s="25"/>
      <c r="Q8858" s="25"/>
      <c r="R8858" s="25"/>
      <c r="S8858" s="25"/>
      <c r="T8858" s="141"/>
      <c r="U8858" s="28"/>
    </row>
    <row r="8859" ht="15.75" customHeight="1">
      <c r="P8859" s="25"/>
      <c r="Q8859" s="25"/>
      <c r="R8859" s="25"/>
      <c r="S8859" s="25"/>
      <c r="T8859" s="141"/>
      <c r="U8859" s="28"/>
    </row>
    <row r="8860" ht="15.75" customHeight="1">
      <c r="P8860" s="25"/>
      <c r="Q8860" s="25"/>
      <c r="R8860" s="25"/>
      <c r="S8860" s="25"/>
      <c r="T8860" s="141"/>
      <c r="U8860" s="28"/>
    </row>
    <row r="8861" ht="15.75" customHeight="1">
      <c r="P8861" s="25"/>
      <c r="Q8861" s="25"/>
      <c r="R8861" s="25"/>
      <c r="S8861" s="25"/>
      <c r="T8861" s="141"/>
      <c r="U8861" s="28"/>
    </row>
    <row r="8862" ht="15.75" customHeight="1">
      <c r="P8862" s="25"/>
      <c r="Q8862" s="25"/>
      <c r="R8862" s="25"/>
      <c r="S8862" s="25"/>
      <c r="T8862" s="141"/>
      <c r="U8862" s="28"/>
    </row>
    <row r="8863" ht="15.75" customHeight="1">
      <c r="P8863" s="25"/>
      <c r="Q8863" s="25"/>
      <c r="R8863" s="25"/>
      <c r="S8863" s="25"/>
      <c r="T8863" s="141"/>
      <c r="U8863" s="28"/>
    </row>
    <row r="8864" ht="15.75" customHeight="1">
      <c r="P8864" s="25"/>
      <c r="Q8864" s="25"/>
      <c r="R8864" s="25"/>
      <c r="S8864" s="25"/>
      <c r="T8864" s="141"/>
      <c r="U8864" s="28"/>
    </row>
    <row r="8865" ht="15.75" customHeight="1">
      <c r="P8865" s="25"/>
      <c r="Q8865" s="25"/>
      <c r="R8865" s="25"/>
      <c r="S8865" s="25"/>
      <c r="T8865" s="141"/>
      <c r="U8865" s="28"/>
    </row>
    <row r="8866" ht="15.75" customHeight="1">
      <c r="P8866" s="25"/>
      <c r="Q8866" s="25"/>
      <c r="R8866" s="25"/>
      <c r="S8866" s="25"/>
      <c r="T8866" s="141"/>
      <c r="U8866" s="28"/>
    </row>
    <row r="8867" ht="15.75" customHeight="1">
      <c r="P8867" s="25"/>
      <c r="Q8867" s="25"/>
      <c r="R8867" s="25"/>
      <c r="S8867" s="25"/>
      <c r="T8867" s="141"/>
      <c r="U8867" s="28"/>
    </row>
    <row r="8868" ht="15.75" customHeight="1">
      <c r="P8868" s="25"/>
      <c r="Q8868" s="25"/>
      <c r="R8868" s="25"/>
      <c r="S8868" s="25"/>
      <c r="T8868" s="141"/>
      <c r="U8868" s="28"/>
    </row>
    <row r="8869" ht="15.75" customHeight="1">
      <c r="P8869" s="25"/>
      <c r="Q8869" s="25"/>
      <c r="R8869" s="25"/>
      <c r="S8869" s="25"/>
      <c r="T8869" s="141"/>
      <c r="U8869" s="28"/>
    </row>
    <row r="8870" ht="15.75" customHeight="1">
      <c r="P8870" s="25"/>
      <c r="Q8870" s="25"/>
      <c r="R8870" s="25"/>
      <c r="S8870" s="25"/>
      <c r="T8870" s="141"/>
      <c r="U8870" s="28"/>
    </row>
    <row r="8871" ht="15.75" customHeight="1">
      <c r="P8871" s="25"/>
      <c r="Q8871" s="25"/>
      <c r="R8871" s="25"/>
      <c r="S8871" s="25"/>
      <c r="T8871" s="141"/>
      <c r="U8871" s="28"/>
    </row>
    <row r="8872" ht="15.75" customHeight="1">
      <c r="P8872" s="25"/>
      <c r="Q8872" s="25"/>
      <c r="R8872" s="25"/>
      <c r="S8872" s="25"/>
      <c r="T8872" s="141"/>
      <c r="U8872" s="28"/>
    </row>
    <row r="8873" ht="15.75" customHeight="1">
      <c r="P8873" s="25"/>
      <c r="Q8873" s="25"/>
      <c r="R8873" s="25"/>
      <c r="S8873" s="25"/>
      <c r="T8873" s="141"/>
      <c r="U8873" s="28"/>
    </row>
    <row r="8874" ht="15.75" customHeight="1">
      <c r="P8874" s="25"/>
      <c r="Q8874" s="25"/>
      <c r="R8874" s="25"/>
      <c r="S8874" s="25"/>
      <c r="T8874" s="141"/>
      <c r="U8874" s="28"/>
    </row>
    <row r="8875" ht="15.75" customHeight="1">
      <c r="P8875" s="25"/>
      <c r="Q8875" s="25"/>
      <c r="R8875" s="25"/>
      <c r="S8875" s="25"/>
      <c r="T8875" s="141"/>
      <c r="U8875" s="28"/>
    </row>
    <row r="8876" ht="15.75" customHeight="1">
      <c r="P8876" s="25"/>
      <c r="Q8876" s="25"/>
      <c r="R8876" s="25"/>
      <c r="S8876" s="25"/>
      <c r="T8876" s="141"/>
      <c r="U8876" s="28"/>
    </row>
    <row r="8877" ht="15.75" customHeight="1">
      <c r="P8877" s="25"/>
      <c r="Q8877" s="25"/>
      <c r="R8877" s="25"/>
      <c r="S8877" s="25"/>
      <c r="T8877" s="141"/>
      <c r="U8877" s="28"/>
    </row>
    <row r="8878" ht="15.75" customHeight="1">
      <c r="P8878" s="25"/>
      <c r="Q8878" s="25"/>
      <c r="R8878" s="25"/>
      <c r="S8878" s="25"/>
      <c r="T8878" s="141"/>
      <c r="U8878" s="28"/>
    </row>
    <row r="8879" ht="15.75" customHeight="1">
      <c r="P8879" s="25"/>
      <c r="Q8879" s="25"/>
      <c r="R8879" s="25"/>
      <c r="S8879" s="25"/>
      <c r="T8879" s="141"/>
      <c r="U8879" s="28"/>
    </row>
    <row r="8880" ht="15.75" customHeight="1">
      <c r="P8880" s="25"/>
      <c r="Q8880" s="25"/>
      <c r="R8880" s="25"/>
      <c r="S8880" s="25"/>
      <c r="T8880" s="141"/>
      <c r="U8880" s="28"/>
    </row>
    <row r="8881" ht="15.75" customHeight="1">
      <c r="P8881" s="25"/>
      <c r="Q8881" s="25"/>
      <c r="R8881" s="25"/>
      <c r="S8881" s="25"/>
      <c r="T8881" s="141"/>
      <c r="U8881" s="28"/>
    </row>
    <row r="8882" ht="15.75" customHeight="1">
      <c r="P8882" s="25"/>
      <c r="Q8882" s="25"/>
      <c r="R8882" s="25"/>
      <c r="S8882" s="25"/>
      <c r="T8882" s="141"/>
      <c r="U8882" s="28"/>
    </row>
    <row r="8883" ht="15.75" customHeight="1">
      <c r="P8883" s="25"/>
      <c r="Q8883" s="25"/>
      <c r="R8883" s="25"/>
      <c r="S8883" s="25"/>
      <c r="T8883" s="141"/>
      <c r="U8883" s="28"/>
    </row>
    <row r="8884" ht="15.75" customHeight="1">
      <c r="P8884" s="25"/>
      <c r="Q8884" s="25"/>
      <c r="R8884" s="25"/>
      <c r="S8884" s="25"/>
      <c r="T8884" s="141"/>
      <c r="U8884" s="28"/>
    </row>
    <row r="8885" ht="15.75" customHeight="1">
      <c r="P8885" s="25"/>
      <c r="Q8885" s="25"/>
      <c r="R8885" s="25"/>
      <c r="S8885" s="25"/>
      <c r="T8885" s="141"/>
      <c r="U8885" s="28"/>
    </row>
    <row r="8886" ht="15.75" customHeight="1">
      <c r="P8886" s="25"/>
      <c r="Q8886" s="25"/>
      <c r="R8886" s="25"/>
      <c r="S8886" s="25"/>
      <c r="T8886" s="141"/>
      <c r="U8886" s="28"/>
    </row>
    <row r="8887" ht="15.75" customHeight="1">
      <c r="P8887" s="25"/>
      <c r="Q8887" s="25"/>
      <c r="R8887" s="25"/>
      <c r="S8887" s="25"/>
      <c r="T8887" s="141"/>
      <c r="U8887" s="28"/>
    </row>
    <row r="8888" ht="15.75" customHeight="1">
      <c r="P8888" s="25"/>
      <c r="Q8888" s="25"/>
      <c r="R8888" s="25"/>
      <c r="S8888" s="25"/>
      <c r="T8888" s="141"/>
      <c r="U8888" s="28"/>
    </row>
    <row r="8889" ht="15.75" customHeight="1">
      <c r="P8889" s="25"/>
      <c r="Q8889" s="25"/>
      <c r="R8889" s="25"/>
      <c r="S8889" s="25"/>
      <c r="T8889" s="141"/>
      <c r="U8889" s="28"/>
    </row>
    <row r="8890" ht="15.75" customHeight="1">
      <c r="P8890" s="25"/>
      <c r="Q8890" s="25"/>
      <c r="R8890" s="25"/>
      <c r="S8890" s="25"/>
      <c r="T8890" s="141"/>
      <c r="U8890" s="28"/>
    </row>
    <row r="8891" ht="15.75" customHeight="1">
      <c r="P8891" s="25"/>
      <c r="Q8891" s="25"/>
      <c r="R8891" s="25"/>
      <c r="S8891" s="25"/>
      <c r="T8891" s="141"/>
      <c r="U8891" s="28"/>
    </row>
    <row r="8892" ht="15.75" customHeight="1">
      <c r="P8892" s="25"/>
      <c r="Q8892" s="25"/>
      <c r="R8892" s="25"/>
      <c r="S8892" s="25"/>
      <c r="T8892" s="141"/>
      <c r="U8892" s="28"/>
    </row>
    <row r="8893" ht="15.75" customHeight="1">
      <c r="P8893" s="25"/>
      <c r="Q8893" s="25"/>
      <c r="R8893" s="25"/>
      <c r="S8893" s="25"/>
      <c r="T8893" s="141"/>
      <c r="U8893" s="28"/>
    </row>
    <row r="8894" ht="15.75" customHeight="1">
      <c r="P8894" s="25"/>
      <c r="Q8894" s="25"/>
      <c r="R8894" s="25"/>
      <c r="S8894" s="25"/>
      <c r="T8894" s="141"/>
      <c r="U8894" s="28"/>
    </row>
    <row r="8895" ht="15.75" customHeight="1">
      <c r="P8895" s="25"/>
      <c r="Q8895" s="25"/>
      <c r="R8895" s="25"/>
      <c r="S8895" s="25"/>
      <c r="T8895" s="141"/>
      <c r="U8895" s="28"/>
    </row>
    <row r="8896" ht="15.75" customHeight="1">
      <c r="P8896" s="25"/>
      <c r="Q8896" s="25"/>
      <c r="R8896" s="25"/>
      <c r="S8896" s="25"/>
      <c r="T8896" s="141"/>
      <c r="U8896" s="28"/>
    </row>
    <row r="8897" ht="15.75" customHeight="1">
      <c r="P8897" s="25"/>
      <c r="Q8897" s="25"/>
      <c r="R8897" s="25"/>
      <c r="S8897" s="25"/>
      <c r="T8897" s="141"/>
      <c r="U8897" s="28"/>
    </row>
    <row r="8898" ht="15.75" customHeight="1">
      <c r="P8898" s="25"/>
      <c r="Q8898" s="25"/>
      <c r="R8898" s="25"/>
      <c r="S8898" s="25"/>
      <c r="T8898" s="141"/>
      <c r="U8898" s="28"/>
    </row>
    <row r="8899" ht="15.75" customHeight="1">
      <c r="P8899" s="25"/>
      <c r="Q8899" s="25"/>
      <c r="R8899" s="25"/>
      <c r="S8899" s="25"/>
      <c r="T8899" s="141"/>
      <c r="U8899" s="28"/>
    </row>
    <row r="8900" ht="15.75" customHeight="1">
      <c r="P8900" s="25"/>
      <c r="Q8900" s="25"/>
      <c r="R8900" s="25"/>
      <c r="S8900" s="25"/>
      <c r="T8900" s="141"/>
      <c r="U8900" s="28"/>
    </row>
    <row r="8901" ht="15.75" customHeight="1">
      <c r="P8901" s="25"/>
      <c r="Q8901" s="25"/>
      <c r="R8901" s="25"/>
      <c r="S8901" s="25"/>
      <c r="T8901" s="141"/>
      <c r="U8901" s="28"/>
    </row>
    <row r="8902" ht="15.75" customHeight="1">
      <c r="P8902" s="25"/>
      <c r="Q8902" s="25"/>
      <c r="R8902" s="25"/>
      <c r="S8902" s="25"/>
      <c r="T8902" s="141"/>
      <c r="U8902" s="28"/>
    </row>
    <row r="8903" ht="15.75" customHeight="1">
      <c r="P8903" s="25"/>
      <c r="Q8903" s="25"/>
      <c r="R8903" s="25"/>
      <c r="S8903" s="25"/>
      <c r="T8903" s="141"/>
      <c r="U8903" s="28"/>
    </row>
    <row r="8904" ht="15.75" customHeight="1">
      <c r="P8904" s="25"/>
      <c r="Q8904" s="25"/>
      <c r="R8904" s="25"/>
      <c r="S8904" s="25"/>
      <c r="T8904" s="141"/>
      <c r="U8904" s="28"/>
    </row>
    <row r="8905" ht="15.75" customHeight="1">
      <c r="P8905" s="25"/>
      <c r="Q8905" s="25"/>
      <c r="R8905" s="25"/>
      <c r="S8905" s="25"/>
      <c r="T8905" s="141"/>
      <c r="U8905" s="28"/>
    </row>
    <row r="8906" ht="15.75" customHeight="1">
      <c r="P8906" s="25"/>
      <c r="Q8906" s="25"/>
      <c r="R8906" s="25"/>
      <c r="S8906" s="25"/>
      <c r="T8906" s="141"/>
      <c r="U8906" s="28"/>
    </row>
    <row r="8907" ht="15.75" customHeight="1">
      <c r="P8907" s="25"/>
      <c r="Q8907" s="25"/>
      <c r="R8907" s="25"/>
      <c r="S8907" s="25"/>
      <c r="T8907" s="141"/>
      <c r="U8907" s="28"/>
    </row>
    <row r="8908" ht="15.75" customHeight="1">
      <c r="P8908" s="25"/>
      <c r="Q8908" s="25"/>
      <c r="R8908" s="25"/>
      <c r="S8908" s="25"/>
      <c r="T8908" s="141"/>
      <c r="U8908" s="28"/>
    </row>
    <row r="8909" ht="15.75" customHeight="1">
      <c r="P8909" s="25"/>
      <c r="Q8909" s="25"/>
      <c r="R8909" s="25"/>
      <c r="S8909" s="25"/>
      <c r="T8909" s="141"/>
      <c r="U8909" s="28"/>
    </row>
    <row r="8910" ht="15.75" customHeight="1">
      <c r="P8910" s="25"/>
      <c r="Q8910" s="25"/>
      <c r="R8910" s="25"/>
      <c r="S8910" s="25"/>
      <c r="T8910" s="141"/>
      <c r="U8910" s="28"/>
    </row>
    <row r="8911" ht="15.75" customHeight="1">
      <c r="P8911" s="25"/>
      <c r="Q8911" s="25"/>
      <c r="R8911" s="25"/>
      <c r="S8911" s="25"/>
      <c r="T8911" s="141"/>
      <c r="U8911" s="28"/>
    </row>
    <row r="8912" ht="15.75" customHeight="1">
      <c r="P8912" s="25"/>
      <c r="Q8912" s="25"/>
      <c r="R8912" s="25"/>
      <c r="S8912" s="25"/>
      <c r="T8912" s="141"/>
      <c r="U8912" s="28"/>
    </row>
    <row r="8913" ht="15.75" customHeight="1">
      <c r="P8913" s="25"/>
      <c r="Q8913" s="25"/>
      <c r="R8913" s="25"/>
      <c r="S8913" s="25"/>
      <c r="T8913" s="141"/>
      <c r="U8913" s="28"/>
    </row>
    <row r="8914" ht="15.75" customHeight="1">
      <c r="P8914" s="25"/>
      <c r="Q8914" s="25"/>
      <c r="R8914" s="25"/>
      <c r="S8914" s="25"/>
      <c r="T8914" s="141"/>
      <c r="U8914" s="28"/>
    </row>
    <row r="8915" ht="15.75" customHeight="1">
      <c r="P8915" s="25"/>
      <c r="Q8915" s="25"/>
      <c r="R8915" s="25"/>
      <c r="S8915" s="25"/>
      <c r="T8915" s="141"/>
      <c r="U8915" s="28"/>
    </row>
    <row r="8916" ht="15.75" customHeight="1">
      <c r="P8916" s="25"/>
      <c r="Q8916" s="25"/>
      <c r="R8916" s="25"/>
      <c r="S8916" s="25"/>
      <c r="T8916" s="141"/>
      <c r="U8916" s="28"/>
    </row>
    <row r="8917" ht="15.75" customHeight="1">
      <c r="P8917" s="25"/>
      <c r="Q8917" s="25"/>
      <c r="R8917" s="25"/>
      <c r="S8917" s="25"/>
      <c r="T8917" s="141"/>
      <c r="U8917" s="28"/>
    </row>
    <row r="8918" ht="15.75" customHeight="1">
      <c r="P8918" s="25"/>
      <c r="Q8918" s="25"/>
      <c r="R8918" s="25"/>
      <c r="S8918" s="25"/>
      <c r="T8918" s="141"/>
      <c r="U8918" s="28"/>
    </row>
    <row r="8919" ht="15.75" customHeight="1">
      <c r="P8919" s="25"/>
      <c r="Q8919" s="25"/>
      <c r="R8919" s="25"/>
      <c r="S8919" s="25"/>
      <c r="T8919" s="141"/>
      <c r="U8919" s="28"/>
    </row>
    <row r="8920" ht="15.75" customHeight="1">
      <c r="P8920" s="25"/>
      <c r="Q8920" s="25"/>
      <c r="R8920" s="25"/>
      <c r="S8920" s="25"/>
      <c r="T8920" s="141"/>
      <c r="U8920" s="28"/>
    </row>
    <row r="8921" ht="15.75" customHeight="1">
      <c r="P8921" s="25"/>
      <c r="Q8921" s="25"/>
      <c r="R8921" s="25"/>
      <c r="S8921" s="25"/>
      <c r="T8921" s="141"/>
      <c r="U8921" s="28"/>
    </row>
    <row r="8922" ht="15.75" customHeight="1">
      <c r="P8922" s="25"/>
      <c r="Q8922" s="25"/>
      <c r="R8922" s="25"/>
      <c r="S8922" s="25"/>
      <c r="T8922" s="141"/>
      <c r="U8922" s="28"/>
    </row>
    <row r="8923" ht="15.75" customHeight="1">
      <c r="P8923" s="25"/>
      <c r="Q8923" s="25"/>
      <c r="R8923" s="25"/>
      <c r="S8923" s="25"/>
      <c r="T8923" s="141"/>
      <c r="U8923" s="28"/>
    </row>
    <row r="8924" ht="15.75" customHeight="1">
      <c r="P8924" s="25"/>
      <c r="Q8924" s="25"/>
      <c r="R8924" s="25"/>
      <c r="S8924" s="25"/>
      <c r="T8924" s="141"/>
      <c r="U8924" s="28"/>
    </row>
    <row r="8925" ht="15.75" customHeight="1">
      <c r="P8925" s="25"/>
      <c r="Q8925" s="25"/>
      <c r="R8925" s="25"/>
      <c r="S8925" s="25"/>
      <c r="T8925" s="141"/>
      <c r="U8925" s="28"/>
    </row>
    <row r="8926" ht="15.75" customHeight="1">
      <c r="P8926" s="25"/>
      <c r="Q8926" s="25"/>
      <c r="R8926" s="25"/>
      <c r="S8926" s="25"/>
      <c r="T8926" s="141"/>
      <c r="U8926" s="28"/>
    </row>
    <row r="8927" ht="15.75" customHeight="1">
      <c r="P8927" s="25"/>
      <c r="Q8927" s="25"/>
      <c r="R8927" s="25"/>
      <c r="S8927" s="25"/>
      <c r="T8927" s="141"/>
      <c r="U8927" s="28"/>
    </row>
    <row r="8928" ht="15.75" customHeight="1">
      <c r="P8928" s="25"/>
      <c r="Q8928" s="25"/>
      <c r="R8928" s="25"/>
      <c r="S8928" s="25"/>
      <c r="T8928" s="141"/>
      <c r="U8928" s="28"/>
    </row>
    <row r="8929" ht="15.75" customHeight="1">
      <c r="P8929" s="25"/>
      <c r="Q8929" s="25"/>
      <c r="R8929" s="25"/>
      <c r="S8929" s="25"/>
      <c r="T8929" s="141"/>
      <c r="U8929" s="28"/>
    </row>
    <row r="8930" ht="15.75" customHeight="1">
      <c r="P8930" s="25"/>
      <c r="Q8930" s="25"/>
      <c r="R8930" s="25"/>
      <c r="S8930" s="25"/>
      <c r="T8930" s="141"/>
      <c r="U8930" s="28"/>
    </row>
    <row r="8931" ht="15.75" customHeight="1">
      <c r="P8931" s="25"/>
      <c r="Q8931" s="25"/>
      <c r="R8931" s="25"/>
      <c r="S8931" s="25"/>
      <c r="T8931" s="141"/>
      <c r="U8931" s="28"/>
    </row>
    <row r="8932" ht="15.75" customHeight="1">
      <c r="P8932" s="25"/>
      <c r="Q8932" s="25"/>
      <c r="R8932" s="25"/>
      <c r="S8932" s="25"/>
      <c r="T8932" s="141"/>
      <c r="U8932" s="28"/>
    </row>
    <row r="8933" ht="15.75" customHeight="1">
      <c r="P8933" s="25"/>
      <c r="Q8933" s="25"/>
      <c r="R8933" s="25"/>
      <c r="S8933" s="25"/>
      <c r="T8933" s="141"/>
      <c r="U8933" s="28"/>
    </row>
    <row r="8934" ht="15.75" customHeight="1">
      <c r="P8934" s="25"/>
      <c r="Q8934" s="25"/>
      <c r="R8934" s="25"/>
      <c r="S8934" s="25"/>
      <c r="T8934" s="141"/>
      <c r="U8934" s="28"/>
    </row>
    <row r="8935" ht="15.75" customHeight="1">
      <c r="P8935" s="25"/>
      <c r="Q8935" s="25"/>
      <c r="R8935" s="25"/>
      <c r="S8935" s="25"/>
      <c r="T8935" s="141"/>
      <c r="U8935" s="28"/>
    </row>
    <row r="8936" ht="15.75" customHeight="1">
      <c r="P8936" s="25"/>
      <c r="Q8936" s="25"/>
      <c r="R8936" s="25"/>
      <c r="S8936" s="25"/>
      <c r="T8936" s="141"/>
      <c r="U8936" s="28"/>
    </row>
    <row r="8937" ht="15.75" customHeight="1">
      <c r="P8937" s="25"/>
      <c r="Q8937" s="25"/>
      <c r="R8937" s="25"/>
      <c r="S8937" s="25"/>
      <c r="T8937" s="141"/>
      <c r="U8937" s="28"/>
    </row>
    <row r="8938" ht="15.75" customHeight="1">
      <c r="P8938" s="25"/>
      <c r="Q8938" s="25"/>
      <c r="R8938" s="25"/>
      <c r="S8938" s="25"/>
      <c r="T8938" s="141"/>
      <c r="U8938" s="28"/>
    </row>
    <row r="8939" ht="15.75" customHeight="1">
      <c r="P8939" s="25"/>
      <c r="Q8939" s="25"/>
      <c r="R8939" s="25"/>
      <c r="S8939" s="25"/>
      <c r="T8939" s="141"/>
      <c r="U8939" s="28"/>
    </row>
    <row r="8940" ht="15.75" customHeight="1">
      <c r="P8940" s="25"/>
      <c r="Q8940" s="25"/>
      <c r="R8940" s="25"/>
      <c r="S8940" s="25"/>
      <c r="T8940" s="141"/>
      <c r="U8940" s="28"/>
    </row>
    <row r="8941" ht="15.75" customHeight="1">
      <c r="P8941" s="25"/>
      <c r="Q8941" s="25"/>
      <c r="R8941" s="25"/>
      <c r="S8941" s="25"/>
      <c r="T8941" s="141"/>
      <c r="U8941" s="28"/>
    </row>
    <row r="8942" ht="15.75" customHeight="1">
      <c r="P8942" s="25"/>
      <c r="Q8942" s="25"/>
      <c r="R8942" s="25"/>
      <c r="S8942" s="25"/>
      <c r="T8942" s="141"/>
      <c r="U8942" s="28"/>
    </row>
    <row r="8943" ht="15.75" customHeight="1">
      <c r="P8943" s="25"/>
      <c r="Q8943" s="25"/>
      <c r="R8943" s="25"/>
      <c r="S8943" s="25"/>
      <c r="T8943" s="141"/>
      <c r="U8943" s="28"/>
    </row>
    <row r="8944" ht="15.75" customHeight="1">
      <c r="P8944" s="25"/>
      <c r="Q8944" s="25"/>
      <c r="R8944" s="25"/>
      <c r="S8944" s="25"/>
      <c r="T8944" s="141"/>
      <c r="U8944" s="28"/>
    </row>
    <row r="8945" ht="15.75" customHeight="1">
      <c r="P8945" s="25"/>
      <c r="Q8945" s="25"/>
      <c r="R8945" s="25"/>
      <c r="S8945" s="25"/>
      <c r="T8945" s="141"/>
      <c r="U8945" s="28"/>
    </row>
    <row r="8946" ht="15.75" customHeight="1">
      <c r="P8946" s="25"/>
      <c r="Q8946" s="25"/>
      <c r="R8946" s="25"/>
      <c r="S8946" s="25"/>
      <c r="T8946" s="141"/>
      <c r="U8946" s="28"/>
    </row>
    <row r="8947" ht="15.75" customHeight="1">
      <c r="P8947" s="25"/>
      <c r="Q8947" s="25"/>
      <c r="R8947" s="25"/>
      <c r="S8947" s="25"/>
      <c r="T8947" s="141"/>
      <c r="U8947" s="28"/>
    </row>
    <row r="8948" ht="15.75" customHeight="1">
      <c r="P8948" s="25"/>
      <c r="Q8948" s="25"/>
      <c r="R8948" s="25"/>
      <c r="S8948" s="25"/>
      <c r="T8948" s="141"/>
      <c r="U8948" s="28"/>
    </row>
    <row r="8949" ht="15.75" customHeight="1">
      <c r="P8949" s="25"/>
      <c r="Q8949" s="25"/>
      <c r="R8949" s="25"/>
      <c r="S8949" s="25"/>
      <c r="T8949" s="141"/>
      <c r="U8949" s="28"/>
    </row>
    <row r="8950" ht="15.75" customHeight="1">
      <c r="P8950" s="25"/>
      <c r="Q8950" s="25"/>
      <c r="R8950" s="25"/>
      <c r="S8950" s="25"/>
      <c r="T8950" s="141"/>
      <c r="U8950" s="28"/>
    </row>
    <row r="8951" ht="15.75" customHeight="1">
      <c r="P8951" s="25"/>
      <c r="Q8951" s="25"/>
      <c r="R8951" s="25"/>
      <c r="S8951" s="25"/>
      <c r="T8951" s="141"/>
      <c r="U8951" s="28"/>
    </row>
    <row r="8952" ht="15.75" customHeight="1">
      <c r="P8952" s="25"/>
      <c r="Q8952" s="25"/>
      <c r="R8952" s="25"/>
      <c r="S8952" s="25"/>
      <c r="T8952" s="141"/>
      <c r="U8952" s="28"/>
    </row>
    <row r="8953" ht="15.75" customHeight="1">
      <c r="P8953" s="25"/>
      <c r="Q8953" s="25"/>
      <c r="R8953" s="25"/>
      <c r="S8953" s="25"/>
      <c r="T8953" s="141"/>
      <c r="U8953" s="28"/>
    </row>
    <row r="8954" ht="15.75" customHeight="1">
      <c r="P8954" s="25"/>
      <c r="Q8954" s="25"/>
      <c r="R8954" s="25"/>
      <c r="S8954" s="25"/>
      <c r="T8954" s="141"/>
      <c r="U8954" s="28"/>
    </row>
    <row r="8955" ht="15.75" customHeight="1">
      <c r="P8955" s="25"/>
      <c r="Q8955" s="25"/>
      <c r="R8955" s="25"/>
      <c r="S8955" s="25"/>
      <c r="T8955" s="141"/>
      <c r="U8955" s="28"/>
    </row>
    <row r="8956" ht="15.75" customHeight="1">
      <c r="P8956" s="25"/>
      <c r="Q8956" s="25"/>
      <c r="R8956" s="25"/>
      <c r="S8956" s="25"/>
      <c r="T8956" s="141"/>
      <c r="U8956" s="28"/>
    </row>
    <row r="8957" ht="15.75" customHeight="1">
      <c r="P8957" s="25"/>
      <c r="Q8957" s="25"/>
      <c r="R8957" s="25"/>
      <c r="S8957" s="25"/>
      <c r="T8957" s="141"/>
      <c r="U8957" s="28"/>
    </row>
    <row r="8958" ht="15.75" customHeight="1">
      <c r="P8958" s="25"/>
      <c r="Q8958" s="25"/>
      <c r="R8958" s="25"/>
      <c r="S8958" s="25"/>
      <c r="T8958" s="141"/>
      <c r="U8958" s="28"/>
    </row>
    <row r="8959" ht="15.75" customHeight="1">
      <c r="P8959" s="25"/>
      <c r="Q8959" s="25"/>
      <c r="R8959" s="25"/>
      <c r="S8959" s="25"/>
      <c r="T8959" s="141"/>
      <c r="U8959" s="28"/>
    </row>
    <row r="8960" ht="15.75" customHeight="1">
      <c r="P8960" s="25"/>
      <c r="Q8960" s="25"/>
      <c r="R8960" s="25"/>
      <c r="S8960" s="25"/>
      <c r="T8960" s="141"/>
      <c r="U8960" s="28"/>
    </row>
    <row r="8961" ht="15.75" customHeight="1">
      <c r="P8961" s="25"/>
      <c r="Q8961" s="25"/>
      <c r="R8961" s="25"/>
      <c r="S8961" s="25"/>
      <c r="T8961" s="141"/>
      <c r="U8961" s="28"/>
    </row>
    <row r="8962" ht="15.75" customHeight="1">
      <c r="P8962" s="25"/>
      <c r="Q8962" s="25"/>
      <c r="R8962" s="25"/>
      <c r="S8962" s="25"/>
      <c r="T8962" s="141"/>
      <c r="U8962" s="28"/>
    </row>
    <row r="8963" ht="15.75" customHeight="1">
      <c r="P8963" s="25"/>
      <c r="Q8963" s="25"/>
      <c r="R8963" s="25"/>
      <c r="S8963" s="25"/>
      <c r="T8963" s="141"/>
      <c r="U8963" s="28"/>
    </row>
    <row r="8964" ht="15.75" customHeight="1">
      <c r="P8964" s="25"/>
      <c r="Q8964" s="25"/>
      <c r="R8964" s="25"/>
      <c r="S8964" s="25"/>
      <c r="T8964" s="141"/>
      <c r="U8964" s="28"/>
    </row>
    <row r="8965" ht="15.75" customHeight="1">
      <c r="P8965" s="25"/>
      <c r="Q8965" s="25"/>
      <c r="R8965" s="25"/>
      <c r="S8965" s="25"/>
      <c r="T8965" s="141"/>
      <c r="U8965" s="28"/>
    </row>
    <row r="8966" ht="15.75" customHeight="1">
      <c r="P8966" s="25"/>
      <c r="Q8966" s="25"/>
      <c r="R8966" s="25"/>
      <c r="S8966" s="25"/>
      <c r="T8966" s="141"/>
      <c r="U8966" s="28"/>
    </row>
    <row r="8967" ht="15.75" customHeight="1">
      <c r="P8967" s="25"/>
      <c r="Q8967" s="25"/>
      <c r="R8967" s="25"/>
      <c r="S8967" s="25"/>
      <c r="T8967" s="141"/>
      <c r="U8967" s="28"/>
    </row>
    <row r="8968" ht="15.75" customHeight="1">
      <c r="P8968" s="25"/>
      <c r="Q8968" s="25"/>
      <c r="R8968" s="25"/>
      <c r="S8968" s="25"/>
      <c r="T8968" s="141"/>
      <c r="U8968" s="28"/>
    </row>
    <row r="8969" ht="15.75" customHeight="1">
      <c r="P8969" s="25"/>
      <c r="Q8969" s="25"/>
      <c r="R8969" s="25"/>
      <c r="S8969" s="25"/>
      <c r="T8969" s="141"/>
      <c r="U8969" s="28"/>
    </row>
    <row r="8970" ht="15.75" customHeight="1">
      <c r="P8970" s="25"/>
      <c r="Q8970" s="25"/>
      <c r="R8970" s="25"/>
      <c r="S8970" s="25"/>
      <c r="T8970" s="141"/>
      <c r="U8970" s="28"/>
    </row>
    <row r="8971" ht="15.75" customHeight="1">
      <c r="P8971" s="25"/>
      <c r="Q8971" s="25"/>
      <c r="R8971" s="25"/>
      <c r="S8971" s="25"/>
      <c r="T8971" s="141"/>
      <c r="U8971" s="28"/>
    </row>
    <row r="8972" ht="15.75" customHeight="1">
      <c r="P8972" s="25"/>
      <c r="Q8972" s="25"/>
      <c r="R8972" s="25"/>
      <c r="S8972" s="25"/>
      <c r="T8972" s="141"/>
      <c r="U8972" s="28"/>
    </row>
    <row r="8973" ht="15.75" customHeight="1">
      <c r="P8973" s="25"/>
      <c r="Q8973" s="25"/>
      <c r="R8973" s="25"/>
      <c r="S8973" s="25"/>
      <c r="T8973" s="141"/>
      <c r="U8973" s="28"/>
    </row>
    <row r="8974" ht="15.75" customHeight="1">
      <c r="P8974" s="25"/>
      <c r="Q8974" s="25"/>
      <c r="R8974" s="25"/>
      <c r="S8974" s="25"/>
      <c r="T8974" s="141"/>
      <c r="U8974" s="28"/>
    </row>
    <row r="8975" ht="15.75" customHeight="1">
      <c r="P8975" s="25"/>
      <c r="Q8975" s="25"/>
      <c r="R8975" s="25"/>
      <c r="S8975" s="25"/>
      <c r="T8975" s="141"/>
      <c r="U8975" s="28"/>
    </row>
    <row r="8976" ht="15.75" customHeight="1">
      <c r="P8976" s="25"/>
      <c r="Q8976" s="25"/>
      <c r="R8976" s="25"/>
      <c r="S8976" s="25"/>
      <c r="T8976" s="141"/>
      <c r="U8976" s="28"/>
    </row>
    <row r="8977" ht="15.75" customHeight="1">
      <c r="P8977" s="25"/>
      <c r="Q8977" s="25"/>
      <c r="R8977" s="25"/>
      <c r="S8977" s="25"/>
      <c r="T8977" s="141"/>
      <c r="U8977" s="28"/>
    </row>
    <row r="8978" ht="15.75" customHeight="1">
      <c r="P8978" s="25"/>
      <c r="Q8978" s="25"/>
      <c r="R8978" s="25"/>
      <c r="S8978" s="25"/>
      <c r="T8978" s="141"/>
      <c r="U8978" s="28"/>
    </row>
    <row r="8979" ht="15.75" customHeight="1">
      <c r="P8979" s="25"/>
      <c r="Q8979" s="25"/>
      <c r="R8979" s="25"/>
      <c r="S8979" s="25"/>
      <c r="T8979" s="141"/>
      <c r="U8979" s="28"/>
    </row>
    <row r="8980" ht="15.75" customHeight="1">
      <c r="P8980" s="25"/>
      <c r="Q8980" s="25"/>
      <c r="R8980" s="25"/>
      <c r="S8980" s="25"/>
      <c r="T8980" s="141"/>
      <c r="U8980" s="28"/>
    </row>
    <row r="8981" ht="15.75" customHeight="1">
      <c r="P8981" s="25"/>
      <c r="Q8981" s="25"/>
      <c r="R8981" s="25"/>
      <c r="S8981" s="25"/>
      <c r="T8981" s="141"/>
      <c r="U8981" s="28"/>
    </row>
    <row r="8982" ht="15.75" customHeight="1">
      <c r="P8982" s="25"/>
      <c r="Q8982" s="25"/>
      <c r="R8982" s="25"/>
      <c r="S8982" s="25"/>
      <c r="T8982" s="141"/>
      <c r="U8982" s="28"/>
    </row>
    <row r="8983" ht="15.75" customHeight="1">
      <c r="P8983" s="25"/>
      <c r="Q8983" s="25"/>
      <c r="R8983" s="25"/>
      <c r="S8983" s="25"/>
      <c r="T8983" s="141"/>
      <c r="U8983" s="28"/>
    </row>
    <row r="8984" ht="15.75" customHeight="1">
      <c r="P8984" s="25"/>
      <c r="Q8984" s="25"/>
      <c r="R8984" s="25"/>
      <c r="S8984" s="25"/>
      <c r="T8984" s="141"/>
      <c r="U8984" s="28"/>
    </row>
    <row r="8985" ht="15.75" customHeight="1">
      <c r="P8985" s="25"/>
      <c r="Q8985" s="25"/>
      <c r="R8985" s="25"/>
      <c r="S8985" s="25"/>
      <c r="T8985" s="141"/>
      <c r="U8985" s="28"/>
    </row>
    <row r="8986" ht="15.75" customHeight="1">
      <c r="P8986" s="25"/>
      <c r="Q8986" s="25"/>
      <c r="R8986" s="25"/>
      <c r="S8986" s="25"/>
      <c r="T8986" s="141"/>
      <c r="U8986" s="28"/>
    </row>
    <row r="8987" ht="15.75" customHeight="1">
      <c r="P8987" s="25"/>
      <c r="Q8987" s="25"/>
      <c r="R8987" s="25"/>
      <c r="S8987" s="25"/>
      <c r="T8987" s="141"/>
      <c r="U8987" s="28"/>
    </row>
    <row r="8988" ht="15.75" customHeight="1">
      <c r="P8988" s="25"/>
      <c r="Q8988" s="25"/>
      <c r="R8988" s="25"/>
      <c r="S8988" s="25"/>
      <c r="T8988" s="141"/>
      <c r="U8988" s="28"/>
    </row>
    <row r="8989" ht="15.75" customHeight="1">
      <c r="P8989" s="25"/>
      <c r="Q8989" s="25"/>
      <c r="R8989" s="25"/>
      <c r="S8989" s="25"/>
      <c r="T8989" s="141"/>
      <c r="U8989" s="28"/>
    </row>
    <row r="8990" ht="15.75" customHeight="1">
      <c r="P8990" s="25"/>
      <c r="Q8990" s="25"/>
      <c r="R8990" s="25"/>
      <c r="S8990" s="25"/>
      <c r="T8990" s="141"/>
      <c r="U8990" s="28"/>
    </row>
    <row r="8991" ht="15.75" customHeight="1">
      <c r="P8991" s="25"/>
      <c r="Q8991" s="25"/>
      <c r="R8991" s="25"/>
      <c r="S8991" s="25"/>
      <c r="T8991" s="141"/>
      <c r="U8991" s="28"/>
    </row>
    <row r="8992" ht="15.75" customHeight="1">
      <c r="P8992" s="25"/>
      <c r="Q8992" s="25"/>
      <c r="R8992" s="25"/>
      <c r="S8992" s="25"/>
      <c r="T8992" s="141"/>
      <c r="U8992" s="28"/>
    </row>
    <row r="8993" ht="15.75" customHeight="1">
      <c r="P8993" s="25"/>
      <c r="Q8993" s="25"/>
      <c r="R8993" s="25"/>
      <c r="S8993" s="25"/>
      <c r="T8993" s="141"/>
      <c r="U8993" s="28"/>
    </row>
    <row r="8994" ht="15.75" customHeight="1">
      <c r="P8994" s="25"/>
      <c r="Q8994" s="25"/>
      <c r="R8994" s="25"/>
      <c r="S8994" s="25"/>
      <c r="T8994" s="141"/>
      <c r="U8994" s="28"/>
    </row>
    <row r="8995" ht="15.75" customHeight="1">
      <c r="P8995" s="25"/>
      <c r="Q8995" s="25"/>
      <c r="R8995" s="25"/>
      <c r="S8995" s="25"/>
      <c r="T8995" s="141"/>
      <c r="U8995" s="28"/>
    </row>
    <row r="8996" ht="15.75" customHeight="1">
      <c r="P8996" s="25"/>
      <c r="Q8996" s="25"/>
      <c r="R8996" s="25"/>
      <c r="S8996" s="25"/>
      <c r="T8996" s="141"/>
      <c r="U8996" s="28"/>
    </row>
    <row r="8997" ht="15.75" customHeight="1">
      <c r="P8997" s="25"/>
      <c r="Q8997" s="25"/>
      <c r="R8997" s="25"/>
      <c r="S8997" s="25"/>
      <c r="T8997" s="141"/>
      <c r="U8997" s="28"/>
    </row>
    <row r="8998" ht="15.75" customHeight="1">
      <c r="P8998" s="25"/>
      <c r="Q8998" s="25"/>
      <c r="R8998" s="25"/>
      <c r="S8998" s="25"/>
      <c r="T8998" s="141"/>
      <c r="U8998" s="28"/>
    </row>
    <row r="8999" ht="15.75" customHeight="1">
      <c r="P8999" s="25"/>
      <c r="Q8999" s="25"/>
      <c r="R8999" s="25"/>
      <c r="S8999" s="25"/>
      <c r="T8999" s="141"/>
      <c r="U8999" s="28"/>
    </row>
    <row r="9000" ht="15.75" customHeight="1">
      <c r="P9000" s="25"/>
      <c r="Q9000" s="25"/>
      <c r="R9000" s="25"/>
      <c r="S9000" s="25"/>
      <c r="T9000" s="141"/>
      <c r="U9000" s="28"/>
    </row>
    <row r="9001" ht="15.75" customHeight="1">
      <c r="P9001" s="25"/>
      <c r="Q9001" s="25"/>
      <c r="R9001" s="25"/>
      <c r="S9001" s="25"/>
      <c r="T9001" s="141"/>
      <c r="U9001" s="28"/>
    </row>
    <row r="9002" ht="15.75" customHeight="1">
      <c r="P9002" s="25"/>
      <c r="Q9002" s="25"/>
      <c r="R9002" s="25"/>
      <c r="S9002" s="25"/>
      <c r="T9002" s="141"/>
      <c r="U9002" s="28"/>
    </row>
    <row r="9003" ht="15.75" customHeight="1">
      <c r="P9003" s="25"/>
      <c r="Q9003" s="25"/>
      <c r="R9003" s="25"/>
      <c r="S9003" s="25"/>
      <c r="T9003" s="141"/>
      <c r="U9003" s="28"/>
    </row>
    <row r="9004" ht="15.75" customHeight="1">
      <c r="P9004" s="25"/>
      <c r="Q9004" s="25"/>
      <c r="R9004" s="25"/>
      <c r="S9004" s="25"/>
      <c r="T9004" s="141"/>
      <c r="U9004" s="28"/>
    </row>
    <row r="9005" ht="15.75" customHeight="1">
      <c r="P9005" s="25"/>
      <c r="Q9005" s="25"/>
      <c r="R9005" s="25"/>
      <c r="S9005" s="25"/>
      <c r="T9005" s="141"/>
      <c r="U9005" s="28"/>
    </row>
    <row r="9006" ht="15.75" customHeight="1">
      <c r="P9006" s="25"/>
      <c r="Q9006" s="25"/>
      <c r="R9006" s="25"/>
      <c r="S9006" s="25"/>
      <c r="T9006" s="141"/>
      <c r="U9006" s="28"/>
    </row>
    <row r="9007" ht="15.75" customHeight="1">
      <c r="P9007" s="25"/>
      <c r="Q9007" s="25"/>
      <c r="R9007" s="25"/>
      <c r="S9007" s="25"/>
      <c r="T9007" s="141"/>
      <c r="U9007" s="28"/>
    </row>
    <row r="9008" ht="15.75" customHeight="1">
      <c r="P9008" s="25"/>
      <c r="Q9008" s="25"/>
      <c r="R9008" s="25"/>
      <c r="S9008" s="25"/>
      <c r="T9008" s="141"/>
      <c r="U9008" s="28"/>
    </row>
    <row r="9009" ht="15.75" customHeight="1">
      <c r="P9009" s="25"/>
      <c r="Q9009" s="25"/>
      <c r="R9009" s="25"/>
      <c r="S9009" s="25"/>
      <c r="T9009" s="141"/>
      <c r="U9009" s="28"/>
    </row>
    <row r="9010" ht="15.75" customHeight="1">
      <c r="P9010" s="25"/>
      <c r="Q9010" s="25"/>
      <c r="R9010" s="25"/>
      <c r="S9010" s="25"/>
      <c r="T9010" s="141"/>
      <c r="U9010" s="28"/>
    </row>
    <row r="9011" ht="15.75" customHeight="1">
      <c r="P9011" s="25"/>
      <c r="Q9011" s="25"/>
      <c r="R9011" s="25"/>
      <c r="S9011" s="25"/>
      <c r="T9011" s="141"/>
      <c r="U9011" s="28"/>
    </row>
    <row r="9012" ht="15.75" customHeight="1">
      <c r="P9012" s="25"/>
      <c r="Q9012" s="25"/>
      <c r="R9012" s="25"/>
      <c r="S9012" s="25"/>
      <c r="T9012" s="141"/>
      <c r="U9012" s="28"/>
    </row>
    <row r="9013" ht="15.75" customHeight="1">
      <c r="P9013" s="25"/>
      <c r="Q9013" s="25"/>
      <c r="R9013" s="25"/>
      <c r="S9013" s="25"/>
      <c r="T9013" s="141"/>
      <c r="U9013" s="28"/>
    </row>
    <row r="9014" ht="15.75" customHeight="1">
      <c r="P9014" s="25"/>
      <c r="Q9014" s="25"/>
      <c r="R9014" s="25"/>
      <c r="S9014" s="25"/>
      <c r="T9014" s="141"/>
      <c r="U9014" s="28"/>
    </row>
    <row r="9015" ht="15.75" customHeight="1">
      <c r="P9015" s="25"/>
      <c r="Q9015" s="25"/>
      <c r="R9015" s="25"/>
      <c r="S9015" s="25"/>
      <c r="T9015" s="141"/>
      <c r="U9015" s="28"/>
    </row>
    <row r="9016" ht="15.75" customHeight="1">
      <c r="P9016" s="25"/>
      <c r="Q9016" s="25"/>
      <c r="R9016" s="25"/>
      <c r="S9016" s="25"/>
      <c r="T9016" s="141"/>
      <c r="U9016" s="28"/>
    </row>
    <row r="9017" ht="15.75" customHeight="1">
      <c r="P9017" s="25"/>
      <c r="Q9017" s="25"/>
      <c r="R9017" s="25"/>
      <c r="S9017" s="25"/>
      <c r="T9017" s="141"/>
      <c r="U9017" s="28"/>
    </row>
    <row r="9018" ht="15.75" customHeight="1">
      <c r="P9018" s="25"/>
      <c r="Q9018" s="25"/>
      <c r="R9018" s="25"/>
      <c r="S9018" s="25"/>
      <c r="T9018" s="141"/>
      <c r="U9018" s="28"/>
    </row>
    <row r="9019" ht="15.75" customHeight="1">
      <c r="P9019" s="25"/>
      <c r="Q9019" s="25"/>
      <c r="R9019" s="25"/>
      <c r="S9019" s="25"/>
      <c r="T9019" s="141"/>
      <c r="U9019" s="28"/>
    </row>
    <row r="9020" ht="15.75" customHeight="1">
      <c r="P9020" s="25"/>
      <c r="Q9020" s="25"/>
      <c r="R9020" s="25"/>
      <c r="S9020" s="25"/>
      <c r="T9020" s="141"/>
      <c r="U9020" s="28"/>
    </row>
    <row r="9021" ht="15.75" customHeight="1">
      <c r="P9021" s="25"/>
      <c r="Q9021" s="25"/>
      <c r="R9021" s="25"/>
      <c r="S9021" s="25"/>
      <c r="T9021" s="141"/>
      <c r="U9021" s="28"/>
    </row>
    <row r="9022" ht="15.75" customHeight="1">
      <c r="P9022" s="25"/>
      <c r="Q9022" s="25"/>
      <c r="R9022" s="25"/>
      <c r="S9022" s="25"/>
      <c r="T9022" s="141"/>
      <c r="U9022" s="28"/>
    </row>
    <row r="9023" ht="15.75" customHeight="1">
      <c r="P9023" s="25"/>
      <c r="Q9023" s="25"/>
      <c r="R9023" s="25"/>
      <c r="S9023" s="25"/>
      <c r="T9023" s="141"/>
      <c r="U9023" s="28"/>
    </row>
    <row r="9024" ht="15.75" customHeight="1">
      <c r="P9024" s="25"/>
      <c r="Q9024" s="25"/>
      <c r="R9024" s="25"/>
      <c r="S9024" s="25"/>
      <c r="T9024" s="141"/>
      <c r="U9024" s="28"/>
    </row>
    <row r="9025" ht="15.75" customHeight="1">
      <c r="P9025" s="25"/>
      <c r="Q9025" s="25"/>
      <c r="R9025" s="25"/>
      <c r="S9025" s="25"/>
      <c r="T9025" s="141"/>
      <c r="U9025" s="28"/>
    </row>
    <row r="9026" ht="15.75" customHeight="1">
      <c r="P9026" s="25"/>
      <c r="Q9026" s="25"/>
      <c r="R9026" s="25"/>
      <c r="S9026" s="25"/>
      <c r="T9026" s="141"/>
      <c r="U9026" s="28"/>
    </row>
    <row r="9027" ht="15.75" customHeight="1">
      <c r="P9027" s="25"/>
      <c r="Q9027" s="25"/>
      <c r="R9027" s="25"/>
      <c r="S9027" s="25"/>
      <c r="T9027" s="141"/>
      <c r="U9027" s="28"/>
    </row>
    <row r="9028" ht="15.75" customHeight="1">
      <c r="P9028" s="25"/>
      <c r="Q9028" s="25"/>
      <c r="R9028" s="25"/>
      <c r="S9028" s="25"/>
      <c r="T9028" s="141"/>
      <c r="U9028" s="28"/>
    </row>
    <row r="9029" ht="15.75" customHeight="1">
      <c r="P9029" s="25"/>
      <c r="Q9029" s="25"/>
      <c r="R9029" s="25"/>
      <c r="S9029" s="25"/>
      <c r="T9029" s="141"/>
      <c r="U9029" s="28"/>
    </row>
    <row r="9030" ht="15.75" customHeight="1">
      <c r="P9030" s="25"/>
      <c r="Q9030" s="25"/>
      <c r="R9030" s="25"/>
      <c r="S9030" s="25"/>
      <c r="T9030" s="141"/>
      <c r="U9030" s="28"/>
    </row>
    <row r="9031" ht="15.75" customHeight="1">
      <c r="P9031" s="25"/>
      <c r="Q9031" s="25"/>
      <c r="R9031" s="25"/>
      <c r="S9031" s="25"/>
      <c r="T9031" s="141"/>
      <c r="U9031" s="28"/>
    </row>
    <row r="9032" ht="15.75" customHeight="1">
      <c r="P9032" s="25"/>
      <c r="Q9032" s="25"/>
      <c r="R9032" s="25"/>
      <c r="S9032" s="25"/>
      <c r="T9032" s="141"/>
      <c r="U9032" s="28"/>
    </row>
    <row r="9033" ht="15.75" customHeight="1">
      <c r="P9033" s="25"/>
      <c r="Q9033" s="25"/>
      <c r="R9033" s="25"/>
      <c r="S9033" s="25"/>
      <c r="T9033" s="141"/>
      <c r="U9033" s="28"/>
    </row>
    <row r="9034" ht="15.75" customHeight="1">
      <c r="P9034" s="25"/>
      <c r="Q9034" s="25"/>
      <c r="R9034" s="25"/>
      <c r="S9034" s="25"/>
      <c r="T9034" s="141"/>
      <c r="U9034" s="28"/>
    </row>
    <row r="9035" ht="15.75" customHeight="1">
      <c r="P9035" s="25"/>
      <c r="Q9035" s="25"/>
      <c r="R9035" s="25"/>
      <c r="S9035" s="25"/>
      <c r="T9035" s="141"/>
      <c r="U9035" s="28"/>
    </row>
    <row r="9036" ht="15.75" customHeight="1">
      <c r="P9036" s="25"/>
      <c r="Q9036" s="25"/>
      <c r="R9036" s="25"/>
      <c r="S9036" s="25"/>
      <c r="T9036" s="141"/>
      <c r="U9036" s="28"/>
    </row>
    <row r="9037" ht="15.75" customHeight="1">
      <c r="P9037" s="25"/>
      <c r="Q9037" s="25"/>
      <c r="R9037" s="25"/>
      <c r="S9037" s="25"/>
      <c r="T9037" s="141"/>
      <c r="U9037" s="28"/>
    </row>
    <row r="9038" ht="15.75" customHeight="1">
      <c r="P9038" s="25"/>
      <c r="Q9038" s="25"/>
      <c r="R9038" s="25"/>
      <c r="S9038" s="25"/>
      <c r="T9038" s="141"/>
      <c r="U9038" s="28"/>
    </row>
    <row r="9039" ht="15.75" customHeight="1">
      <c r="P9039" s="25"/>
      <c r="Q9039" s="25"/>
      <c r="R9039" s="25"/>
      <c r="S9039" s="25"/>
      <c r="T9039" s="141"/>
      <c r="U9039" s="28"/>
    </row>
    <row r="9040" ht="15.75" customHeight="1">
      <c r="P9040" s="25"/>
      <c r="Q9040" s="25"/>
      <c r="R9040" s="25"/>
      <c r="S9040" s="25"/>
      <c r="T9040" s="141"/>
      <c r="U9040" s="28"/>
    </row>
    <row r="9041" ht="15.75" customHeight="1">
      <c r="P9041" s="25"/>
      <c r="Q9041" s="25"/>
      <c r="R9041" s="25"/>
      <c r="S9041" s="25"/>
      <c r="T9041" s="141"/>
      <c r="U9041" s="28"/>
    </row>
    <row r="9042" ht="15.75" customHeight="1">
      <c r="P9042" s="25"/>
      <c r="Q9042" s="25"/>
      <c r="R9042" s="25"/>
      <c r="S9042" s="25"/>
      <c r="T9042" s="141"/>
      <c r="U9042" s="28"/>
    </row>
    <row r="9043" ht="15.75" customHeight="1">
      <c r="P9043" s="25"/>
      <c r="Q9043" s="25"/>
      <c r="R9043" s="25"/>
      <c r="S9043" s="25"/>
      <c r="T9043" s="141"/>
      <c r="U9043" s="28"/>
    </row>
    <row r="9044" ht="15.75" customHeight="1">
      <c r="P9044" s="25"/>
      <c r="Q9044" s="25"/>
      <c r="R9044" s="25"/>
      <c r="S9044" s="25"/>
      <c r="T9044" s="141"/>
      <c r="U9044" s="28"/>
    </row>
    <row r="9045" ht="15.75" customHeight="1">
      <c r="P9045" s="25"/>
      <c r="Q9045" s="25"/>
      <c r="R9045" s="25"/>
      <c r="S9045" s="25"/>
      <c r="T9045" s="141"/>
      <c r="U9045" s="28"/>
    </row>
    <row r="9046" ht="15.75" customHeight="1">
      <c r="P9046" s="25"/>
      <c r="Q9046" s="25"/>
      <c r="R9046" s="25"/>
      <c r="S9046" s="25"/>
      <c r="T9046" s="141"/>
      <c r="U9046" s="28"/>
    </row>
    <row r="9047" ht="15.75" customHeight="1">
      <c r="P9047" s="25"/>
      <c r="Q9047" s="25"/>
      <c r="R9047" s="25"/>
      <c r="S9047" s="25"/>
      <c r="T9047" s="141"/>
      <c r="U9047" s="28"/>
    </row>
    <row r="9048" ht="15.75" customHeight="1">
      <c r="P9048" s="25"/>
      <c r="Q9048" s="25"/>
      <c r="R9048" s="25"/>
      <c r="S9048" s="25"/>
      <c r="T9048" s="141"/>
      <c r="U9048" s="28"/>
    </row>
    <row r="9049" ht="15.75" customHeight="1">
      <c r="P9049" s="25"/>
      <c r="Q9049" s="25"/>
      <c r="R9049" s="25"/>
      <c r="S9049" s="25"/>
      <c r="T9049" s="141"/>
      <c r="U9049" s="28"/>
    </row>
    <row r="9050" ht="15.75" customHeight="1">
      <c r="P9050" s="25"/>
      <c r="Q9050" s="25"/>
      <c r="R9050" s="25"/>
      <c r="S9050" s="25"/>
      <c r="T9050" s="141"/>
      <c r="U9050" s="28"/>
    </row>
    <row r="9051" ht="15.75" customHeight="1">
      <c r="P9051" s="25"/>
      <c r="Q9051" s="25"/>
      <c r="R9051" s="25"/>
      <c r="S9051" s="25"/>
      <c r="T9051" s="141"/>
      <c r="U9051" s="28"/>
    </row>
    <row r="9052" ht="15.75" customHeight="1">
      <c r="P9052" s="25"/>
      <c r="Q9052" s="25"/>
      <c r="R9052" s="25"/>
      <c r="S9052" s="25"/>
      <c r="T9052" s="141"/>
      <c r="U9052" s="28"/>
    </row>
    <row r="9053" ht="15.75" customHeight="1">
      <c r="P9053" s="25"/>
      <c r="Q9053" s="25"/>
      <c r="R9053" s="25"/>
      <c r="S9053" s="25"/>
      <c r="T9053" s="141"/>
      <c r="U9053" s="28"/>
    </row>
    <row r="9054" ht="15.75" customHeight="1">
      <c r="P9054" s="25"/>
      <c r="Q9054" s="25"/>
      <c r="R9054" s="25"/>
      <c r="S9054" s="25"/>
      <c r="T9054" s="141"/>
      <c r="U9054" s="28"/>
    </row>
    <row r="9055" ht="15.75" customHeight="1">
      <c r="P9055" s="25"/>
      <c r="Q9055" s="25"/>
      <c r="R9055" s="25"/>
      <c r="S9055" s="25"/>
      <c r="T9055" s="141"/>
      <c r="U9055" s="28"/>
    </row>
    <row r="9056" ht="15.75" customHeight="1">
      <c r="P9056" s="25"/>
      <c r="Q9056" s="25"/>
      <c r="R9056" s="25"/>
      <c r="S9056" s="25"/>
      <c r="T9056" s="141"/>
      <c r="U9056" s="28"/>
    </row>
    <row r="9057" ht="15.75" customHeight="1">
      <c r="P9057" s="25"/>
      <c r="Q9057" s="25"/>
      <c r="R9057" s="25"/>
      <c r="S9057" s="25"/>
      <c r="T9057" s="141"/>
      <c r="U9057" s="28"/>
    </row>
    <row r="9058" ht="15.75" customHeight="1">
      <c r="P9058" s="25"/>
      <c r="Q9058" s="25"/>
      <c r="R9058" s="25"/>
      <c r="S9058" s="25"/>
      <c r="T9058" s="141"/>
      <c r="U9058" s="28"/>
    </row>
    <row r="9059" ht="15.75" customHeight="1">
      <c r="P9059" s="25"/>
      <c r="Q9059" s="25"/>
      <c r="R9059" s="25"/>
      <c r="S9059" s="25"/>
      <c r="T9059" s="141"/>
      <c r="U9059" s="28"/>
    </row>
    <row r="9060" ht="15.75" customHeight="1">
      <c r="P9060" s="25"/>
      <c r="Q9060" s="25"/>
      <c r="R9060" s="25"/>
      <c r="S9060" s="25"/>
      <c r="T9060" s="141"/>
      <c r="U9060" s="28"/>
    </row>
    <row r="9061" ht="15.75" customHeight="1">
      <c r="P9061" s="25"/>
      <c r="Q9061" s="25"/>
      <c r="R9061" s="25"/>
      <c r="S9061" s="25"/>
      <c r="T9061" s="141"/>
      <c r="U9061" s="28"/>
    </row>
    <row r="9062" ht="15.75" customHeight="1">
      <c r="P9062" s="25"/>
      <c r="Q9062" s="25"/>
      <c r="R9062" s="25"/>
      <c r="S9062" s="25"/>
      <c r="T9062" s="141"/>
      <c r="U9062" s="28"/>
    </row>
    <row r="9063" ht="15.75" customHeight="1">
      <c r="P9063" s="25"/>
      <c r="Q9063" s="25"/>
      <c r="R9063" s="25"/>
      <c r="S9063" s="25"/>
      <c r="T9063" s="141"/>
      <c r="U9063" s="28"/>
    </row>
    <row r="9064" ht="15.75" customHeight="1">
      <c r="P9064" s="25"/>
      <c r="Q9064" s="25"/>
      <c r="R9064" s="25"/>
      <c r="S9064" s="25"/>
      <c r="T9064" s="141"/>
      <c r="U9064" s="28"/>
    </row>
    <row r="9065" ht="15.75" customHeight="1">
      <c r="P9065" s="25"/>
      <c r="Q9065" s="25"/>
      <c r="R9065" s="25"/>
      <c r="S9065" s="25"/>
      <c r="T9065" s="141"/>
      <c r="U9065" s="28"/>
    </row>
    <row r="9066" ht="15.75" customHeight="1">
      <c r="P9066" s="25"/>
      <c r="Q9066" s="25"/>
      <c r="R9066" s="25"/>
      <c r="S9066" s="25"/>
      <c r="T9066" s="141"/>
      <c r="U9066" s="28"/>
    </row>
    <row r="9067" ht="15.75" customHeight="1">
      <c r="P9067" s="25"/>
      <c r="Q9067" s="25"/>
      <c r="R9067" s="25"/>
      <c r="S9067" s="25"/>
      <c r="T9067" s="141"/>
      <c r="U9067" s="28"/>
    </row>
    <row r="9068" ht="15.75" customHeight="1">
      <c r="P9068" s="25"/>
      <c r="Q9068" s="25"/>
      <c r="R9068" s="25"/>
      <c r="S9068" s="25"/>
      <c r="T9068" s="141"/>
      <c r="U9068" s="28"/>
    </row>
    <row r="9069" ht="15.75" customHeight="1">
      <c r="P9069" s="25"/>
      <c r="Q9069" s="25"/>
      <c r="R9069" s="25"/>
      <c r="S9069" s="25"/>
      <c r="T9069" s="141"/>
      <c r="U9069" s="28"/>
    </row>
    <row r="9070" ht="15.75" customHeight="1">
      <c r="P9070" s="25"/>
      <c r="Q9070" s="25"/>
      <c r="R9070" s="25"/>
      <c r="S9070" s="25"/>
      <c r="T9070" s="141"/>
      <c r="U9070" s="28"/>
    </row>
    <row r="9071" ht="15.75" customHeight="1">
      <c r="P9071" s="25"/>
      <c r="Q9071" s="25"/>
      <c r="R9071" s="25"/>
      <c r="S9071" s="25"/>
      <c r="T9071" s="141"/>
      <c r="U9071" s="28"/>
    </row>
    <row r="9072" ht="15.75" customHeight="1">
      <c r="P9072" s="25"/>
      <c r="Q9072" s="25"/>
      <c r="R9072" s="25"/>
      <c r="S9072" s="25"/>
      <c r="T9072" s="141"/>
      <c r="U9072" s="28"/>
    </row>
    <row r="9073" ht="15.75" customHeight="1">
      <c r="P9073" s="25"/>
      <c r="Q9073" s="25"/>
      <c r="R9073" s="25"/>
      <c r="S9073" s="25"/>
      <c r="T9073" s="141"/>
      <c r="U9073" s="28"/>
    </row>
    <row r="9074" ht="15.75" customHeight="1">
      <c r="P9074" s="25"/>
      <c r="Q9074" s="25"/>
      <c r="R9074" s="25"/>
      <c r="S9074" s="25"/>
      <c r="T9074" s="141"/>
      <c r="U9074" s="28"/>
    </row>
    <row r="9075" ht="15.75" customHeight="1">
      <c r="P9075" s="25"/>
      <c r="Q9075" s="25"/>
      <c r="R9075" s="25"/>
      <c r="S9075" s="25"/>
      <c r="T9075" s="141"/>
      <c r="U9075" s="28"/>
    </row>
    <row r="9076" ht="15.75" customHeight="1">
      <c r="P9076" s="25"/>
      <c r="Q9076" s="25"/>
      <c r="R9076" s="25"/>
      <c r="S9076" s="25"/>
      <c r="T9076" s="141"/>
      <c r="U9076" s="28"/>
    </row>
    <row r="9077" ht="15.75" customHeight="1">
      <c r="P9077" s="25"/>
      <c r="Q9077" s="25"/>
      <c r="R9077" s="25"/>
      <c r="S9077" s="25"/>
      <c r="T9077" s="141"/>
      <c r="U9077" s="28"/>
    </row>
    <row r="9078" ht="15.75" customHeight="1">
      <c r="P9078" s="25"/>
      <c r="Q9078" s="25"/>
      <c r="R9078" s="25"/>
      <c r="S9078" s="25"/>
      <c r="T9078" s="141"/>
      <c r="U9078" s="28"/>
    </row>
    <row r="9079" ht="15.75" customHeight="1">
      <c r="P9079" s="25"/>
      <c r="Q9079" s="25"/>
      <c r="R9079" s="25"/>
      <c r="S9079" s="25"/>
      <c r="T9079" s="141"/>
      <c r="U9079" s="28"/>
    </row>
    <row r="9080" ht="15.75" customHeight="1">
      <c r="P9080" s="25"/>
      <c r="Q9080" s="25"/>
      <c r="R9080" s="25"/>
      <c r="S9080" s="25"/>
      <c r="T9080" s="141"/>
      <c r="U9080" s="28"/>
    </row>
    <row r="9081" ht="15.75" customHeight="1">
      <c r="P9081" s="25"/>
      <c r="Q9081" s="25"/>
      <c r="R9081" s="25"/>
      <c r="S9081" s="25"/>
      <c r="T9081" s="141"/>
      <c r="U9081" s="28"/>
    </row>
    <row r="9082" ht="15.75" customHeight="1">
      <c r="P9082" s="25"/>
      <c r="Q9082" s="25"/>
      <c r="R9082" s="25"/>
      <c r="S9082" s="25"/>
      <c r="T9082" s="141"/>
      <c r="U9082" s="28"/>
    </row>
    <row r="9083" ht="15.75" customHeight="1">
      <c r="P9083" s="25"/>
      <c r="Q9083" s="25"/>
      <c r="R9083" s="25"/>
      <c r="S9083" s="25"/>
      <c r="T9083" s="141"/>
      <c r="U9083" s="28"/>
    </row>
    <row r="9084" ht="15.75" customHeight="1">
      <c r="P9084" s="25"/>
      <c r="Q9084" s="25"/>
      <c r="R9084" s="25"/>
      <c r="S9084" s="25"/>
      <c r="T9084" s="141"/>
      <c r="U9084" s="28"/>
    </row>
    <row r="9085" ht="15.75" customHeight="1">
      <c r="P9085" s="25"/>
      <c r="Q9085" s="25"/>
      <c r="R9085" s="25"/>
      <c r="S9085" s="25"/>
      <c r="T9085" s="141"/>
      <c r="U9085" s="28"/>
    </row>
    <row r="9086" ht="15.75" customHeight="1">
      <c r="P9086" s="25"/>
      <c r="Q9086" s="25"/>
      <c r="R9086" s="25"/>
      <c r="S9086" s="25"/>
      <c r="T9086" s="141"/>
      <c r="U9086" s="28"/>
    </row>
    <row r="9087" ht="15.75" customHeight="1">
      <c r="P9087" s="25"/>
      <c r="Q9087" s="25"/>
      <c r="R9087" s="25"/>
      <c r="S9087" s="25"/>
      <c r="T9087" s="141"/>
      <c r="U9087" s="28"/>
    </row>
    <row r="9088" ht="15.75" customHeight="1">
      <c r="P9088" s="25"/>
      <c r="Q9088" s="25"/>
      <c r="R9088" s="25"/>
      <c r="S9088" s="25"/>
      <c r="T9088" s="141"/>
      <c r="U9088" s="28"/>
    </row>
    <row r="9089" ht="15.75" customHeight="1">
      <c r="P9089" s="25"/>
      <c r="Q9089" s="25"/>
      <c r="R9089" s="25"/>
      <c r="S9089" s="25"/>
      <c r="T9089" s="141"/>
      <c r="U9089" s="28"/>
    </row>
    <row r="9090" ht="15.75" customHeight="1">
      <c r="P9090" s="25"/>
      <c r="Q9090" s="25"/>
      <c r="R9090" s="25"/>
      <c r="S9090" s="25"/>
      <c r="T9090" s="141"/>
      <c r="U9090" s="28"/>
    </row>
    <row r="9091" ht="15.75" customHeight="1">
      <c r="P9091" s="25"/>
      <c r="Q9091" s="25"/>
      <c r="R9091" s="25"/>
      <c r="S9091" s="25"/>
      <c r="T9091" s="141"/>
      <c r="U9091" s="28"/>
    </row>
    <row r="9092" ht="15.75" customHeight="1">
      <c r="P9092" s="25"/>
      <c r="Q9092" s="25"/>
      <c r="R9092" s="25"/>
      <c r="S9092" s="25"/>
      <c r="T9092" s="141"/>
      <c r="U9092" s="28"/>
    </row>
    <row r="9093" ht="15.75" customHeight="1">
      <c r="P9093" s="25"/>
      <c r="Q9093" s="25"/>
      <c r="R9093" s="25"/>
      <c r="S9093" s="25"/>
      <c r="T9093" s="141"/>
      <c r="U9093" s="28"/>
    </row>
    <row r="9094" ht="15.75" customHeight="1">
      <c r="P9094" s="25"/>
      <c r="Q9094" s="25"/>
      <c r="R9094" s="25"/>
      <c r="S9094" s="25"/>
      <c r="T9094" s="141"/>
      <c r="U9094" s="28"/>
    </row>
    <row r="9095" ht="15.75" customHeight="1">
      <c r="P9095" s="25"/>
      <c r="Q9095" s="25"/>
      <c r="R9095" s="25"/>
      <c r="S9095" s="25"/>
      <c r="T9095" s="141"/>
      <c r="U9095" s="28"/>
    </row>
    <row r="9096" ht="15.75" customHeight="1">
      <c r="P9096" s="25"/>
      <c r="Q9096" s="25"/>
      <c r="R9096" s="25"/>
      <c r="S9096" s="25"/>
      <c r="T9096" s="141"/>
      <c r="U9096" s="28"/>
    </row>
    <row r="9097" ht="15.75" customHeight="1">
      <c r="P9097" s="25"/>
      <c r="Q9097" s="25"/>
      <c r="R9097" s="25"/>
      <c r="S9097" s="25"/>
      <c r="T9097" s="141"/>
      <c r="U9097" s="28"/>
    </row>
    <row r="9098" ht="15.75" customHeight="1">
      <c r="P9098" s="25"/>
      <c r="Q9098" s="25"/>
      <c r="R9098" s="25"/>
      <c r="S9098" s="25"/>
      <c r="T9098" s="141"/>
      <c r="U9098" s="28"/>
    </row>
    <row r="9099" ht="15.75" customHeight="1">
      <c r="P9099" s="25"/>
      <c r="Q9099" s="25"/>
      <c r="R9099" s="25"/>
      <c r="S9099" s="25"/>
      <c r="T9099" s="141"/>
      <c r="U9099" s="28"/>
    </row>
    <row r="9100" ht="15.75" customHeight="1">
      <c r="P9100" s="25"/>
      <c r="Q9100" s="25"/>
      <c r="R9100" s="25"/>
      <c r="S9100" s="25"/>
      <c r="T9100" s="141"/>
      <c r="U9100" s="28"/>
    </row>
    <row r="9101" ht="15.75" customHeight="1">
      <c r="P9101" s="25"/>
      <c r="Q9101" s="25"/>
      <c r="R9101" s="25"/>
      <c r="S9101" s="25"/>
      <c r="T9101" s="141"/>
      <c r="U9101" s="28"/>
    </row>
    <row r="9102" ht="15.75" customHeight="1">
      <c r="P9102" s="25"/>
      <c r="Q9102" s="25"/>
      <c r="R9102" s="25"/>
      <c r="S9102" s="25"/>
      <c r="T9102" s="141"/>
      <c r="U9102" s="28"/>
    </row>
    <row r="9103" ht="15.75" customHeight="1">
      <c r="P9103" s="25"/>
      <c r="Q9103" s="25"/>
      <c r="R9103" s="25"/>
      <c r="S9103" s="25"/>
      <c r="T9103" s="141"/>
      <c r="U9103" s="28"/>
    </row>
    <row r="9104" ht="15.75" customHeight="1">
      <c r="P9104" s="25"/>
      <c r="Q9104" s="25"/>
      <c r="R9104" s="25"/>
      <c r="S9104" s="25"/>
      <c r="T9104" s="141"/>
      <c r="U9104" s="28"/>
    </row>
    <row r="9105" ht="15.75" customHeight="1">
      <c r="P9105" s="25"/>
      <c r="Q9105" s="25"/>
      <c r="R9105" s="25"/>
      <c r="S9105" s="25"/>
      <c r="T9105" s="141"/>
      <c r="U9105" s="28"/>
    </row>
    <row r="9106" ht="15.75" customHeight="1">
      <c r="P9106" s="25"/>
      <c r="Q9106" s="25"/>
      <c r="R9106" s="25"/>
      <c r="S9106" s="25"/>
      <c r="T9106" s="141"/>
      <c r="U9106" s="28"/>
    </row>
    <row r="9107" ht="15.75" customHeight="1">
      <c r="P9107" s="25"/>
      <c r="Q9107" s="25"/>
      <c r="R9107" s="25"/>
      <c r="S9107" s="25"/>
      <c r="T9107" s="141"/>
      <c r="U9107" s="28"/>
    </row>
    <row r="9108" ht="15.75" customHeight="1">
      <c r="P9108" s="25"/>
      <c r="Q9108" s="25"/>
      <c r="R9108" s="25"/>
      <c r="S9108" s="25"/>
      <c r="T9108" s="141"/>
      <c r="U9108" s="28"/>
    </row>
    <row r="9109" ht="15.75" customHeight="1">
      <c r="P9109" s="25"/>
      <c r="Q9109" s="25"/>
      <c r="R9109" s="25"/>
      <c r="S9109" s="25"/>
      <c r="T9109" s="141"/>
      <c r="U9109" s="28"/>
    </row>
    <row r="9110" ht="15.75" customHeight="1">
      <c r="P9110" s="25"/>
      <c r="Q9110" s="25"/>
      <c r="R9110" s="25"/>
      <c r="S9110" s="25"/>
      <c r="T9110" s="141"/>
      <c r="U9110" s="28"/>
    </row>
    <row r="9111" ht="15.75" customHeight="1">
      <c r="P9111" s="25"/>
      <c r="Q9111" s="25"/>
      <c r="R9111" s="25"/>
      <c r="S9111" s="25"/>
      <c r="T9111" s="141"/>
      <c r="U9111" s="28"/>
    </row>
    <row r="9112" ht="15.75" customHeight="1">
      <c r="P9112" s="25"/>
      <c r="Q9112" s="25"/>
      <c r="R9112" s="25"/>
      <c r="S9112" s="25"/>
      <c r="T9112" s="141"/>
      <c r="U9112" s="28"/>
    </row>
    <row r="9113" ht="15.75" customHeight="1">
      <c r="P9113" s="25"/>
      <c r="Q9113" s="25"/>
      <c r="R9113" s="25"/>
      <c r="S9113" s="25"/>
      <c r="T9113" s="141"/>
      <c r="U9113" s="28"/>
    </row>
    <row r="9114" ht="15.75" customHeight="1">
      <c r="P9114" s="25"/>
      <c r="Q9114" s="25"/>
      <c r="R9114" s="25"/>
      <c r="S9114" s="25"/>
      <c r="T9114" s="141"/>
      <c r="U9114" s="28"/>
    </row>
    <row r="9115" ht="15.75" customHeight="1">
      <c r="P9115" s="25"/>
      <c r="Q9115" s="25"/>
      <c r="R9115" s="25"/>
      <c r="S9115" s="25"/>
      <c r="T9115" s="141"/>
      <c r="U9115" s="28"/>
    </row>
    <row r="9116" ht="15.75" customHeight="1">
      <c r="P9116" s="25"/>
      <c r="Q9116" s="25"/>
      <c r="R9116" s="25"/>
      <c r="S9116" s="25"/>
      <c r="T9116" s="141"/>
      <c r="U9116" s="28"/>
    </row>
    <row r="9117" ht="15.75" customHeight="1">
      <c r="P9117" s="25"/>
      <c r="Q9117" s="25"/>
      <c r="R9117" s="25"/>
      <c r="S9117" s="25"/>
      <c r="T9117" s="141"/>
      <c r="U9117" s="28"/>
    </row>
    <row r="9118" ht="15.75" customHeight="1">
      <c r="P9118" s="25"/>
      <c r="Q9118" s="25"/>
      <c r="R9118" s="25"/>
      <c r="S9118" s="25"/>
      <c r="T9118" s="141"/>
      <c r="U9118" s="28"/>
    </row>
    <row r="9119" ht="15.75" customHeight="1">
      <c r="P9119" s="25"/>
      <c r="Q9119" s="25"/>
      <c r="R9119" s="25"/>
      <c r="S9119" s="25"/>
      <c r="T9119" s="141"/>
      <c r="U9119" s="28"/>
    </row>
    <row r="9120" ht="15.75" customHeight="1">
      <c r="P9120" s="25"/>
      <c r="Q9120" s="25"/>
      <c r="R9120" s="25"/>
      <c r="S9120" s="25"/>
      <c r="T9120" s="141"/>
      <c r="U9120" s="28"/>
    </row>
    <row r="9121" ht="15.75" customHeight="1">
      <c r="P9121" s="25"/>
      <c r="Q9121" s="25"/>
      <c r="R9121" s="25"/>
      <c r="S9121" s="25"/>
      <c r="T9121" s="141"/>
      <c r="U9121" s="28"/>
    </row>
    <row r="9122" ht="15.75" customHeight="1">
      <c r="P9122" s="25"/>
      <c r="Q9122" s="25"/>
      <c r="R9122" s="25"/>
      <c r="S9122" s="25"/>
      <c r="T9122" s="141"/>
      <c r="U9122" s="28"/>
    </row>
    <row r="9123" ht="15.75" customHeight="1">
      <c r="P9123" s="25"/>
      <c r="Q9123" s="25"/>
      <c r="R9123" s="25"/>
      <c r="S9123" s="25"/>
      <c r="T9123" s="141"/>
      <c r="U9123" s="28"/>
    </row>
    <row r="9124" ht="15.75" customHeight="1">
      <c r="P9124" s="25"/>
      <c r="Q9124" s="25"/>
      <c r="R9124" s="25"/>
      <c r="S9124" s="25"/>
      <c r="T9124" s="141"/>
      <c r="U9124" s="28"/>
    </row>
    <row r="9125" ht="15.75" customHeight="1">
      <c r="P9125" s="25"/>
      <c r="Q9125" s="25"/>
      <c r="R9125" s="25"/>
      <c r="S9125" s="25"/>
      <c r="T9125" s="141"/>
      <c r="U9125" s="28"/>
    </row>
    <row r="9126" ht="15.75" customHeight="1">
      <c r="P9126" s="25"/>
      <c r="Q9126" s="25"/>
      <c r="R9126" s="25"/>
      <c r="S9126" s="25"/>
      <c r="T9126" s="141"/>
      <c r="U9126" s="28"/>
    </row>
    <row r="9127" ht="15.75" customHeight="1">
      <c r="P9127" s="25"/>
      <c r="Q9127" s="25"/>
      <c r="R9127" s="25"/>
      <c r="S9127" s="25"/>
      <c r="T9127" s="141"/>
      <c r="U9127" s="28"/>
    </row>
    <row r="9128" ht="15.75" customHeight="1">
      <c r="P9128" s="25"/>
      <c r="Q9128" s="25"/>
      <c r="R9128" s="25"/>
      <c r="S9128" s="25"/>
      <c r="T9128" s="141"/>
      <c r="U9128" s="28"/>
    </row>
    <row r="9129" ht="15.75" customHeight="1">
      <c r="P9129" s="25"/>
      <c r="Q9129" s="25"/>
      <c r="R9129" s="25"/>
      <c r="S9129" s="25"/>
      <c r="T9129" s="141"/>
      <c r="U9129" s="28"/>
    </row>
    <row r="9130" ht="15.75" customHeight="1">
      <c r="P9130" s="25"/>
      <c r="Q9130" s="25"/>
      <c r="R9130" s="25"/>
      <c r="S9130" s="25"/>
      <c r="T9130" s="141"/>
      <c r="U9130" s="28"/>
    </row>
    <row r="9131" ht="15.75" customHeight="1">
      <c r="P9131" s="25"/>
      <c r="Q9131" s="25"/>
      <c r="R9131" s="25"/>
      <c r="S9131" s="25"/>
      <c r="T9131" s="141"/>
      <c r="U9131" s="28"/>
    </row>
    <row r="9132" ht="15.75" customHeight="1">
      <c r="P9132" s="25"/>
      <c r="Q9132" s="25"/>
      <c r="R9132" s="25"/>
      <c r="S9132" s="25"/>
      <c r="T9132" s="141"/>
      <c r="U9132" s="28"/>
    </row>
    <row r="9133" ht="15.75" customHeight="1">
      <c r="P9133" s="25"/>
      <c r="Q9133" s="25"/>
      <c r="R9133" s="25"/>
      <c r="S9133" s="25"/>
      <c r="T9133" s="141"/>
      <c r="U9133" s="28"/>
    </row>
    <row r="9134" ht="15.75" customHeight="1">
      <c r="P9134" s="25"/>
      <c r="Q9134" s="25"/>
      <c r="R9134" s="25"/>
      <c r="S9134" s="25"/>
      <c r="T9134" s="141"/>
      <c r="U9134" s="28"/>
    </row>
    <row r="9135" ht="15.75" customHeight="1">
      <c r="P9135" s="25"/>
      <c r="Q9135" s="25"/>
      <c r="R9135" s="25"/>
      <c r="S9135" s="25"/>
      <c r="T9135" s="141"/>
      <c r="U9135" s="28"/>
    </row>
    <row r="9136" ht="15.75" customHeight="1">
      <c r="P9136" s="25"/>
      <c r="Q9136" s="25"/>
      <c r="R9136" s="25"/>
      <c r="S9136" s="25"/>
      <c r="T9136" s="141"/>
      <c r="U9136" s="28"/>
    </row>
    <row r="9137" ht="15.75" customHeight="1">
      <c r="P9137" s="25"/>
      <c r="Q9137" s="25"/>
      <c r="R9137" s="25"/>
      <c r="S9137" s="25"/>
      <c r="T9137" s="141"/>
      <c r="U9137" s="28"/>
    </row>
    <row r="9138" ht="15.75" customHeight="1">
      <c r="P9138" s="25"/>
      <c r="Q9138" s="25"/>
      <c r="R9138" s="25"/>
      <c r="S9138" s="25"/>
      <c r="T9138" s="141"/>
      <c r="U9138" s="28"/>
    </row>
    <row r="9139" ht="15.75" customHeight="1">
      <c r="P9139" s="25"/>
      <c r="Q9139" s="25"/>
      <c r="R9139" s="25"/>
      <c r="S9139" s="25"/>
      <c r="T9139" s="141"/>
      <c r="U9139" s="28"/>
    </row>
    <row r="9140" ht="15.75" customHeight="1">
      <c r="P9140" s="25"/>
      <c r="Q9140" s="25"/>
      <c r="R9140" s="25"/>
      <c r="S9140" s="25"/>
      <c r="T9140" s="141"/>
      <c r="U9140" s="28"/>
    </row>
    <row r="9141" ht="15.75" customHeight="1">
      <c r="P9141" s="25"/>
      <c r="Q9141" s="25"/>
      <c r="R9141" s="25"/>
      <c r="S9141" s="25"/>
      <c r="T9141" s="141"/>
      <c r="U9141" s="28"/>
    </row>
    <row r="9142" ht="15.75" customHeight="1">
      <c r="P9142" s="25"/>
      <c r="Q9142" s="25"/>
      <c r="R9142" s="25"/>
      <c r="S9142" s="25"/>
      <c r="T9142" s="141"/>
      <c r="U9142" s="28"/>
    </row>
    <row r="9143" ht="15.75" customHeight="1">
      <c r="P9143" s="25"/>
      <c r="Q9143" s="25"/>
      <c r="R9143" s="25"/>
      <c r="S9143" s="25"/>
      <c r="T9143" s="141"/>
      <c r="U9143" s="28"/>
    </row>
    <row r="9144" ht="15.75" customHeight="1">
      <c r="P9144" s="25"/>
      <c r="Q9144" s="25"/>
      <c r="R9144" s="25"/>
      <c r="S9144" s="25"/>
      <c r="T9144" s="141"/>
      <c r="U9144" s="28"/>
    </row>
    <row r="9145" ht="15.75" customHeight="1">
      <c r="P9145" s="25"/>
      <c r="Q9145" s="25"/>
      <c r="R9145" s="25"/>
      <c r="S9145" s="25"/>
      <c r="T9145" s="141"/>
      <c r="U9145" s="28"/>
    </row>
    <row r="9146" ht="15.75" customHeight="1">
      <c r="P9146" s="25"/>
      <c r="Q9146" s="25"/>
      <c r="R9146" s="25"/>
      <c r="S9146" s="25"/>
      <c r="T9146" s="141"/>
      <c r="U9146" s="28"/>
    </row>
    <row r="9147" ht="15.75" customHeight="1">
      <c r="P9147" s="25"/>
      <c r="Q9147" s="25"/>
      <c r="R9147" s="25"/>
      <c r="S9147" s="25"/>
      <c r="T9147" s="141"/>
      <c r="U9147" s="28"/>
    </row>
    <row r="9148" ht="15.75" customHeight="1">
      <c r="P9148" s="25"/>
      <c r="Q9148" s="25"/>
      <c r="R9148" s="25"/>
      <c r="S9148" s="25"/>
      <c r="T9148" s="141"/>
      <c r="U9148" s="28"/>
    </row>
    <row r="9149" ht="15.75" customHeight="1">
      <c r="P9149" s="25"/>
      <c r="Q9149" s="25"/>
      <c r="R9149" s="25"/>
      <c r="S9149" s="25"/>
      <c r="T9149" s="141"/>
      <c r="U9149" s="28"/>
    </row>
    <row r="9150" ht="15.75" customHeight="1">
      <c r="P9150" s="25"/>
      <c r="Q9150" s="25"/>
      <c r="R9150" s="25"/>
      <c r="S9150" s="25"/>
      <c r="T9150" s="141"/>
      <c r="U9150" s="28"/>
    </row>
    <row r="9151" ht="15.75" customHeight="1">
      <c r="P9151" s="25"/>
      <c r="Q9151" s="25"/>
      <c r="R9151" s="25"/>
      <c r="S9151" s="25"/>
      <c r="T9151" s="141"/>
      <c r="U9151" s="28"/>
    </row>
    <row r="9152" ht="15.75" customHeight="1">
      <c r="P9152" s="25"/>
      <c r="Q9152" s="25"/>
      <c r="R9152" s="25"/>
      <c r="S9152" s="25"/>
      <c r="T9152" s="141"/>
      <c r="U9152" s="28"/>
    </row>
    <row r="9153" ht="15.75" customHeight="1">
      <c r="P9153" s="25"/>
      <c r="Q9153" s="25"/>
      <c r="R9153" s="25"/>
      <c r="S9153" s="25"/>
      <c r="T9153" s="141"/>
      <c r="U9153" s="28"/>
    </row>
    <row r="9154" ht="15.75" customHeight="1">
      <c r="P9154" s="25"/>
      <c r="Q9154" s="25"/>
      <c r="R9154" s="25"/>
      <c r="S9154" s="25"/>
      <c r="T9154" s="141"/>
      <c r="U9154" s="28"/>
    </row>
    <row r="9155" ht="15.75" customHeight="1">
      <c r="P9155" s="25"/>
      <c r="Q9155" s="25"/>
      <c r="R9155" s="25"/>
      <c r="S9155" s="25"/>
      <c r="T9155" s="141"/>
      <c r="U9155" s="28"/>
    </row>
    <row r="9156" ht="15.75" customHeight="1">
      <c r="P9156" s="25"/>
      <c r="Q9156" s="25"/>
      <c r="R9156" s="25"/>
      <c r="S9156" s="25"/>
      <c r="T9156" s="141"/>
      <c r="U9156" s="28"/>
    </row>
    <row r="9157" ht="15.75" customHeight="1">
      <c r="P9157" s="25"/>
      <c r="Q9157" s="25"/>
      <c r="R9157" s="25"/>
      <c r="S9157" s="25"/>
      <c r="T9157" s="141"/>
      <c r="U9157" s="28"/>
    </row>
    <row r="9158" ht="15.75" customHeight="1">
      <c r="P9158" s="25"/>
      <c r="Q9158" s="25"/>
      <c r="R9158" s="25"/>
      <c r="S9158" s="25"/>
      <c r="T9158" s="141"/>
      <c r="U9158" s="28"/>
    </row>
    <row r="9159" ht="15.75" customHeight="1">
      <c r="P9159" s="25"/>
      <c r="Q9159" s="25"/>
      <c r="R9159" s="25"/>
      <c r="S9159" s="25"/>
      <c r="T9159" s="141"/>
      <c r="U9159" s="28"/>
    </row>
    <row r="9160" ht="15.75" customHeight="1">
      <c r="P9160" s="25"/>
      <c r="Q9160" s="25"/>
      <c r="R9160" s="25"/>
      <c r="S9160" s="25"/>
      <c r="T9160" s="141"/>
      <c r="U9160" s="28"/>
    </row>
    <row r="9161" ht="15.75" customHeight="1">
      <c r="P9161" s="25"/>
      <c r="Q9161" s="25"/>
      <c r="R9161" s="25"/>
      <c r="S9161" s="25"/>
      <c r="T9161" s="141"/>
      <c r="U9161" s="28"/>
    </row>
    <row r="9162" ht="15.75" customHeight="1">
      <c r="P9162" s="25"/>
      <c r="Q9162" s="25"/>
      <c r="R9162" s="25"/>
      <c r="S9162" s="25"/>
      <c r="T9162" s="141"/>
      <c r="U9162" s="28"/>
    </row>
    <row r="9163" ht="15.75" customHeight="1">
      <c r="P9163" s="25"/>
      <c r="Q9163" s="25"/>
      <c r="R9163" s="25"/>
      <c r="S9163" s="25"/>
      <c r="T9163" s="141"/>
      <c r="U9163" s="28"/>
    </row>
    <row r="9164" ht="15.75" customHeight="1">
      <c r="P9164" s="25"/>
      <c r="Q9164" s="25"/>
      <c r="R9164" s="25"/>
      <c r="S9164" s="25"/>
      <c r="T9164" s="141"/>
      <c r="U9164" s="28"/>
    </row>
    <row r="9165" ht="15.75" customHeight="1">
      <c r="P9165" s="25"/>
      <c r="Q9165" s="25"/>
      <c r="R9165" s="25"/>
      <c r="S9165" s="25"/>
      <c r="T9165" s="141"/>
      <c r="U9165" s="28"/>
    </row>
    <row r="9166" ht="15.75" customHeight="1">
      <c r="P9166" s="25"/>
      <c r="Q9166" s="25"/>
      <c r="R9166" s="25"/>
      <c r="S9166" s="25"/>
      <c r="T9166" s="141"/>
      <c r="U9166" s="28"/>
    </row>
    <row r="9167" ht="15.75" customHeight="1">
      <c r="P9167" s="25"/>
      <c r="Q9167" s="25"/>
      <c r="R9167" s="25"/>
      <c r="S9167" s="25"/>
      <c r="T9167" s="141"/>
      <c r="U9167" s="28"/>
    </row>
    <row r="9168" ht="15.75" customHeight="1">
      <c r="P9168" s="25"/>
      <c r="Q9168" s="25"/>
      <c r="R9168" s="25"/>
      <c r="S9168" s="25"/>
      <c r="T9168" s="141"/>
      <c r="U9168" s="28"/>
    </row>
    <row r="9169" ht="15.75" customHeight="1">
      <c r="P9169" s="25"/>
      <c r="Q9169" s="25"/>
      <c r="R9169" s="25"/>
      <c r="S9169" s="25"/>
      <c r="T9169" s="141"/>
      <c r="U9169" s="28"/>
    </row>
    <row r="9170" ht="15.75" customHeight="1">
      <c r="P9170" s="25"/>
      <c r="Q9170" s="25"/>
      <c r="R9170" s="25"/>
      <c r="S9170" s="25"/>
      <c r="T9170" s="141"/>
      <c r="U9170" s="28"/>
    </row>
    <row r="9171" ht="15.75" customHeight="1">
      <c r="P9171" s="25"/>
      <c r="Q9171" s="25"/>
      <c r="R9171" s="25"/>
      <c r="S9171" s="25"/>
      <c r="T9171" s="141"/>
      <c r="U9171" s="28"/>
    </row>
    <row r="9172" ht="15.75" customHeight="1">
      <c r="P9172" s="25"/>
      <c r="Q9172" s="25"/>
      <c r="R9172" s="25"/>
      <c r="S9172" s="25"/>
      <c r="T9172" s="141"/>
      <c r="U9172" s="28"/>
    </row>
    <row r="9173" ht="15.75" customHeight="1">
      <c r="P9173" s="25"/>
      <c r="Q9173" s="25"/>
      <c r="R9173" s="25"/>
      <c r="S9173" s="25"/>
      <c r="T9173" s="141"/>
      <c r="U9173" s="28"/>
    </row>
    <row r="9174" ht="15.75" customHeight="1">
      <c r="P9174" s="25"/>
      <c r="Q9174" s="25"/>
      <c r="R9174" s="25"/>
      <c r="S9174" s="25"/>
      <c r="T9174" s="141"/>
      <c r="U9174" s="28"/>
    </row>
    <row r="9175" ht="15.75" customHeight="1">
      <c r="P9175" s="25"/>
      <c r="Q9175" s="25"/>
      <c r="R9175" s="25"/>
      <c r="S9175" s="25"/>
      <c r="T9175" s="141"/>
      <c r="U9175" s="28"/>
    </row>
    <row r="9176" ht="15.75" customHeight="1">
      <c r="P9176" s="25"/>
      <c r="Q9176" s="25"/>
      <c r="R9176" s="25"/>
      <c r="S9176" s="25"/>
      <c r="T9176" s="141"/>
      <c r="U9176" s="28"/>
    </row>
    <row r="9177" ht="15.75" customHeight="1">
      <c r="P9177" s="25"/>
      <c r="Q9177" s="25"/>
      <c r="R9177" s="25"/>
      <c r="S9177" s="25"/>
      <c r="T9177" s="141"/>
      <c r="U9177" s="28"/>
    </row>
    <row r="9178" ht="15.75" customHeight="1">
      <c r="P9178" s="25"/>
      <c r="Q9178" s="25"/>
      <c r="R9178" s="25"/>
      <c r="S9178" s="25"/>
      <c r="T9178" s="141"/>
      <c r="U9178" s="28"/>
    </row>
    <row r="9179" ht="15.75" customHeight="1">
      <c r="P9179" s="25"/>
      <c r="Q9179" s="25"/>
      <c r="R9179" s="25"/>
      <c r="S9179" s="25"/>
      <c r="T9179" s="141"/>
      <c r="U9179" s="28"/>
    </row>
    <row r="9180" ht="15.75" customHeight="1">
      <c r="P9180" s="25"/>
      <c r="Q9180" s="25"/>
      <c r="R9180" s="25"/>
      <c r="S9180" s="25"/>
      <c r="T9180" s="141"/>
      <c r="U9180" s="28"/>
    </row>
    <row r="9181" ht="15.75" customHeight="1">
      <c r="P9181" s="25"/>
      <c r="Q9181" s="25"/>
      <c r="R9181" s="25"/>
      <c r="S9181" s="25"/>
      <c r="T9181" s="141"/>
      <c r="U9181" s="28"/>
    </row>
    <row r="9182" ht="15.75" customHeight="1">
      <c r="P9182" s="25"/>
      <c r="Q9182" s="25"/>
      <c r="R9182" s="25"/>
      <c r="S9182" s="25"/>
      <c r="T9182" s="141"/>
      <c r="U9182" s="28"/>
    </row>
    <row r="9183" ht="15.75" customHeight="1">
      <c r="P9183" s="25"/>
      <c r="Q9183" s="25"/>
      <c r="R9183" s="25"/>
      <c r="S9183" s="25"/>
      <c r="T9183" s="141"/>
      <c r="U9183" s="28"/>
    </row>
    <row r="9184" ht="15.75" customHeight="1">
      <c r="P9184" s="25"/>
      <c r="Q9184" s="25"/>
      <c r="R9184" s="25"/>
      <c r="S9184" s="25"/>
      <c r="T9184" s="141"/>
      <c r="U9184" s="28"/>
    </row>
    <row r="9185" ht="15.75" customHeight="1">
      <c r="P9185" s="25"/>
      <c r="Q9185" s="25"/>
      <c r="R9185" s="25"/>
      <c r="S9185" s="25"/>
      <c r="T9185" s="141"/>
      <c r="U9185" s="28"/>
    </row>
    <row r="9186" ht="15.75" customHeight="1">
      <c r="P9186" s="25"/>
      <c r="Q9186" s="25"/>
      <c r="R9186" s="25"/>
      <c r="S9186" s="25"/>
      <c r="T9186" s="141"/>
      <c r="U9186" s="28"/>
    </row>
    <row r="9187" ht="15.75" customHeight="1">
      <c r="P9187" s="25"/>
      <c r="Q9187" s="25"/>
      <c r="R9187" s="25"/>
      <c r="S9187" s="25"/>
      <c r="T9187" s="141"/>
      <c r="U9187" s="28"/>
    </row>
    <row r="9188" ht="15.75" customHeight="1">
      <c r="P9188" s="25"/>
      <c r="Q9188" s="25"/>
      <c r="R9188" s="25"/>
      <c r="S9188" s="25"/>
      <c r="T9188" s="141"/>
      <c r="U9188" s="28"/>
    </row>
    <row r="9189" ht="15.75" customHeight="1">
      <c r="P9189" s="25"/>
      <c r="Q9189" s="25"/>
      <c r="R9189" s="25"/>
      <c r="S9189" s="25"/>
      <c r="T9189" s="141"/>
      <c r="U9189" s="28"/>
    </row>
    <row r="9190" ht="15.75" customHeight="1">
      <c r="P9190" s="25"/>
      <c r="Q9190" s="25"/>
      <c r="R9190" s="25"/>
      <c r="S9190" s="25"/>
      <c r="T9190" s="141"/>
      <c r="U9190" s="28"/>
    </row>
    <row r="9191" ht="15.75" customHeight="1">
      <c r="P9191" s="25"/>
      <c r="Q9191" s="25"/>
      <c r="R9191" s="25"/>
      <c r="S9191" s="25"/>
      <c r="T9191" s="141"/>
      <c r="U9191" s="28"/>
    </row>
    <row r="9192" ht="15.75" customHeight="1">
      <c r="P9192" s="25"/>
      <c r="Q9192" s="25"/>
      <c r="R9192" s="25"/>
      <c r="S9192" s="25"/>
      <c r="T9192" s="141"/>
      <c r="U9192" s="28"/>
    </row>
    <row r="9193" ht="15.75" customHeight="1">
      <c r="P9193" s="25"/>
      <c r="Q9193" s="25"/>
      <c r="R9193" s="25"/>
      <c r="S9193" s="25"/>
      <c r="T9193" s="141"/>
      <c r="U9193" s="28"/>
    </row>
    <row r="9194" ht="15.75" customHeight="1">
      <c r="P9194" s="25"/>
      <c r="Q9194" s="25"/>
      <c r="R9194" s="25"/>
      <c r="S9194" s="25"/>
      <c r="T9194" s="141"/>
      <c r="U9194" s="28"/>
    </row>
    <row r="9195" ht="15.75" customHeight="1">
      <c r="P9195" s="25"/>
      <c r="Q9195" s="25"/>
      <c r="R9195" s="25"/>
      <c r="S9195" s="25"/>
      <c r="T9195" s="141"/>
      <c r="U9195" s="28"/>
    </row>
    <row r="9196" ht="15.75" customHeight="1">
      <c r="P9196" s="25"/>
      <c r="Q9196" s="25"/>
      <c r="R9196" s="25"/>
      <c r="S9196" s="25"/>
      <c r="T9196" s="141"/>
      <c r="U9196" s="28"/>
    </row>
    <row r="9197" ht="15.75" customHeight="1">
      <c r="P9197" s="25"/>
      <c r="Q9197" s="25"/>
      <c r="R9197" s="25"/>
      <c r="S9197" s="25"/>
      <c r="T9197" s="141"/>
      <c r="U9197" s="28"/>
    </row>
    <row r="9198" ht="15.75" customHeight="1">
      <c r="P9198" s="25"/>
      <c r="Q9198" s="25"/>
      <c r="R9198" s="25"/>
      <c r="S9198" s="25"/>
      <c r="T9198" s="141"/>
      <c r="U9198" s="28"/>
    </row>
    <row r="9199" ht="15.75" customHeight="1">
      <c r="P9199" s="25"/>
      <c r="Q9199" s="25"/>
      <c r="R9199" s="25"/>
      <c r="S9199" s="25"/>
      <c r="T9199" s="141"/>
      <c r="U9199" s="28"/>
    </row>
    <row r="9200" ht="15.75" customHeight="1">
      <c r="P9200" s="25"/>
      <c r="Q9200" s="25"/>
      <c r="R9200" s="25"/>
      <c r="S9200" s="25"/>
      <c r="T9200" s="141"/>
      <c r="U9200" s="28"/>
    </row>
    <row r="9201" ht="15.75" customHeight="1">
      <c r="P9201" s="25"/>
      <c r="Q9201" s="25"/>
      <c r="R9201" s="25"/>
      <c r="S9201" s="25"/>
      <c r="T9201" s="141"/>
      <c r="U9201" s="28"/>
    </row>
    <row r="9202" ht="15.75" customHeight="1">
      <c r="P9202" s="25"/>
      <c r="Q9202" s="25"/>
      <c r="R9202" s="25"/>
      <c r="S9202" s="25"/>
      <c r="T9202" s="141"/>
      <c r="U9202" s="28"/>
    </row>
    <row r="9203" ht="15.75" customHeight="1">
      <c r="P9203" s="25"/>
      <c r="Q9203" s="25"/>
      <c r="R9203" s="25"/>
      <c r="S9203" s="25"/>
      <c r="T9203" s="141"/>
      <c r="U9203" s="28"/>
    </row>
    <row r="9204" ht="15.75" customHeight="1">
      <c r="P9204" s="25"/>
      <c r="Q9204" s="25"/>
      <c r="R9204" s="25"/>
      <c r="S9204" s="25"/>
      <c r="T9204" s="141"/>
      <c r="U9204" s="28"/>
    </row>
    <row r="9205" ht="15.75" customHeight="1">
      <c r="P9205" s="25"/>
      <c r="Q9205" s="25"/>
      <c r="R9205" s="25"/>
      <c r="S9205" s="25"/>
      <c r="T9205" s="141"/>
      <c r="U9205" s="28"/>
    </row>
    <row r="9206" ht="15.75" customHeight="1">
      <c r="P9206" s="25"/>
      <c r="Q9206" s="25"/>
      <c r="R9206" s="25"/>
      <c r="S9206" s="25"/>
      <c r="T9206" s="141"/>
      <c r="U9206" s="28"/>
    </row>
    <row r="9207" ht="15.75" customHeight="1">
      <c r="P9207" s="25"/>
      <c r="Q9207" s="25"/>
      <c r="R9207" s="25"/>
      <c r="S9207" s="25"/>
      <c r="T9207" s="141"/>
      <c r="U9207" s="28"/>
    </row>
    <row r="9208" ht="15.75" customHeight="1">
      <c r="P9208" s="25"/>
      <c r="Q9208" s="25"/>
      <c r="R9208" s="25"/>
      <c r="S9208" s="25"/>
      <c r="T9208" s="141"/>
      <c r="U9208" s="28"/>
    </row>
    <row r="9209" ht="15.75" customHeight="1">
      <c r="P9209" s="25"/>
      <c r="Q9209" s="25"/>
      <c r="R9209" s="25"/>
      <c r="S9209" s="25"/>
      <c r="T9209" s="141"/>
      <c r="U9209" s="28"/>
    </row>
    <row r="9210" ht="15.75" customHeight="1">
      <c r="P9210" s="25"/>
      <c r="Q9210" s="25"/>
      <c r="R9210" s="25"/>
      <c r="S9210" s="25"/>
      <c r="T9210" s="141"/>
      <c r="U9210" s="28"/>
    </row>
    <row r="9211" ht="15.75" customHeight="1">
      <c r="P9211" s="25"/>
      <c r="Q9211" s="25"/>
      <c r="R9211" s="25"/>
      <c r="S9211" s="25"/>
      <c r="T9211" s="141"/>
      <c r="U9211" s="28"/>
    </row>
    <row r="9212" ht="15.75" customHeight="1">
      <c r="P9212" s="25"/>
      <c r="Q9212" s="25"/>
      <c r="R9212" s="25"/>
      <c r="S9212" s="25"/>
      <c r="T9212" s="141"/>
      <c r="U9212" s="28"/>
    </row>
    <row r="9213" ht="15.75" customHeight="1">
      <c r="P9213" s="25"/>
      <c r="Q9213" s="25"/>
      <c r="R9213" s="25"/>
      <c r="S9213" s="25"/>
      <c r="T9213" s="141"/>
      <c r="U9213" s="28"/>
    </row>
    <row r="9214" ht="15.75" customHeight="1">
      <c r="P9214" s="25"/>
      <c r="Q9214" s="25"/>
      <c r="R9214" s="25"/>
      <c r="S9214" s="25"/>
      <c r="T9214" s="141"/>
      <c r="U9214" s="28"/>
    </row>
    <row r="9215" ht="15.75" customHeight="1">
      <c r="P9215" s="25"/>
      <c r="Q9215" s="25"/>
      <c r="R9215" s="25"/>
      <c r="S9215" s="25"/>
      <c r="T9215" s="141"/>
      <c r="U9215" s="28"/>
    </row>
    <row r="9216" ht="15.75" customHeight="1">
      <c r="P9216" s="25"/>
      <c r="Q9216" s="25"/>
      <c r="R9216" s="25"/>
      <c r="S9216" s="25"/>
      <c r="T9216" s="141"/>
      <c r="U9216" s="28"/>
    </row>
    <row r="9217" ht="15.75" customHeight="1">
      <c r="P9217" s="25"/>
      <c r="Q9217" s="25"/>
      <c r="R9217" s="25"/>
      <c r="S9217" s="25"/>
      <c r="T9217" s="141"/>
      <c r="U9217" s="28"/>
    </row>
    <row r="9218" ht="15.75" customHeight="1">
      <c r="P9218" s="25"/>
      <c r="Q9218" s="25"/>
      <c r="R9218" s="25"/>
      <c r="S9218" s="25"/>
      <c r="T9218" s="141"/>
      <c r="U9218" s="28"/>
    </row>
    <row r="9219" ht="15.75" customHeight="1">
      <c r="P9219" s="25"/>
      <c r="Q9219" s="25"/>
      <c r="R9219" s="25"/>
      <c r="S9219" s="25"/>
      <c r="T9219" s="141"/>
      <c r="U9219" s="28"/>
    </row>
    <row r="9220" ht="15.75" customHeight="1">
      <c r="P9220" s="25"/>
      <c r="Q9220" s="25"/>
      <c r="R9220" s="25"/>
      <c r="S9220" s="25"/>
      <c r="T9220" s="141"/>
      <c r="U9220" s="28"/>
    </row>
    <row r="9221" ht="15.75" customHeight="1">
      <c r="P9221" s="25"/>
      <c r="Q9221" s="25"/>
      <c r="R9221" s="25"/>
      <c r="S9221" s="25"/>
      <c r="T9221" s="141"/>
      <c r="U9221" s="28"/>
    </row>
    <row r="9222" ht="15.75" customHeight="1">
      <c r="P9222" s="25"/>
      <c r="Q9222" s="25"/>
      <c r="R9222" s="25"/>
      <c r="S9222" s="25"/>
      <c r="T9222" s="141"/>
      <c r="U9222" s="28"/>
    </row>
    <row r="9223" ht="15.75" customHeight="1">
      <c r="P9223" s="25"/>
      <c r="Q9223" s="25"/>
      <c r="R9223" s="25"/>
      <c r="S9223" s="25"/>
      <c r="T9223" s="141"/>
      <c r="U9223" s="28"/>
    </row>
    <row r="9224" ht="15.75" customHeight="1">
      <c r="P9224" s="25"/>
      <c r="Q9224" s="25"/>
      <c r="R9224" s="25"/>
      <c r="S9224" s="25"/>
      <c r="T9224" s="141"/>
      <c r="U9224" s="28"/>
    </row>
    <row r="9225" ht="15.75" customHeight="1">
      <c r="P9225" s="25"/>
      <c r="Q9225" s="25"/>
      <c r="R9225" s="25"/>
      <c r="S9225" s="25"/>
      <c r="T9225" s="141"/>
      <c r="U9225" s="28"/>
    </row>
    <row r="9226" ht="15.75" customHeight="1">
      <c r="P9226" s="25"/>
      <c r="Q9226" s="25"/>
      <c r="R9226" s="25"/>
      <c r="S9226" s="25"/>
      <c r="T9226" s="141"/>
      <c r="U9226" s="28"/>
    </row>
    <row r="9227" ht="15.75" customHeight="1">
      <c r="P9227" s="25"/>
      <c r="Q9227" s="25"/>
      <c r="R9227" s="25"/>
      <c r="S9227" s="25"/>
      <c r="T9227" s="141"/>
      <c r="U9227" s="28"/>
    </row>
    <row r="9228" ht="15.75" customHeight="1">
      <c r="P9228" s="25"/>
      <c r="Q9228" s="25"/>
      <c r="R9228" s="25"/>
      <c r="S9228" s="25"/>
      <c r="T9228" s="141"/>
      <c r="U9228" s="28"/>
    </row>
    <row r="9229" ht="15.75" customHeight="1">
      <c r="P9229" s="25"/>
      <c r="Q9229" s="25"/>
      <c r="R9229" s="25"/>
      <c r="S9229" s="25"/>
      <c r="T9229" s="141"/>
      <c r="U9229" s="28"/>
    </row>
    <row r="9230" ht="15.75" customHeight="1">
      <c r="P9230" s="25"/>
      <c r="Q9230" s="25"/>
      <c r="R9230" s="25"/>
      <c r="S9230" s="25"/>
      <c r="T9230" s="141"/>
      <c r="U9230" s="28"/>
    </row>
    <row r="9231" ht="15.75" customHeight="1">
      <c r="P9231" s="25"/>
      <c r="Q9231" s="25"/>
      <c r="R9231" s="25"/>
      <c r="S9231" s="25"/>
      <c r="T9231" s="141"/>
      <c r="U9231" s="28"/>
    </row>
    <row r="9232" ht="15.75" customHeight="1">
      <c r="P9232" s="25"/>
      <c r="Q9232" s="25"/>
      <c r="R9232" s="25"/>
      <c r="S9232" s="25"/>
      <c r="T9232" s="141"/>
      <c r="U9232" s="28"/>
    </row>
    <row r="9233" ht="15.75" customHeight="1">
      <c r="P9233" s="25"/>
      <c r="Q9233" s="25"/>
      <c r="R9233" s="25"/>
      <c r="S9233" s="25"/>
      <c r="T9233" s="141"/>
      <c r="U9233" s="28"/>
    </row>
    <row r="9234" ht="15.75" customHeight="1">
      <c r="P9234" s="25"/>
      <c r="Q9234" s="25"/>
      <c r="R9234" s="25"/>
      <c r="S9234" s="25"/>
      <c r="T9234" s="141"/>
      <c r="U9234" s="28"/>
    </row>
    <row r="9235" ht="15.75" customHeight="1">
      <c r="P9235" s="25"/>
      <c r="Q9235" s="25"/>
      <c r="R9235" s="25"/>
      <c r="S9235" s="25"/>
      <c r="T9235" s="141"/>
      <c r="U9235" s="28"/>
    </row>
    <row r="9236" ht="15.75" customHeight="1">
      <c r="P9236" s="25"/>
      <c r="Q9236" s="25"/>
      <c r="R9236" s="25"/>
      <c r="S9236" s="25"/>
      <c r="T9236" s="141"/>
      <c r="U9236" s="28"/>
    </row>
    <row r="9237" ht="15.75" customHeight="1">
      <c r="P9237" s="25"/>
      <c r="Q9237" s="25"/>
      <c r="R9237" s="25"/>
      <c r="S9237" s="25"/>
      <c r="T9237" s="141"/>
      <c r="U9237" s="28"/>
    </row>
    <row r="9238" ht="15.75" customHeight="1">
      <c r="P9238" s="25"/>
      <c r="Q9238" s="25"/>
      <c r="R9238" s="25"/>
      <c r="S9238" s="25"/>
      <c r="T9238" s="141"/>
      <c r="U9238" s="28"/>
    </row>
    <row r="9239" ht="15.75" customHeight="1">
      <c r="P9239" s="25"/>
      <c r="Q9239" s="25"/>
      <c r="R9239" s="25"/>
      <c r="S9239" s="25"/>
      <c r="T9239" s="141"/>
      <c r="U9239" s="28"/>
    </row>
    <row r="9240" ht="15.75" customHeight="1">
      <c r="P9240" s="25"/>
      <c r="Q9240" s="25"/>
      <c r="R9240" s="25"/>
      <c r="S9240" s="25"/>
      <c r="T9240" s="141"/>
      <c r="U9240" s="28"/>
    </row>
    <row r="9241" ht="15.75" customHeight="1">
      <c r="P9241" s="25"/>
      <c r="Q9241" s="25"/>
      <c r="R9241" s="25"/>
      <c r="S9241" s="25"/>
      <c r="T9241" s="141"/>
      <c r="U9241" s="28"/>
    </row>
    <row r="9242" ht="15.75" customHeight="1">
      <c r="P9242" s="25"/>
      <c r="Q9242" s="25"/>
      <c r="R9242" s="25"/>
      <c r="S9242" s="25"/>
      <c r="T9242" s="141"/>
      <c r="U9242" s="28"/>
    </row>
    <row r="9243" ht="15.75" customHeight="1">
      <c r="P9243" s="25"/>
      <c r="Q9243" s="25"/>
      <c r="R9243" s="25"/>
      <c r="S9243" s="25"/>
      <c r="T9243" s="141"/>
      <c r="U9243" s="28"/>
    </row>
    <row r="9244" ht="15.75" customHeight="1">
      <c r="P9244" s="25"/>
      <c r="Q9244" s="25"/>
      <c r="R9244" s="25"/>
      <c r="S9244" s="25"/>
      <c r="T9244" s="141"/>
      <c r="U9244" s="28"/>
    </row>
    <row r="9245" ht="15.75" customHeight="1">
      <c r="P9245" s="25"/>
      <c r="Q9245" s="25"/>
      <c r="R9245" s="25"/>
      <c r="S9245" s="25"/>
      <c r="T9245" s="141"/>
      <c r="U9245" s="28"/>
    </row>
    <row r="9246" ht="15.75" customHeight="1">
      <c r="P9246" s="25"/>
      <c r="Q9246" s="25"/>
      <c r="R9246" s="25"/>
      <c r="S9246" s="25"/>
      <c r="T9246" s="141"/>
      <c r="U9246" s="28"/>
    </row>
    <row r="9247" ht="15.75" customHeight="1">
      <c r="P9247" s="25"/>
      <c r="Q9247" s="25"/>
      <c r="R9247" s="25"/>
      <c r="S9247" s="25"/>
      <c r="T9247" s="141"/>
      <c r="U9247" s="28"/>
    </row>
    <row r="9248" ht="15.75" customHeight="1">
      <c r="P9248" s="25"/>
      <c r="Q9248" s="25"/>
      <c r="R9248" s="25"/>
      <c r="S9248" s="25"/>
      <c r="T9248" s="141"/>
      <c r="U9248" s="28"/>
    </row>
    <row r="9249" ht="15.75" customHeight="1">
      <c r="P9249" s="25"/>
      <c r="Q9249" s="25"/>
      <c r="R9249" s="25"/>
      <c r="S9249" s="25"/>
      <c r="T9249" s="141"/>
      <c r="U9249" s="28"/>
    </row>
    <row r="9250" ht="15.75" customHeight="1">
      <c r="P9250" s="25"/>
      <c r="Q9250" s="25"/>
      <c r="R9250" s="25"/>
      <c r="S9250" s="25"/>
      <c r="T9250" s="141"/>
      <c r="U9250" s="28"/>
    </row>
    <row r="9251" ht="15.75" customHeight="1">
      <c r="P9251" s="25"/>
      <c r="Q9251" s="25"/>
      <c r="R9251" s="25"/>
      <c r="S9251" s="25"/>
      <c r="T9251" s="141"/>
      <c r="U9251" s="28"/>
    </row>
    <row r="9252" ht="15.75" customHeight="1">
      <c r="P9252" s="25"/>
      <c r="Q9252" s="25"/>
      <c r="R9252" s="25"/>
      <c r="S9252" s="25"/>
      <c r="T9252" s="141"/>
      <c r="U9252" s="28"/>
    </row>
    <row r="9253" ht="15.75" customHeight="1">
      <c r="P9253" s="25"/>
      <c r="Q9253" s="25"/>
      <c r="R9253" s="25"/>
      <c r="S9253" s="25"/>
      <c r="T9253" s="141"/>
      <c r="U9253" s="28"/>
    </row>
    <row r="9254" ht="15.75" customHeight="1">
      <c r="P9254" s="25"/>
      <c r="Q9254" s="25"/>
      <c r="R9254" s="25"/>
      <c r="S9254" s="25"/>
      <c r="T9254" s="141"/>
      <c r="U9254" s="28"/>
    </row>
    <row r="9255" ht="15.75" customHeight="1">
      <c r="P9255" s="25"/>
      <c r="Q9255" s="25"/>
      <c r="R9255" s="25"/>
      <c r="S9255" s="25"/>
      <c r="T9255" s="141"/>
      <c r="U9255" s="28"/>
    </row>
    <row r="9256" ht="15.75" customHeight="1">
      <c r="P9256" s="25"/>
      <c r="Q9256" s="25"/>
      <c r="R9256" s="25"/>
      <c r="S9256" s="25"/>
      <c r="T9256" s="141"/>
      <c r="U9256" s="28"/>
    </row>
    <row r="9257" ht="15.75" customHeight="1">
      <c r="P9257" s="25"/>
      <c r="Q9257" s="25"/>
      <c r="R9257" s="25"/>
      <c r="S9257" s="25"/>
      <c r="T9257" s="141"/>
      <c r="U9257" s="28"/>
    </row>
    <row r="9258" ht="15.75" customHeight="1">
      <c r="P9258" s="25"/>
      <c r="Q9258" s="25"/>
      <c r="R9258" s="25"/>
      <c r="S9258" s="25"/>
      <c r="T9258" s="141"/>
      <c r="U9258" s="28"/>
    </row>
    <row r="9259" ht="15.75" customHeight="1">
      <c r="P9259" s="25"/>
      <c r="Q9259" s="25"/>
      <c r="R9259" s="25"/>
      <c r="S9259" s="25"/>
      <c r="T9259" s="141"/>
      <c r="U9259" s="28"/>
    </row>
    <row r="9260" ht="15.75" customHeight="1">
      <c r="P9260" s="25"/>
      <c r="Q9260" s="25"/>
      <c r="R9260" s="25"/>
      <c r="S9260" s="25"/>
      <c r="T9260" s="141"/>
      <c r="U9260" s="28"/>
    </row>
    <row r="9261" ht="15.75" customHeight="1">
      <c r="P9261" s="25"/>
      <c r="Q9261" s="25"/>
      <c r="R9261" s="25"/>
      <c r="S9261" s="25"/>
      <c r="T9261" s="141"/>
      <c r="U9261" s="28"/>
    </row>
    <row r="9262" ht="15.75" customHeight="1">
      <c r="P9262" s="25"/>
      <c r="Q9262" s="25"/>
      <c r="R9262" s="25"/>
      <c r="S9262" s="25"/>
      <c r="T9262" s="141"/>
      <c r="U9262" s="28"/>
    </row>
    <row r="9263" ht="15.75" customHeight="1">
      <c r="P9263" s="25"/>
      <c r="Q9263" s="25"/>
      <c r="R9263" s="25"/>
      <c r="S9263" s="25"/>
      <c r="T9263" s="141"/>
      <c r="U9263" s="28"/>
    </row>
    <row r="9264" ht="15.75" customHeight="1">
      <c r="P9264" s="25"/>
      <c r="Q9264" s="25"/>
      <c r="R9264" s="25"/>
      <c r="S9264" s="25"/>
      <c r="T9264" s="141"/>
      <c r="U9264" s="28"/>
    </row>
    <row r="9265" ht="15.75" customHeight="1">
      <c r="P9265" s="25"/>
      <c r="Q9265" s="25"/>
      <c r="R9265" s="25"/>
      <c r="S9265" s="25"/>
      <c r="T9265" s="141"/>
      <c r="U9265" s="28"/>
    </row>
    <row r="9266" ht="15.75" customHeight="1">
      <c r="P9266" s="25"/>
      <c r="Q9266" s="25"/>
      <c r="R9266" s="25"/>
      <c r="S9266" s="25"/>
      <c r="T9266" s="141"/>
      <c r="U9266" s="28"/>
    </row>
    <row r="9267" ht="15.75" customHeight="1">
      <c r="P9267" s="25"/>
      <c r="Q9267" s="25"/>
      <c r="R9267" s="25"/>
      <c r="S9267" s="25"/>
      <c r="T9267" s="141"/>
      <c r="U9267" s="28"/>
    </row>
    <row r="9268" ht="15.75" customHeight="1">
      <c r="P9268" s="25"/>
      <c r="Q9268" s="25"/>
      <c r="R9268" s="25"/>
      <c r="S9268" s="25"/>
      <c r="T9268" s="141"/>
      <c r="U9268" s="28"/>
    </row>
    <row r="9269" ht="15.75" customHeight="1">
      <c r="P9269" s="25"/>
      <c r="Q9269" s="25"/>
      <c r="R9269" s="25"/>
      <c r="S9269" s="25"/>
      <c r="T9269" s="141"/>
      <c r="U9269" s="28"/>
    </row>
    <row r="9270" ht="15.75" customHeight="1">
      <c r="P9270" s="25"/>
      <c r="Q9270" s="25"/>
      <c r="R9270" s="25"/>
      <c r="S9270" s="25"/>
      <c r="T9270" s="141"/>
      <c r="U9270" s="28"/>
    </row>
    <row r="9271" ht="15.75" customHeight="1">
      <c r="P9271" s="25"/>
      <c r="Q9271" s="25"/>
      <c r="R9271" s="25"/>
      <c r="S9271" s="25"/>
      <c r="T9271" s="141"/>
      <c r="U9271" s="28"/>
    </row>
    <row r="9272" ht="15.75" customHeight="1">
      <c r="P9272" s="25"/>
      <c r="Q9272" s="25"/>
      <c r="R9272" s="25"/>
      <c r="S9272" s="25"/>
      <c r="T9272" s="141"/>
      <c r="U9272" s="28"/>
    </row>
    <row r="9273" ht="15.75" customHeight="1">
      <c r="P9273" s="25"/>
      <c r="Q9273" s="25"/>
      <c r="R9273" s="25"/>
      <c r="S9273" s="25"/>
      <c r="T9273" s="141"/>
      <c r="U9273" s="28"/>
    </row>
    <row r="9274" ht="15.75" customHeight="1">
      <c r="P9274" s="25"/>
      <c r="Q9274" s="25"/>
      <c r="R9274" s="25"/>
      <c r="S9274" s="25"/>
      <c r="T9274" s="141"/>
      <c r="U9274" s="28"/>
    </row>
    <row r="9275" ht="15.75" customHeight="1">
      <c r="P9275" s="25"/>
      <c r="Q9275" s="25"/>
      <c r="R9275" s="25"/>
      <c r="S9275" s="25"/>
      <c r="T9275" s="141"/>
      <c r="U9275" s="28"/>
    </row>
    <row r="9276" ht="15.75" customHeight="1">
      <c r="P9276" s="25"/>
      <c r="Q9276" s="25"/>
      <c r="R9276" s="25"/>
      <c r="S9276" s="25"/>
      <c r="T9276" s="141"/>
      <c r="U9276" s="28"/>
    </row>
    <row r="9277" ht="15.75" customHeight="1">
      <c r="P9277" s="25"/>
      <c r="Q9277" s="25"/>
      <c r="R9277" s="25"/>
      <c r="S9277" s="25"/>
      <c r="T9277" s="141"/>
      <c r="U9277" s="28"/>
    </row>
    <row r="9278" ht="15.75" customHeight="1">
      <c r="P9278" s="25"/>
      <c r="Q9278" s="25"/>
      <c r="R9278" s="25"/>
      <c r="S9278" s="25"/>
      <c r="T9278" s="141"/>
      <c r="U9278" s="28"/>
    </row>
    <row r="9279" ht="15.75" customHeight="1">
      <c r="P9279" s="25"/>
      <c r="Q9279" s="25"/>
      <c r="R9279" s="25"/>
      <c r="S9279" s="25"/>
      <c r="T9279" s="141"/>
      <c r="U9279" s="28"/>
    </row>
    <row r="9280" ht="15.75" customHeight="1">
      <c r="P9280" s="25"/>
      <c r="Q9280" s="25"/>
      <c r="R9280" s="25"/>
      <c r="S9280" s="25"/>
      <c r="T9280" s="141"/>
      <c r="U9280" s="28"/>
    </row>
    <row r="9281" ht="15.75" customHeight="1">
      <c r="P9281" s="25"/>
      <c r="Q9281" s="25"/>
      <c r="R9281" s="25"/>
      <c r="S9281" s="25"/>
      <c r="T9281" s="141"/>
      <c r="U9281" s="28"/>
    </row>
    <row r="9282" ht="15.75" customHeight="1">
      <c r="P9282" s="25"/>
      <c r="Q9282" s="25"/>
      <c r="R9282" s="25"/>
      <c r="S9282" s="25"/>
      <c r="T9282" s="141"/>
      <c r="U9282" s="28"/>
    </row>
    <row r="9283" ht="15.75" customHeight="1">
      <c r="P9283" s="25"/>
      <c r="Q9283" s="25"/>
      <c r="R9283" s="25"/>
      <c r="S9283" s="25"/>
      <c r="T9283" s="141"/>
      <c r="U9283" s="28"/>
    </row>
    <row r="9284" ht="15.75" customHeight="1">
      <c r="P9284" s="25"/>
      <c r="Q9284" s="25"/>
      <c r="R9284" s="25"/>
      <c r="S9284" s="25"/>
      <c r="T9284" s="141"/>
      <c r="U9284" s="28"/>
    </row>
    <row r="9285" ht="15.75" customHeight="1">
      <c r="P9285" s="25"/>
      <c r="Q9285" s="25"/>
      <c r="R9285" s="25"/>
      <c r="S9285" s="25"/>
      <c r="T9285" s="141"/>
      <c r="U9285" s="28"/>
    </row>
    <row r="9286" ht="15.75" customHeight="1">
      <c r="P9286" s="25"/>
      <c r="Q9286" s="25"/>
      <c r="R9286" s="25"/>
      <c r="S9286" s="25"/>
      <c r="T9286" s="141"/>
      <c r="U9286" s="28"/>
    </row>
    <row r="9287" ht="15.75" customHeight="1">
      <c r="P9287" s="25"/>
      <c r="Q9287" s="25"/>
      <c r="R9287" s="25"/>
      <c r="S9287" s="25"/>
      <c r="T9287" s="141"/>
      <c r="U9287" s="28"/>
    </row>
    <row r="9288" ht="15.75" customHeight="1">
      <c r="P9288" s="25"/>
      <c r="Q9288" s="25"/>
      <c r="R9288" s="25"/>
      <c r="S9288" s="25"/>
      <c r="T9288" s="141"/>
      <c r="U9288" s="28"/>
    </row>
    <row r="9289" ht="15.75" customHeight="1">
      <c r="P9289" s="25"/>
      <c r="Q9289" s="25"/>
      <c r="R9289" s="25"/>
      <c r="S9289" s="25"/>
      <c r="T9289" s="141"/>
      <c r="U9289" s="28"/>
    </row>
    <row r="9290" ht="15.75" customHeight="1">
      <c r="P9290" s="25"/>
      <c r="Q9290" s="25"/>
      <c r="R9290" s="25"/>
      <c r="S9290" s="25"/>
      <c r="T9290" s="141"/>
      <c r="U9290" s="28"/>
    </row>
    <row r="9291" ht="15.75" customHeight="1">
      <c r="P9291" s="25"/>
      <c r="Q9291" s="25"/>
      <c r="R9291" s="25"/>
      <c r="S9291" s="25"/>
      <c r="T9291" s="141"/>
      <c r="U9291" s="28"/>
    </row>
    <row r="9292" ht="15.75" customHeight="1">
      <c r="P9292" s="25"/>
      <c r="Q9292" s="25"/>
      <c r="R9292" s="25"/>
      <c r="S9292" s="25"/>
      <c r="T9292" s="141"/>
      <c r="U9292" s="28"/>
    </row>
    <row r="9293" ht="15.75" customHeight="1">
      <c r="P9293" s="25"/>
      <c r="Q9293" s="25"/>
      <c r="R9293" s="25"/>
      <c r="S9293" s="25"/>
      <c r="T9293" s="141"/>
      <c r="U9293" s="28"/>
    </row>
    <row r="9294" ht="15.75" customHeight="1">
      <c r="P9294" s="25"/>
      <c r="Q9294" s="25"/>
      <c r="R9294" s="25"/>
      <c r="S9294" s="25"/>
      <c r="T9294" s="141"/>
      <c r="U9294" s="28"/>
    </row>
    <row r="9295" ht="15.75" customHeight="1">
      <c r="P9295" s="25"/>
      <c r="Q9295" s="25"/>
      <c r="R9295" s="25"/>
      <c r="S9295" s="25"/>
      <c r="T9295" s="141"/>
      <c r="U9295" s="28"/>
    </row>
    <row r="9296" ht="15.75" customHeight="1">
      <c r="P9296" s="25"/>
      <c r="Q9296" s="25"/>
      <c r="R9296" s="25"/>
      <c r="S9296" s="25"/>
      <c r="T9296" s="141"/>
      <c r="U9296" s="28"/>
    </row>
    <row r="9297" ht="15.75" customHeight="1">
      <c r="P9297" s="25"/>
      <c r="Q9297" s="25"/>
      <c r="R9297" s="25"/>
      <c r="S9297" s="25"/>
      <c r="T9297" s="141"/>
      <c r="U9297" s="28"/>
    </row>
    <row r="9298" ht="15.75" customHeight="1">
      <c r="P9298" s="25"/>
      <c r="Q9298" s="25"/>
      <c r="R9298" s="25"/>
      <c r="S9298" s="25"/>
      <c r="T9298" s="141"/>
      <c r="U9298" s="28"/>
    </row>
    <row r="9299" ht="15.75" customHeight="1">
      <c r="P9299" s="25"/>
      <c r="Q9299" s="25"/>
      <c r="R9299" s="25"/>
      <c r="S9299" s="25"/>
      <c r="T9299" s="141"/>
      <c r="U9299" s="28"/>
    </row>
    <row r="9300" ht="15.75" customHeight="1">
      <c r="P9300" s="25"/>
      <c r="Q9300" s="25"/>
      <c r="R9300" s="25"/>
      <c r="S9300" s="25"/>
      <c r="T9300" s="141"/>
      <c r="U9300" s="28"/>
    </row>
    <row r="9301" ht="15.75" customHeight="1">
      <c r="P9301" s="25"/>
      <c r="Q9301" s="25"/>
      <c r="R9301" s="25"/>
      <c r="S9301" s="25"/>
      <c r="T9301" s="141"/>
      <c r="U9301" s="28"/>
    </row>
    <row r="9302" ht="15.75" customHeight="1">
      <c r="P9302" s="25"/>
      <c r="Q9302" s="25"/>
      <c r="R9302" s="25"/>
      <c r="S9302" s="25"/>
      <c r="T9302" s="141"/>
      <c r="U9302" s="28"/>
    </row>
    <row r="9303" ht="15.75" customHeight="1">
      <c r="P9303" s="25"/>
      <c r="Q9303" s="25"/>
      <c r="R9303" s="25"/>
      <c r="S9303" s="25"/>
      <c r="T9303" s="141"/>
      <c r="U9303" s="28"/>
    </row>
    <row r="9304" ht="15.75" customHeight="1">
      <c r="P9304" s="25"/>
      <c r="Q9304" s="25"/>
      <c r="R9304" s="25"/>
      <c r="S9304" s="25"/>
      <c r="T9304" s="141"/>
      <c r="U9304" s="28"/>
    </row>
    <row r="9305" ht="15.75" customHeight="1">
      <c r="P9305" s="25"/>
      <c r="Q9305" s="25"/>
      <c r="R9305" s="25"/>
      <c r="S9305" s="25"/>
      <c r="T9305" s="141"/>
      <c r="U9305" s="28"/>
    </row>
    <row r="9306" ht="15.75" customHeight="1">
      <c r="P9306" s="25"/>
      <c r="Q9306" s="25"/>
      <c r="R9306" s="25"/>
      <c r="S9306" s="25"/>
      <c r="T9306" s="141"/>
      <c r="U9306" s="28"/>
    </row>
    <row r="9307" ht="15.75" customHeight="1">
      <c r="P9307" s="25"/>
      <c r="Q9307" s="25"/>
      <c r="R9307" s="25"/>
      <c r="S9307" s="25"/>
      <c r="T9307" s="141"/>
      <c r="U9307" s="28"/>
    </row>
    <row r="9308" ht="15.75" customHeight="1">
      <c r="P9308" s="25"/>
      <c r="Q9308" s="25"/>
      <c r="R9308" s="25"/>
      <c r="S9308" s="25"/>
      <c r="T9308" s="141"/>
      <c r="U9308" s="28"/>
    </row>
    <row r="9309" ht="15.75" customHeight="1">
      <c r="P9309" s="25"/>
      <c r="Q9309" s="25"/>
      <c r="R9309" s="25"/>
      <c r="S9309" s="25"/>
      <c r="T9309" s="141"/>
      <c r="U9309" s="28"/>
    </row>
    <row r="9310" ht="15.75" customHeight="1">
      <c r="P9310" s="25"/>
      <c r="Q9310" s="25"/>
      <c r="R9310" s="25"/>
      <c r="S9310" s="25"/>
      <c r="T9310" s="141"/>
      <c r="U9310" s="28"/>
    </row>
    <row r="9311" ht="15.75" customHeight="1">
      <c r="P9311" s="25"/>
      <c r="Q9311" s="25"/>
      <c r="R9311" s="25"/>
      <c r="S9311" s="25"/>
      <c r="T9311" s="141"/>
      <c r="U9311" s="28"/>
    </row>
    <row r="9312" ht="15.75" customHeight="1">
      <c r="P9312" s="25"/>
      <c r="Q9312" s="25"/>
      <c r="R9312" s="25"/>
      <c r="S9312" s="25"/>
      <c r="T9312" s="141"/>
      <c r="U9312" s="28"/>
    </row>
    <row r="9313" ht="15.75" customHeight="1">
      <c r="P9313" s="25"/>
      <c r="Q9313" s="25"/>
      <c r="R9313" s="25"/>
      <c r="S9313" s="25"/>
      <c r="T9313" s="141"/>
      <c r="U9313" s="28"/>
    </row>
    <row r="9314" ht="15.75" customHeight="1">
      <c r="P9314" s="25"/>
      <c r="Q9314" s="25"/>
      <c r="R9314" s="25"/>
      <c r="S9314" s="25"/>
      <c r="T9314" s="141"/>
      <c r="U9314" s="28"/>
    </row>
    <row r="9315" ht="15.75" customHeight="1">
      <c r="P9315" s="25"/>
      <c r="Q9315" s="25"/>
      <c r="R9315" s="25"/>
      <c r="S9315" s="25"/>
      <c r="T9315" s="141"/>
      <c r="U9315" s="28"/>
    </row>
    <row r="9316" ht="15.75" customHeight="1">
      <c r="P9316" s="25"/>
      <c r="Q9316" s="25"/>
      <c r="R9316" s="25"/>
      <c r="S9316" s="25"/>
      <c r="T9316" s="141"/>
      <c r="U9316" s="28"/>
    </row>
    <row r="9317" ht="15.75" customHeight="1">
      <c r="P9317" s="25"/>
      <c r="Q9317" s="25"/>
      <c r="R9317" s="25"/>
      <c r="S9317" s="25"/>
      <c r="T9317" s="141"/>
      <c r="U9317" s="28"/>
    </row>
    <row r="9318" ht="15.75" customHeight="1">
      <c r="P9318" s="25"/>
      <c r="Q9318" s="25"/>
      <c r="R9318" s="25"/>
      <c r="S9318" s="25"/>
      <c r="T9318" s="141"/>
      <c r="U9318" s="28"/>
    </row>
    <row r="9319" ht="15.75" customHeight="1">
      <c r="P9319" s="25"/>
      <c r="Q9319" s="25"/>
      <c r="R9319" s="25"/>
      <c r="S9319" s="25"/>
      <c r="T9319" s="141"/>
      <c r="U9319" s="28"/>
    </row>
    <row r="9320" ht="15.75" customHeight="1">
      <c r="P9320" s="25"/>
      <c r="Q9320" s="25"/>
      <c r="R9320" s="25"/>
      <c r="S9320" s="25"/>
      <c r="T9320" s="141"/>
      <c r="U9320" s="28"/>
    </row>
    <row r="9321" ht="15.75" customHeight="1">
      <c r="P9321" s="25"/>
      <c r="Q9321" s="25"/>
      <c r="R9321" s="25"/>
      <c r="S9321" s="25"/>
      <c r="T9321" s="141"/>
      <c r="U9321" s="28"/>
    </row>
    <row r="9322" ht="15.75" customHeight="1">
      <c r="P9322" s="25"/>
      <c r="Q9322" s="25"/>
      <c r="R9322" s="25"/>
      <c r="S9322" s="25"/>
      <c r="T9322" s="141"/>
      <c r="U9322" s="28"/>
    </row>
    <row r="9323" ht="15.75" customHeight="1">
      <c r="P9323" s="25"/>
      <c r="Q9323" s="25"/>
      <c r="R9323" s="25"/>
      <c r="S9323" s="25"/>
      <c r="T9323" s="141"/>
      <c r="U9323" s="28"/>
    </row>
    <row r="9324" ht="15.75" customHeight="1">
      <c r="P9324" s="25"/>
      <c r="Q9324" s="25"/>
      <c r="R9324" s="25"/>
      <c r="S9324" s="25"/>
      <c r="T9324" s="141"/>
      <c r="U9324" s="28"/>
    </row>
    <row r="9325" ht="15.75" customHeight="1">
      <c r="P9325" s="25"/>
      <c r="Q9325" s="25"/>
      <c r="R9325" s="25"/>
      <c r="S9325" s="25"/>
      <c r="T9325" s="141"/>
      <c r="U9325" s="28"/>
    </row>
    <row r="9326" ht="15.75" customHeight="1">
      <c r="P9326" s="25"/>
      <c r="Q9326" s="25"/>
      <c r="R9326" s="25"/>
      <c r="S9326" s="25"/>
      <c r="T9326" s="141"/>
      <c r="U9326" s="28"/>
    </row>
    <row r="9327" ht="15.75" customHeight="1">
      <c r="P9327" s="25"/>
      <c r="Q9327" s="25"/>
      <c r="R9327" s="25"/>
      <c r="S9327" s="25"/>
      <c r="T9327" s="141"/>
      <c r="U9327" s="28"/>
    </row>
    <row r="9328" ht="15.75" customHeight="1">
      <c r="P9328" s="25"/>
      <c r="Q9328" s="25"/>
      <c r="R9328" s="25"/>
      <c r="S9328" s="25"/>
      <c r="T9328" s="141"/>
      <c r="U9328" s="28"/>
    </row>
    <row r="9329" ht="15.75" customHeight="1">
      <c r="P9329" s="25"/>
      <c r="Q9329" s="25"/>
      <c r="R9329" s="25"/>
      <c r="S9329" s="25"/>
      <c r="T9329" s="141"/>
      <c r="U9329" s="28"/>
    </row>
    <row r="9330" ht="15.75" customHeight="1">
      <c r="P9330" s="25"/>
      <c r="Q9330" s="25"/>
      <c r="R9330" s="25"/>
      <c r="S9330" s="25"/>
      <c r="T9330" s="141"/>
      <c r="U9330" s="28"/>
    </row>
    <row r="9331" ht="15.75" customHeight="1">
      <c r="P9331" s="25"/>
      <c r="Q9331" s="25"/>
      <c r="R9331" s="25"/>
      <c r="S9331" s="25"/>
      <c r="T9331" s="141"/>
      <c r="U9331" s="28"/>
    </row>
    <row r="9332" ht="15.75" customHeight="1">
      <c r="P9332" s="25"/>
      <c r="Q9332" s="25"/>
      <c r="R9332" s="25"/>
      <c r="S9332" s="25"/>
      <c r="T9332" s="141"/>
      <c r="U9332" s="28"/>
    </row>
    <row r="9333" ht="15.75" customHeight="1">
      <c r="P9333" s="25"/>
      <c r="Q9333" s="25"/>
      <c r="R9333" s="25"/>
      <c r="S9333" s="25"/>
      <c r="T9333" s="141"/>
      <c r="U9333" s="28"/>
    </row>
    <row r="9334" ht="15.75" customHeight="1">
      <c r="P9334" s="25"/>
      <c r="Q9334" s="25"/>
      <c r="R9334" s="25"/>
      <c r="S9334" s="25"/>
      <c r="T9334" s="141"/>
      <c r="U9334" s="28"/>
    </row>
    <row r="9335" ht="15.75" customHeight="1">
      <c r="P9335" s="25"/>
      <c r="Q9335" s="25"/>
      <c r="R9335" s="25"/>
      <c r="S9335" s="25"/>
      <c r="T9335" s="141"/>
      <c r="U9335" s="28"/>
    </row>
    <row r="9336" ht="15.75" customHeight="1">
      <c r="P9336" s="25"/>
      <c r="Q9336" s="25"/>
      <c r="R9336" s="25"/>
      <c r="S9336" s="25"/>
      <c r="T9336" s="141"/>
      <c r="U9336" s="28"/>
    </row>
    <row r="9337" ht="15.75" customHeight="1">
      <c r="P9337" s="25"/>
      <c r="Q9337" s="25"/>
      <c r="R9337" s="25"/>
      <c r="S9337" s="25"/>
      <c r="T9337" s="141"/>
      <c r="U9337" s="28"/>
    </row>
    <row r="9338" ht="15.75" customHeight="1">
      <c r="P9338" s="25"/>
      <c r="Q9338" s="25"/>
      <c r="R9338" s="25"/>
      <c r="S9338" s="25"/>
      <c r="T9338" s="141"/>
      <c r="U9338" s="28"/>
    </row>
    <row r="9339" ht="15.75" customHeight="1">
      <c r="P9339" s="25"/>
      <c r="Q9339" s="25"/>
      <c r="R9339" s="25"/>
      <c r="S9339" s="25"/>
      <c r="T9339" s="141"/>
      <c r="U9339" s="28"/>
    </row>
    <row r="9340" ht="15.75" customHeight="1">
      <c r="P9340" s="25"/>
      <c r="Q9340" s="25"/>
      <c r="R9340" s="25"/>
      <c r="S9340" s="25"/>
      <c r="T9340" s="141"/>
      <c r="U9340" s="28"/>
    </row>
    <row r="9341" ht="15.75" customHeight="1">
      <c r="P9341" s="25"/>
      <c r="Q9341" s="25"/>
      <c r="R9341" s="25"/>
      <c r="S9341" s="25"/>
      <c r="T9341" s="141"/>
      <c r="U9341" s="28"/>
    </row>
    <row r="9342" ht="15.75" customHeight="1">
      <c r="P9342" s="25"/>
      <c r="Q9342" s="25"/>
      <c r="R9342" s="25"/>
      <c r="S9342" s="25"/>
      <c r="T9342" s="141"/>
      <c r="U9342" s="28"/>
    </row>
    <row r="9343" ht="15.75" customHeight="1">
      <c r="P9343" s="25"/>
      <c r="Q9343" s="25"/>
      <c r="R9343" s="25"/>
      <c r="S9343" s="25"/>
      <c r="T9343" s="141"/>
      <c r="U9343" s="28"/>
    </row>
    <row r="9344" ht="15.75" customHeight="1">
      <c r="P9344" s="25"/>
      <c r="Q9344" s="25"/>
      <c r="R9344" s="25"/>
      <c r="S9344" s="25"/>
      <c r="T9344" s="141"/>
      <c r="U9344" s="28"/>
    </row>
    <row r="9345" ht="15.75" customHeight="1">
      <c r="P9345" s="25"/>
      <c r="Q9345" s="25"/>
      <c r="R9345" s="25"/>
      <c r="S9345" s="25"/>
      <c r="T9345" s="141"/>
      <c r="U9345" s="28"/>
    </row>
    <row r="9346" ht="15.75" customHeight="1">
      <c r="P9346" s="25"/>
      <c r="Q9346" s="25"/>
      <c r="R9346" s="25"/>
      <c r="S9346" s="25"/>
      <c r="T9346" s="141"/>
      <c r="U9346" s="28"/>
    </row>
    <row r="9347" ht="15.75" customHeight="1">
      <c r="P9347" s="25"/>
      <c r="Q9347" s="25"/>
      <c r="R9347" s="25"/>
      <c r="S9347" s="25"/>
      <c r="T9347" s="141"/>
      <c r="U9347" s="28"/>
    </row>
    <row r="9348" ht="15.75" customHeight="1">
      <c r="P9348" s="25"/>
      <c r="Q9348" s="25"/>
      <c r="R9348" s="25"/>
      <c r="S9348" s="25"/>
      <c r="T9348" s="141"/>
      <c r="U9348" s="28"/>
    </row>
    <row r="9349" ht="15.75" customHeight="1">
      <c r="P9349" s="25"/>
      <c r="Q9349" s="25"/>
      <c r="R9349" s="25"/>
      <c r="S9349" s="25"/>
      <c r="T9349" s="141"/>
      <c r="U9349" s="28"/>
    </row>
    <row r="9350" ht="15.75" customHeight="1">
      <c r="P9350" s="25"/>
      <c r="Q9350" s="25"/>
      <c r="R9350" s="25"/>
      <c r="S9350" s="25"/>
      <c r="T9350" s="141"/>
      <c r="U9350" s="28"/>
    </row>
    <row r="9351" ht="15.75" customHeight="1">
      <c r="P9351" s="25"/>
      <c r="Q9351" s="25"/>
      <c r="R9351" s="25"/>
      <c r="S9351" s="25"/>
      <c r="T9351" s="141"/>
      <c r="U9351" s="28"/>
    </row>
    <row r="9352" ht="15.75" customHeight="1">
      <c r="P9352" s="25"/>
      <c r="Q9352" s="25"/>
      <c r="R9352" s="25"/>
      <c r="S9352" s="25"/>
      <c r="T9352" s="141"/>
      <c r="U9352" s="28"/>
    </row>
    <row r="9353" ht="15.75" customHeight="1">
      <c r="P9353" s="25"/>
      <c r="Q9353" s="25"/>
      <c r="R9353" s="25"/>
      <c r="S9353" s="25"/>
      <c r="T9353" s="141"/>
      <c r="U9353" s="28"/>
    </row>
    <row r="9354" ht="15.75" customHeight="1">
      <c r="P9354" s="25"/>
      <c r="Q9354" s="25"/>
      <c r="R9354" s="25"/>
      <c r="S9354" s="25"/>
      <c r="T9354" s="141"/>
      <c r="U9354" s="28"/>
    </row>
    <row r="9355" ht="15.75" customHeight="1">
      <c r="P9355" s="25"/>
      <c r="Q9355" s="25"/>
      <c r="R9355" s="25"/>
      <c r="S9355" s="25"/>
      <c r="T9355" s="141"/>
      <c r="U9355" s="28"/>
    </row>
    <row r="9356" ht="15.75" customHeight="1">
      <c r="P9356" s="25"/>
      <c r="Q9356" s="25"/>
      <c r="R9356" s="25"/>
      <c r="S9356" s="25"/>
      <c r="T9356" s="141"/>
      <c r="U9356" s="28"/>
    </row>
    <row r="9357" ht="15.75" customHeight="1">
      <c r="P9357" s="25"/>
      <c r="Q9357" s="25"/>
      <c r="R9357" s="25"/>
      <c r="S9357" s="25"/>
      <c r="T9357" s="141"/>
      <c r="U9357" s="28"/>
    </row>
    <row r="9358" ht="15.75" customHeight="1">
      <c r="P9358" s="25"/>
      <c r="Q9358" s="25"/>
      <c r="R9358" s="25"/>
      <c r="S9358" s="25"/>
      <c r="T9358" s="141"/>
      <c r="U9358" s="28"/>
    </row>
    <row r="9359" ht="15.75" customHeight="1">
      <c r="P9359" s="25"/>
      <c r="Q9359" s="25"/>
      <c r="R9359" s="25"/>
      <c r="S9359" s="25"/>
      <c r="T9359" s="141"/>
      <c r="U9359" s="28"/>
    </row>
    <row r="9360" ht="15.75" customHeight="1">
      <c r="P9360" s="25"/>
      <c r="Q9360" s="25"/>
      <c r="R9360" s="25"/>
      <c r="S9360" s="25"/>
      <c r="T9360" s="141"/>
      <c r="U9360" s="28"/>
    </row>
    <row r="9361" ht="15.75" customHeight="1">
      <c r="P9361" s="25"/>
      <c r="Q9361" s="25"/>
      <c r="R9361" s="25"/>
      <c r="S9361" s="25"/>
      <c r="T9361" s="141"/>
      <c r="U9361" s="28"/>
    </row>
    <row r="9362" ht="15.75" customHeight="1">
      <c r="P9362" s="25"/>
      <c r="Q9362" s="25"/>
      <c r="R9362" s="25"/>
      <c r="S9362" s="25"/>
      <c r="T9362" s="141"/>
      <c r="U9362" s="28"/>
    </row>
    <row r="9363" ht="15.75" customHeight="1">
      <c r="P9363" s="25"/>
      <c r="Q9363" s="25"/>
      <c r="R9363" s="25"/>
      <c r="S9363" s="25"/>
      <c r="T9363" s="141"/>
      <c r="U9363" s="28"/>
    </row>
    <row r="9364" ht="15.75" customHeight="1">
      <c r="P9364" s="25"/>
      <c r="Q9364" s="25"/>
      <c r="R9364" s="25"/>
      <c r="S9364" s="25"/>
      <c r="T9364" s="141"/>
      <c r="U9364" s="28"/>
    </row>
    <row r="9365" ht="15.75" customHeight="1">
      <c r="P9365" s="25"/>
      <c r="Q9365" s="25"/>
      <c r="R9365" s="25"/>
      <c r="S9365" s="25"/>
      <c r="T9365" s="141"/>
      <c r="U9365" s="28"/>
    </row>
    <row r="9366" ht="15.75" customHeight="1">
      <c r="P9366" s="25"/>
      <c r="Q9366" s="25"/>
      <c r="R9366" s="25"/>
      <c r="S9366" s="25"/>
      <c r="T9366" s="141"/>
      <c r="U9366" s="28"/>
    </row>
    <row r="9367" ht="15.75" customHeight="1">
      <c r="P9367" s="25"/>
      <c r="Q9367" s="25"/>
      <c r="R9367" s="25"/>
      <c r="S9367" s="25"/>
      <c r="T9367" s="141"/>
      <c r="U9367" s="28"/>
    </row>
    <row r="9368" ht="15.75" customHeight="1">
      <c r="P9368" s="25"/>
      <c r="Q9368" s="25"/>
      <c r="R9368" s="25"/>
      <c r="S9368" s="25"/>
      <c r="T9368" s="141"/>
      <c r="U9368" s="28"/>
    </row>
    <row r="9369" ht="15.75" customHeight="1">
      <c r="P9369" s="25"/>
      <c r="Q9369" s="25"/>
      <c r="R9369" s="25"/>
      <c r="S9369" s="25"/>
      <c r="T9369" s="141"/>
      <c r="U9369" s="28"/>
    </row>
    <row r="9370" ht="15.75" customHeight="1">
      <c r="P9370" s="25"/>
      <c r="Q9370" s="25"/>
      <c r="R9370" s="25"/>
      <c r="S9370" s="25"/>
      <c r="T9370" s="141"/>
      <c r="U9370" s="28"/>
    </row>
    <row r="9371" ht="15.75" customHeight="1">
      <c r="P9371" s="25"/>
      <c r="Q9371" s="25"/>
      <c r="R9371" s="25"/>
      <c r="S9371" s="25"/>
      <c r="T9371" s="141"/>
      <c r="U9371" s="28"/>
    </row>
    <row r="9372" ht="15.75" customHeight="1">
      <c r="P9372" s="25"/>
      <c r="Q9372" s="25"/>
      <c r="R9372" s="25"/>
      <c r="S9372" s="25"/>
      <c r="T9372" s="141"/>
      <c r="U9372" s="28"/>
    </row>
    <row r="9373" ht="15.75" customHeight="1">
      <c r="P9373" s="25"/>
      <c r="Q9373" s="25"/>
      <c r="R9373" s="25"/>
      <c r="S9373" s="25"/>
      <c r="T9373" s="141"/>
      <c r="U9373" s="28"/>
    </row>
    <row r="9374" ht="15.75" customHeight="1">
      <c r="P9374" s="25"/>
      <c r="Q9374" s="25"/>
      <c r="R9374" s="25"/>
      <c r="S9374" s="25"/>
      <c r="T9374" s="141"/>
      <c r="U9374" s="28"/>
    </row>
    <row r="9375" ht="15.75" customHeight="1">
      <c r="P9375" s="25"/>
      <c r="Q9375" s="25"/>
      <c r="R9375" s="25"/>
      <c r="S9375" s="25"/>
      <c r="T9375" s="141"/>
      <c r="U9375" s="28"/>
    </row>
    <row r="9376" ht="15.75" customHeight="1">
      <c r="P9376" s="25"/>
      <c r="Q9376" s="25"/>
      <c r="R9376" s="25"/>
      <c r="S9376" s="25"/>
      <c r="T9376" s="141"/>
      <c r="U9376" s="28"/>
    </row>
    <row r="9377" ht="15.75" customHeight="1">
      <c r="P9377" s="25"/>
      <c r="Q9377" s="25"/>
      <c r="R9377" s="25"/>
      <c r="S9377" s="25"/>
      <c r="T9377" s="141"/>
      <c r="U9377" s="28"/>
    </row>
    <row r="9378" ht="15.75" customHeight="1">
      <c r="P9378" s="25"/>
      <c r="Q9378" s="25"/>
      <c r="R9378" s="25"/>
      <c r="S9378" s="25"/>
      <c r="T9378" s="141"/>
      <c r="U9378" s="28"/>
    </row>
    <row r="9379" ht="15.75" customHeight="1">
      <c r="P9379" s="25"/>
      <c r="Q9379" s="25"/>
      <c r="R9379" s="25"/>
      <c r="S9379" s="25"/>
      <c r="T9379" s="141"/>
      <c r="U9379" s="28"/>
    </row>
    <row r="9380" ht="15.75" customHeight="1">
      <c r="P9380" s="25"/>
      <c r="Q9380" s="25"/>
      <c r="R9380" s="25"/>
      <c r="S9380" s="25"/>
      <c r="T9380" s="141"/>
      <c r="U9380" s="28"/>
    </row>
    <row r="9381" ht="15.75" customHeight="1">
      <c r="P9381" s="25"/>
      <c r="Q9381" s="25"/>
      <c r="R9381" s="25"/>
      <c r="S9381" s="25"/>
      <c r="T9381" s="141"/>
      <c r="U9381" s="28"/>
    </row>
    <row r="9382" ht="15.75" customHeight="1">
      <c r="P9382" s="25"/>
      <c r="Q9382" s="25"/>
      <c r="R9382" s="25"/>
      <c r="S9382" s="25"/>
      <c r="T9382" s="141"/>
      <c r="U9382" s="28"/>
    </row>
    <row r="9383" ht="15.75" customHeight="1">
      <c r="P9383" s="25"/>
      <c r="Q9383" s="25"/>
      <c r="R9383" s="25"/>
      <c r="S9383" s="25"/>
      <c r="T9383" s="141"/>
      <c r="U9383" s="28"/>
    </row>
    <row r="9384" ht="15.75" customHeight="1">
      <c r="P9384" s="25"/>
      <c r="Q9384" s="25"/>
      <c r="R9384" s="25"/>
      <c r="S9384" s="25"/>
      <c r="T9384" s="141"/>
      <c r="U9384" s="28"/>
    </row>
    <row r="9385" ht="15.75" customHeight="1">
      <c r="P9385" s="25"/>
      <c r="Q9385" s="25"/>
      <c r="R9385" s="25"/>
      <c r="S9385" s="25"/>
      <c r="T9385" s="141"/>
      <c r="U9385" s="28"/>
    </row>
    <row r="9386" ht="15.75" customHeight="1">
      <c r="P9386" s="25"/>
      <c r="Q9386" s="25"/>
      <c r="R9386" s="25"/>
      <c r="S9386" s="25"/>
      <c r="T9386" s="141"/>
      <c r="U9386" s="28"/>
    </row>
    <row r="9387" ht="15.75" customHeight="1">
      <c r="P9387" s="25"/>
      <c r="Q9387" s="25"/>
      <c r="R9387" s="25"/>
      <c r="S9387" s="25"/>
      <c r="T9387" s="141"/>
      <c r="U9387" s="28"/>
    </row>
    <row r="9388" ht="15.75" customHeight="1">
      <c r="P9388" s="25"/>
      <c r="Q9388" s="25"/>
      <c r="R9388" s="25"/>
      <c r="S9388" s="25"/>
      <c r="T9388" s="141"/>
      <c r="U9388" s="28"/>
    </row>
    <row r="9389" ht="15.75" customHeight="1">
      <c r="P9389" s="25"/>
      <c r="Q9389" s="25"/>
      <c r="R9389" s="25"/>
      <c r="S9389" s="25"/>
      <c r="T9389" s="141"/>
      <c r="U9389" s="28"/>
    </row>
    <row r="9390" ht="15.75" customHeight="1">
      <c r="P9390" s="25"/>
      <c r="Q9390" s="25"/>
      <c r="R9390" s="25"/>
      <c r="S9390" s="25"/>
      <c r="T9390" s="141"/>
      <c r="U9390" s="28"/>
    </row>
    <row r="9391" ht="15.75" customHeight="1">
      <c r="P9391" s="25"/>
      <c r="Q9391" s="25"/>
      <c r="R9391" s="25"/>
      <c r="S9391" s="25"/>
      <c r="T9391" s="141"/>
      <c r="U9391" s="28"/>
    </row>
    <row r="9392" ht="15.75" customHeight="1">
      <c r="P9392" s="25"/>
      <c r="Q9392" s="25"/>
      <c r="R9392" s="25"/>
      <c r="S9392" s="25"/>
      <c r="T9392" s="141"/>
      <c r="U9392" s="28"/>
    </row>
    <row r="9393" ht="15.75" customHeight="1">
      <c r="P9393" s="25"/>
      <c r="Q9393" s="25"/>
      <c r="R9393" s="25"/>
      <c r="S9393" s="25"/>
      <c r="T9393" s="141"/>
      <c r="U9393" s="28"/>
    </row>
    <row r="9394" ht="15.75" customHeight="1">
      <c r="P9394" s="25"/>
      <c r="Q9394" s="25"/>
      <c r="R9394" s="25"/>
      <c r="S9394" s="25"/>
      <c r="T9394" s="141"/>
      <c r="U9394" s="28"/>
    </row>
    <row r="9395" ht="15.75" customHeight="1">
      <c r="P9395" s="25"/>
      <c r="Q9395" s="25"/>
      <c r="R9395" s="25"/>
      <c r="S9395" s="25"/>
      <c r="T9395" s="141"/>
      <c r="U9395" s="28"/>
    </row>
    <row r="9396" ht="15.75" customHeight="1">
      <c r="P9396" s="25"/>
      <c r="Q9396" s="25"/>
      <c r="R9396" s="25"/>
      <c r="S9396" s="25"/>
      <c r="T9396" s="141"/>
      <c r="U9396" s="28"/>
    </row>
    <row r="9397" ht="15.75" customHeight="1">
      <c r="P9397" s="25"/>
      <c r="Q9397" s="25"/>
      <c r="R9397" s="25"/>
      <c r="S9397" s="25"/>
      <c r="T9397" s="141"/>
      <c r="U9397" s="28"/>
    </row>
    <row r="9398" ht="15.75" customHeight="1">
      <c r="P9398" s="25"/>
      <c r="Q9398" s="25"/>
      <c r="R9398" s="25"/>
      <c r="S9398" s="25"/>
      <c r="T9398" s="141"/>
      <c r="U9398" s="28"/>
    </row>
    <row r="9399" ht="15.75" customHeight="1">
      <c r="P9399" s="25"/>
      <c r="Q9399" s="25"/>
      <c r="R9399" s="25"/>
      <c r="S9399" s="25"/>
      <c r="T9399" s="141"/>
      <c r="U9399" s="28"/>
    </row>
    <row r="9400" ht="15.75" customHeight="1">
      <c r="P9400" s="25"/>
      <c r="Q9400" s="25"/>
      <c r="R9400" s="25"/>
      <c r="S9400" s="25"/>
      <c r="T9400" s="141"/>
      <c r="U9400" s="28"/>
    </row>
    <row r="9401" ht="15.75" customHeight="1">
      <c r="P9401" s="25"/>
      <c r="Q9401" s="25"/>
      <c r="R9401" s="25"/>
      <c r="S9401" s="25"/>
      <c r="T9401" s="141"/>
      <c r="U9401" s="28"/>
    </row>
    <row r="9402" ht="15.75" customHeight="1">
      <c r="P9402" s="25"/>
      <c r="Q9402" s="25"/>
      <c r="R9402" s="25"/>
      <c r="S9402" s="25"/>
      <c r="T9402" s="141"/>
      <c r="U9402" s="28"/>
    </row>
    <row r="9403" ht="15.75" customHeight="1">
      <c r="P9403" s="25"/>
      <c r="Q9403" s="25"/>
      <c r="R9403" s="25"/>
      <c r="S9403" s="25"/>
      <c r="T9403" s="141"/>
      <c r="U9403" s="28"/>
    </row>
    <row r="9404" ht="15.75" customHeight="1">
      <c r="P9404" s="25"/>
      <c r="Q9404" s="25"/>
      <c r="R9404" s="25"/>
      <c r="S9404" s="25"/>
      <c r="T9404" s="141"/>
      <c r="U9404" s="28"/>
    </row>
    <row r="9405" ht="15.75" customHeight="1">
      <c r="P9405" s="25"/>
      <c r="Q9405" s="25"/>
      <c r="R9405" s="25"/>
      <c r="S9405" s="25"/>
      <c r="T9405" s="141"/>
      <c r="U9405" s="28"/>
    </row>
    <row r="9406" ht="15.75" customHeight="1">
      <c r="P9406" s="25"/>
      <c r="Q9406" s="25"/>
      <c r="R9406" s="25"/>
      <c r="S9406" s="25"/>
      <c r="T9406" s="141"/>
      <c r="U9406" s="28"/>
    </row>
    <row r="9407" ht="15.75" customHeight="1">
      <c r="P9407" s="25"/>
      <c r="Q9407" s="25"/>
      <c r="R9407" s="25"/>
      <c r="S9407" s="25"/>
      <c r="T9407" s="141"/>
      <c r="U9407" s="28"/>
    </row>
    <row r="9408" ht="15.75" customHeight="1">
      <c r="P9408" s="25"/>
      <c r="Q9408" s="25"/>
      <c r="R9408" s="25"/>
      <c r="S9408" s="25"/>
      <c r="T9408" s="141"/>
      <c r="U9408" s="28"/>
    </row>
    <row r="9409" ht="15.75" customHeight="1">
      <c r="P9409" s="25"/>
      <c r="Q9409" s="25"/>
      <c r="R9409" s="25"/>
      <c r="S9409" s="25"/>
      <c r="T9409" s="141"/>
      <c r="U9409" s="28"/>
    </row>
    <row r="9410" ht="15.75" customHeight="1">
      <c r="P9410" s="25"/>
      <c r="Q9410" s="25"/>
      <c r="R9410" s="25"/>
      <c r="S9410" s="25"/>
      <c r="T9410" s="141"/>
      <c r="U9410" s="28"/>
    </row>
    <row r="9411" ht="15.75" customHeight="1">
      <c r="P9411" s="25"/>
      <c r="Q9411" s="25"/>
      <c r="R9411" s="25"/>
      <c r="S9411" s="25"/>
      <c r="T9411" s="141"/>
      <c r="U9411" s="28"/>
    </row>
    <row r="9412" ht="15.75" customHeight="1">
      <c r="P9412" s="25"/>
      <c r="Q9412" s="25"/>
      <c r="R9412" s="25"/>
      <c r="S9412" s="25"/>
      <c r="T9412" s="141"/>
      <c r="U9412" s="28"/>
    </row>
    <row r="9413" ht="15.75" customHeight="1">
      <c r="P9413" s="25"/>
      <c r="Q9413" s="25"/>
      <c r="R9413" s="25"/>
      <c r="S9413" s="25"/>
      <c r="T9413" s="141"/>
      <c r="U9413" s="28"/>
    </row>
    <row r="9414" ht="15.75" customHeight="1">
      <c r="P9414" s="25"/>
      <c r="Q9414" s="25"/>
      <c r="R9414" s="25"/>
      <c r="S9414" s="25"/>
      <c r="T9414" s="141"/>
      <c r="U9414" s="28"/>
    </row>
    <row r="9415" ht="15.75" customHeight="1">
      <c r="P9415" s="25"/>
      <c r="Q9415" s="25"/>
      <c r="R9415" s="25"/>
      <c r="S9415" s="25"/>
      <c r="T9415" s="141"/>
      <c r="U9415" s="28"/>
    </row>
    <row r="9416" ht="15.75" customHeight="1">
      <c r="P9416" s="25"/>
      <c r="Q9416" s="25"/>
      <c r="R9416" s="25"/>
      <c r="S9416" s="25"/>
      <c r="T9416" s="141"/>
      <c r="U9416" s="28"/>
    </row>
    <row r="9417" ht="15.75" customHeight="1">
      <c r="P9417" s="25"/>
      <c r="Q9417" s="25"/>
      <c r="R9417" s="25"/>
      <c r="S9417" s="25"/>
      <c r="T9417" s="141"/>
      <c r="U9417" s="28"/>
    </row>
    <row r="9418" ht="15.75" customHeight="1">
      <c r="P9418" s="25"/>
      <c r="Q9418" s="25"/>
      <c r="R9418" s="25"/>
      <c r="S9418" s="25"/>
      <c r="T9418" s="141"/>
      <c r="U9418" s="28"/>
    </row>
    <row r="9419" ht="15.75" customHeight="1">
      <c r="P9419" s="25"/>
      <c r="Q9419" s="25"/>
      <c r="R9419" s="25"/>
      <c r="S9419" s="25"/>
      <c r="T9419" s="141"/>
      <c r="U9419" s="28"/>
    </row>
    <row r="9420" ht="15.75" customHeight="1">
      <c r="P9420" s="25"/>
      <c r="Q9420" s="25"/>
      <c r="R9420" s="25"/>
      <c r="S9420" s="25"/>
      <c r="T9420" s="141"/>
      <c r="U9420" s="28"/>
    </row>
    <row r="9421" ht="15.75" customHeight="1">
      <c r="P9421" s="25"/>
      <c r="Q9421" s="25"/>
      <c r="R9421" s="25"/>
      <c r="S9421" s="25"/>
      <c r="T9421" s="141"/>
      <c r="U9421" s="28"/>
    </row>
    <row r="9422" ht="15.75" customHeight="1">
      <c r="P9422" s="25"/>
      <c r="Q9422" s="25"/>
      <c r="R9422" s="25"/>
      <c r="S9422" s="25"/>
      <c r="T9422" s="141"/>
      <c r="U9422" s="28"/>
    </row>
    <row r="9423" ht="15.75" customHeight="1">
      <c r="P9423" s="25"/>
      <c r="Q9423" s="25"/>
      <c r="R9423" s="25"/>
      <c r="S9423" s="25"/>
      <c r="T9423" s="141"/>
      <c r="U9423" s="28"/>
    </row>
    <row r="9424" ht="15.75" customHeight="1">
      <c r="P9424" s="25"/>
      <c r="Q9424" s="25"/>
      <c r="R9424" s="25"/>
      <c r="S9424" s="25"/>
      <c r="T9424" s="141"/>
      <c r="U9424" s="28"/>
    </row>
    <row r="9425" ht="15.75" customHeight="1">
      <c r="P9425" s="25"/>
      <c r="Q9425" s="25"/>
      <c r="R9425" s="25"/>
      <c r="S9425" s="25"/>
      <c r="T9425" s="141"/>
      <c r="U9425" s="28"/>
    </row>
    <row r="9426" ht="15.75" customHeight="1">
      <c r="P9426" s="25"/>
      <c r="Q9426" s="25"/>
      <c r="R9426" s="25"/>
      <c r="S9426" s="25"/>
      <c r="T9426" s="141"/>
      <c r="U9426" s="28"/>
    </row>
    <row r="9427" ht="15.75" customHeight="1">
      <c r="P9427" s="25"/>
      <c r="Q9427" s="25"/>
      <c r="R9427" s="25"/>
      <c r="S9427" s="25"/>
      <c r="T9427" s="141"/>
      <c r="U9427" s="28"/>
    </row>
    <row r="9428" ht="15.75" customHeight="1">
      <c r="P9428" s="25"/>
      <c r="Q9428" s="25"/>
      <c r="R9428" s="25"/>
      <c r="S9428" s="25"/>
      <c r="T9428" s="141"/>
      <c r="U9428" s="28"/>
    </row>
    <row r="9429" ht="15.75" customHeight="1">
      <c r="P9429" s="25"/>
      <c r="Q9429" s="25"/>
      <c r="R9429" s="25"/>
      <c r="S9429" s="25"/>
      <c r="T9429" s="141"/>
      <c r="U9429" s="28"/>
    </row>
    <row r="9430" ht="15.75" customHeight="1">
      <c r="P9430" s="25"/>
      <c r="Q9430" s="25"/>
      <c r="R9430" s="25"/>
      <c r="S9430" s="25"/>
      <c r="T9430" s="141"/>
      <c r="U9430" s="28"/>
    </row>
    <row r="9431" ht="15.75" customHeight="1">
      <c r="P9431" s="25"/>
      <c r="Q9431" s="25"/>
      <c r="R9431" s="25"/>
      <c r="S9431" s="25"/>
      <c r="T9431" s="141"/>
      <c r="U9431" s="28"/>
    </row>
    <row r="9432" ht="15.75" customHeight="1">
      <c r="P9432" s="25"/>
      <c r="Q9432" s="25"/>
      <c r="R9432" s="25"/>
      <c r="S9432" s="25"/>
      <c r="T9432" s="141"/>
      <c r="U9432" s="28"/>
    </row>
    <row r="9433" ht="15.75" customHeight="1">
      <c r="P9433" s="25"/>
      <c r="Q9433" s="25"/>
      <c r="R9433" s="25"/>
      <c r="S9433" s="25"/>
      <c r="T9433" s="141"/>
      <c r="U9433" s="28"/>
    </row>
    <row r="9434" ht="15.75" customHeight="1">
      <c r="P9434" s="25"/>
      <c r="Q9434" s="25"/>
      <c r="R9434" s="25"/>
      <c r="S9434" s="25"/>
      <c r="T9434" s="141"/>
      <c r="U9434" s="28"/>
    </row>
    <row r="9435" ht="15.75" customHeight="1">
      <c r="P9435" s="25"/>
      <c r="Q9435" s="25"/>
      <c r="R9435" s="25"/>
      <c r="S9435" s="25"/>
      <c r="T9435" s="141"/>
      <c r="U9435" s="28"/>
    </row>
    <row r="9436" ht="15.75" customHeight="1">
      <c r="P9436" s="25"/>
      <c r="Q9436" s="25"/>
      <c r="R9436" s="25"/>
      <c r="S9436" s="25"/>
      <c r="T9436" s="141"/>
      <c r="U9436" s="28"/>
    </row>
    <row r="9437" ht="15.75" customHeight="1">
      <c r="P9437" s="25"/>
      <c r="Q9437" s="25"/>
      <c r="R9437" s="25"/>
      <c r="S9437" s="25"/>
      <c r="T9437" s="141"/>
      <c r="U9437" s="28"/>
    </row>
    <row r="9438" ht="15.75" customHeight="1">
      <c r="P9438" s="25"/>
      <c r="Q9438" s="25"/>
      <c r="R9438" s="25"/>
      <c r="S9438" s="25"/>
      <c r="T9438" s="141"/>
      <c r="U9438" s="28"/>
    </row>
    <row r="9439" ht="15.75" customHeight="1">
      <c r="P9439" s="25"/>
      <c r="Q9439" s="25"/>
      <c r="R9439" s="25"/>
      <c r="S9439" s="25"/>
      <c r="T9439" s="141"/>
      <c r="U9439" s="28"/>
    </row>
    <row r="9440" ht="15.75" customHeight="1">
      <c r="P9440" s="25"/>
      <c r="Q9440" s="25"/>
      <c r="R9440" s="25"/>
      <c r="S9440" s="25"/>
      <c r="T9440" s="141"/>
      <c r="U9440" s="28"/>
    </row>
    <row r="9441" ht="15.75" customHeight="1">
      <c r="P9441" s="25"/>
      <c r="Q9441" s="25"/>
      <c r="R9441" s="25"/>
      <c r="S9441" s="25"/>
      <c r="T9441" s="141"/>
      <c r="U9441" s="28"/>
    </row>
    <row r="9442" ht="15.75" customHeight="1">
      <c r="P9442" s="25"/>
      <c r="Q9442" s="25"/>
      <c r="R9442" s="25"/>
      <c r="S9442" s="25"/>
      <c r="T9442" s="141"/>
      <c r="U9442" s="28"/>
    </row>
    <row r="9443" ht="15.75" customHeight="1">
      <c r="P9443" s="25"/>
      <c r="Q9443" s="25"/>
      <c r="R9443" s="25"/>
      <c r="S9443" s="25"/>
      <c r="T9443" s="141"/>
      <c r="U9443" s="28"/>
    </row>
    <row r="9444" ht="15.75" customHeight="1">
      <c r="P9444" s="25"/>
      <c r="Q9444" s="25"/>
      <c r="R9444" s="25"/>
      <c r="S9444" s="25"/>
      <c r="T9444" s="141"/>
      <c r="U9444" s="28"/>
    </row>
    <row r="9445" ht="15.75" customHeight="1">
      <c r="P9445" s="25"/>
      <c r="Q9445" s="25"/>
      <c r="R9445" s="25"/>
      <c r="S9445" s="25"/>
      <c r="T9445" s="141"/>
      <c r="U9445" s="28"/>
    </row>
    <row r="9446" ht="15.75" customHeight="1">
      <c r="P9446" s="25"/>
      <c r="Q9446" s="25"/>
      <c r="R9446" s="25"/>
      <c r="S9446" s="25"/>
      <c r="T9446" s="141"/>
      <c r="U9446" s="28"/>
    </row>
    <row r="9447" ht="15.75" customHeight="1">
      <c r="P9447" s="25"/>
      <c r="Q9447" s="25"/>
      <c r="R9447" s="25"/>
      <c r="S9447" s="25"/>
      <c r="T9447" s="141"/>
      <c r="U9447" s="28"/>
    </row>
    <row r="9448" ht="15.75" customHeight="1">
      <c r="P9448" s="25"/>
      <c r="Q9448" s="25"/>
      <c r="R9448" s="25"/>
      <c r="S9448" s="25"/>
      <c r="T9448" s="141"/>
      <c r="U9448" s="28"/>
    </row>
    <row r="9449" ht="15.75" customHeight="1">
      <c r="P9449" s="25"/>
      <c r="Q9449" s="25"/>
      <c r="R9449" s="25"/>
      <c r="S9449" s="25"/>
      <c r="T9449" s="141"/>
      <c r="U9449" s="28"/>
    </row>
    <row r="9450" ht="15.75" customHeight="1">
      <c r="P9450" s="25"/>
      <c r="Q9450" s="25"/>
      <c r="R9450" s="25"/>
      <c r="S9450" s="25"/>
      <c r="T9450" s="141"/>
      <c r="U9450" s="28"/>
    </row>
    <row r="9451" ht="15.75" customHeight="1">
      <c r="P9451" s="25"/>
      <c r="Q9451" s="25"/>
      <c r="R9451" s="25"/>
      <c r="S9451" s="25"/>
      <c r="T9451" s="141"/>
      <c r="U9451" s="28"/>
    </row>
    <row r="9452" ht="15.75" customHeight="1">
      <c r="P9452" s="25"/>
      <c r="Q9452" s="25"/>
      <c r="R9452" s="25"/>
      <c r="S9452" s="25"/>
      <c r="T9452" s="141"/>
      <c r="U9452" s="28"/>
    </row>
    <row r="9453" ht="15.75" customHeight="1">
      <c r="P9453" s="25"/>
      <c r="Q9453" s="25"/>
      <c r="R9453" s="25"/>
      <c r="S9453" s="25"/>
      <c r="T9453" s="141"/>
      <c r="U9453" s="28"/>
    </row>
    <row r="9454" ht="15.75" customHeight="1">
      <c r="P9454" s="25"/>
      <c r="Q9454" s="25"/>
      <c r="R9454" s="25"/>
      <c r="S9454" s="25"/>
      <c r="T9454" s="141"/>
      <c r="U9454" s="28"/>
    </row>
    <row r="9455" ht="15.75" customHeight="1">
      <c r="P9455" s="25"/>
      <c r="Q9455" s="25"/>
      <c r="R9455" s="25"/>
      <c r="S9455" s="25"/>
      <c r="T9455" s="141"/>
      <c r="U9455" s="28"/>
    </row>
    <row r="9456" ht="15.75" customHeight="1">
      <c r="P9456" s="25"/>
      <c r="Q9456" s="25"/>
      <c r="R9456" s="25"/>
      <c r="S9456" s="25"/>
      <c r="T9456" s="141"/>
      <c r="U9456" s="28"/>
    </row>
    <row r="9457" ht="15.75" customHeight="1">
      <c r="P9457" s="25"/>
      <c r="Q9457" s="25"/>
      <c r="R9457" s="25"/>
      <c r="S9457" s="25"/>
      <c r="T9457" s="141"/>
      <c r="U9457" s="28"/>
    </row>
    <row r="9458" ht="15.75" customHeight="1">
      <c r="P9458" s="25"/>
      <c r="Q9458" s="25"/>
      <c r="R9458" s="25"/>
      <c r="S9458" s="25"/>
      <c r="T9458" s="141"/>
      <c r="U9458" s="28"/>
    </row>
    <row r="9459" ht="15.75" customHeight="1">
      <c r="P9459" s="25"/>
      <c r="Q9459" s="25"/>
      <c r="R9459" s="25"/>
      <c r="S9459" s="25"/>
      <c r="T9459" s="141"/>
      <c r="U9459" s="28"/>
    </row>
    <row r="9460" ht="15.75" customHeight="1">
      <c r="P9460" s="25"/>
      <c r="Q9460" s="25"/>
      <c r="R9460" s="25"/>
      <c r="S9460" s="25"/>
      <c r="T9460" s="141"/>
      <c r="U9460" s="28"/>
    </row>
    <row r="9461" ht="15.75" customHeight="1">
      <c r="P9461" s="25"/>
      <c r="Q9461" s="25"/>
      <c r="R9461" s="25"/>
      <c r="S9461" s="25"/>
      <c r="T9461" s="141"/>
      <c r="U9461" s="28"/>
    </row>
    <row r="9462" ht="15.75" customHeight="1">
      <c r="P9462" s="25"/>
      <c r="Q9462" s="25"/>
      <c r="R9462" s="25"/>
      <c r="S9462" s="25"/>
      <c r="T9462" s="141"/>
      <c r="U9462" s="28"/>
    </row>
    <row r="9463" ht="15.75" customHeight="1">
      <c r="P9463" s="25"/>
      <c r="Q9463" s="25"/>
      <c r="R9463" s="25"/>
      <c r="S9463" s="25"/>
      <c r="T9463" s="141"/>
      <c r="U9463" s="28"/>
    </row>
    <row r="9464" ht="15.75" customHeight="1">
      <c r="P9464" s="25"/>
      <c r="Q9464" s="25"/>
      <c r="R9464" s="25"/>
      <c r="S9464" s="25"/>
      <c r="T9464" s="141"/>
      <c r="U9464" s="28"/>
    </row>
    <row r="9465" ht="15.75" customHeight="1">
      <c r="P9465" s="25"/>
      <c r="Q9465" s="25"/>
      <c r="R9465" s="25"/>
      <c r="S9465" s="25"/>
      <c r="T9465" s="141"/>
      <c r="U9465" s="28"/>
    </row>
    <row r="9466" ht="15.75" customHeight="1">
      <c r="P9466" s="25"/>
      <c r="Q9466" s="25"/>
      <c r="R9466" s="25"/>
      <c r="S9466" s="25"/>
      <c r="T9466" s="141"/>
      <c r="U9466" s="28"/>
    </row>
    <row r="9467" ht="15.75" customHeight="1">
      <c r="P9467" s="25"/>
      <c r="Q9467" s="25"/>
      <c r="R9467" s="25"/>
      <c r="S9467" s="25"/>
      <c r="T9467" s="141"/>
      <c r="U9467" s="28"/>
    </row>
    <row r="9468" ht="15.75" customHeight="1">
      <c r="P9468" s="25"/>
      <c r="Q9468" s="25"/>
      <c r="R9468" s="25"/>
      <c r="S9468" s="25"/>
      <c r="T9468" s="141"/>
      <c r="U9468" s="28"/>
    </row>
    <row r="9469" ht="15.75" customHeight="1">
      <c r="P9469" s="25"/>
      <c r="Q9469" s="25"/>
      <c r="R9469" s="25"/>
      <c r="S9469" s="25"/>
      <c r="T9469" s="141"/>
      <c r="U9469" s="28"/>
    </row>
    <row r="9470" ht="15.75" customHeight="1">
      <c r="P9470" s="25"/>
      <c r="Q9470" s="25"/>
      <c r="R9470" s="25"/>
      <c r="S9470" s="25"/>
      <c r="T9470" s="141"/>
      <c r="U9470" s="28"/>
    </row>
    <row r="9471" ht="15.75" customHeight="1">
      <c r="P9471" s="25"/>
      <c r="Q9471" s="25"/>
      <c r="R9471" s="25"/>
      <c r="S9471" s="25"/>
      <c r="T9471" s="141"/>
      <c r="U9471" s="28"/>
    </row>
    <row r="9472" ht="15.75" customHeight="1">
      <c r="P9472" s="25"/>
      <c r="Q9472" s="25"/>
      <c r="R9472" s="25"/>
      <c r="S9472" s="25"/>
      <c r="T9472" s="141"/>
      <c r="U9472" s="28"/>
    </row>
    <row r="9473" ht="15.75" customHeight="1">
      <c r="P9473" s="25"/>
      <c r="Q9473" s="25"/>
      <c r="R9473" s="25"/>
      <c r="S9473" s="25"/>
      <c r="T9473" s="141"/>
      <c r="U9473" s="28"/>
    </row>
    <row r="9474" ht="15.75" customHeight="1">
      <c r="P9474" s="25"/>
      <c r="Q9474" s="25"/>
      <c r="R9474" s="25"/>
      <c r="S9474" s="25"/>
      <c r="T9474" s="141"/>
      <c r="U9474" s="28"/>
    </row>
    <row r="9475" ht="15.75" customHeight="1">
      <c r="P9475" s="25"/>
      <c r="Q9475" s="25"/>
      <c r="R9475" s="25"/>
      <c r="S9475" s="25"/>
      <c r="T9475" s="141"/>
      <c r="U9475" s="28"/>
    </row>
    <row r="9476" ht="15.75" customHeight="1">
      <c r="P9476" s="25"/>
      <c r="Q9476" s="25"/>
      <c r="R9476" s="25"/>
      <c r="S9476" s="25"/>
      <c r="T9476" s="141"/>
      <c r="U9476" s="28"/>
    </row>
    <row r="9477" ht="15.75" customHeight="1">
      <c r="P9477" s="25"/>
      <c r="Q9477" s="25"/>
      <c r="R9477" s="25"/>
      <c r="S9477" s="25"/>
      <c r="T9477" s="141"/>
      <c r="U9477" s="28"/>
    </row>
    <row r="9478" ht="15.75" customHeight="1">
      <c r="P9478" s="25"/>
      <c r="Q9478" s="25"/>
      <c r="R9478" s="25"/>
      <c r="S9478" s="25"/>
      <c r="T9478" s="141"/>
      <c r="U9478" s="28"/>
    </row>
    <row r="9479" ht="15.75" customHeight="1">
      <c r="P9479" s="25"/>
      <c r="Q9479" s="25"/>
      <c r="R9479" s="25"/>
      <c r="S9479" s="25"/>
      <c r="T9479" s="141"/>
      <c r="U9479" s="28"/>
    </row>
    <row r="9480" ht="15.75" customHeight="1">
      <c r="P9480" s="25"/>
      <c r="Q9480" s="25"/>
      <c r="R9480" s="25"/>
      <c r="S9480" s="25"/>
      <c r="T9480" s="141"/>
      <c r="U9480" s="28"/>
    </row>
    <row r="9481" ht="15.75" customHeight="1">
      <c r="P9481" s="25"/>
      <c r="Q9481" s="25"/>
      <c r="R9481" s="25"/>
      <c r="S9481" s="25"/>
      <c r="T9481" s="141"/>
      <c r="U9481" s="28"/>
    </row>
    <row r="9482" ht="15.75" customHeight="1">
      <c r="P9482" s="25"/>
      <c r="Q9482" s="25"/>
      <c r="R9482" s="25"/>
      <c r="S9482" s="25"/>
      <c r="T9482" s="141"/>
      <c r="U9482" s="28"/>
    </row>
    <row r="9483" ht="15.75" customHeight="1">
      <c r="P9483" s="25"/>
      <c r="Q9483" s="25"/>
      <c r="R9483" s="25"/>
      <c r="S9483" s="25"/>
      <c r="T9483" s="141"/>
      <c r="U9483" s="28"/>
    </row>
    <row r="9484" ht="15.75" customHeight="1">
      <c r="P9484" s="25"/>
      <c r="Q9484" s="25"/>
      <c r="R9484" s="25"/>
      <c r="S9484" s="25"/>
      <c r="T9484" s="141"/>
      <c r="U9484" s="28"/>
    </row>
    <row r="9485" ht="15.75" customHeight="1">
      <c r="P9485" s="25"/>
      <c r="Q9485" s="25"/>
      <c r="R9485" s="25"/>
      <c r="S9485" s="25"/>
      <c r="T9485" s="141"/>
      <c r="U9485" s="28"/>
    </row>
    <row r="9486" ht="15.75" customHeight="1">
      <c r="P9486" s="25"/>
      <c r="Q9486" s="25"/>
      <c r="R9486" s="25"/>
      <c r="S9486" s="25"/>
      <c r="T9486" s="141"/>
      <c r="U9486" s="28"/>
    </row>
    <row r="9487" ht="15.75" customHeight="1">
      <c r="P9487" s="25"/>
      <c r="Q9487" s="25"/>
      <c r="R9487" s="25"/>
      <c r="S9487" s="25"/>
      <c r="T9487" s="141"/>
      <c r="U9487" s="28"/>
    </row>
    <row r="9488" ht="15.75" customHeight="1">
      <c r="P9488" s="25"/>
      <c r="Q9488" s="25"/>
      <c r="R9488" s="25"/>
      <c r="S9488" s="25"/>
      <c r="T9488" s="141"/>
      <c r="U9488" s="28"/>
    </row>
    <row r="9489" ht="15.75" customHeight="1">
      <c r="P9489" s="25"/>
      <c r="Q9489" s="25"/>
      <c r="R9489" s="25"/>
      <c r="S9489" s="25"/>
      <c r="T9489" s="141"/>
      <c r="U9489" s="28"/>
    </row>
    <row r="9490" ht="15.75" customHeight="1">
      <c r="P9490" s="25"/>
      <c r="Q9490" s="25"/>
      <c r="R9490" s="25"/>
      <c r="S9490" s="25"/>
      <c r="T9490" s="141"/>
      <c r="U9490" s="28"/>
    </row>
    <row r="9491" ht="15.75" customHeight="1">
      <c r="P9491" s="25"/>
      <c r="Q9491" s="25"/>
      <c r="R9491" s="25"/>
      <c r="S9491" s="25"/>
      <c r="T9491" s="141"/>
      <c r="U9491" s="28"/>
    </row>
    <row r="9492" ht="15.75" customHeight="1">
      <c r="P9492" s="25"/>
      <c r="Q9492" s="25"/>
      <c r="R9492" s="25"/>
      <c r="S9492" s="25"/>
      <c r="T9492" s="141"/>
      <c r="U9492" s="28"/>
    </row>
    <row r="9493" ht="15.75" customHeight="1">
      <c r="P9493" s="25"/>
      <c r="Q9493" s="25"/>
      <c r="R9493" s="25"/>
      <c r="S9493" s="25"/>
      <c r="T9493" s="141"/>
      <c r="U9493" s="28"/>
    </row>
    <row r="9494" ht="15.75" customHeight="1">
      <c r="P9494" s="25"/>
      <c r="Q9494" s="25"/>
      <c r="R9494" s="25"/>
      <c r="S9494" s="25"/>
      <c r="T9494" s="141"/>
      <c r="U9494" s="28"/>
    </row>
    <row r="9495" ht="15.75" customHeight="1">
      <c r="P9495" s="25"/>
      <c r="Q9495" s="25"/>
      <c r="R9495" s="25"/>
      <c r="S9495" s="25"/>
      <c r="T9495" s="141"/>
      <c r="U9495" s="28"/>
    </row>
    <row r="9496" ht="15.75" customHeight="1">
      <c r="P9496" s="25"/>
      <c r="Q9496" s="25"/>
      <c r="R9496" s="25"/>
      <c r="S9496" s="25"/>
      <c r="T9496" s="141"/>
      <c r="U9496" s="28"/>
    </row>
    <row r="9497" ht="15.75" customHeight="1">
      <c r="P9497" s="25"/>
      <c r="Q9497" s="25"/>
      <c r="R9497" s="25"/>
      <c r="S9497" s="25"/>
      <c r="T9497" s="141"/>
      <c r="U9497" s="28"/>
    </row>
    <row r="9498" ht="15.75" customHeight="1">
      <c r="P9498" s="25"/>
      <c r="Q9498" s="25"/>
      <c r="R9498" s="25"/>
      <c r="S9498" s="25"/>
      <c r="T9498" s="141"/>
      <c r="U9498" s="28"/>
    </row>
    <row r="9499" ht="15.75" customHeight="1">
      <c r="P9499" s="25"/>
      <c r="Q9499" s="25"/>
      <c r="R9499" s="25"/>
      <c r="S9499" s="25"/>
      <c r="T9499" s="141"/>
      <c r="U9499" s="28"/>
    </row>
    <row r="9500" ht="15.75" customHeight="1">
      <c r="P9500" s="25"/>
      <c r="Q9500" s="25"/>
      <c r="R9500" s="25"/>
      <c r="S9500" s="25"/>
      <c r="T9500" s="141"/>
      <c r="U9500" s="28"/>
    </row>
    <row r="9501" ht="15.75" customHeight="1">
      <c r="P9501" s="25"/>
      <c r="Q9501" s="25"/>
      <c r="R9501" s="25"/>
      <c r="S9501" s="25"/>
      <c r="T9501" s="141"/>
      <c r="U9501" s="28"/>
    </row>
    <row r="9502" ht="15.75" customHeight="1">
      <c r="P9502" s="25"/>
      <c r="Q9502" s="25"/>
      <c r="R9502" s="25"/>
      <c r="S9502" s="25"/>
      <c r="T9502" s="141"/>
      <c r="U9502" s="28"/>
    </row>
    <row r="9503" ht="15.75" customHeight="1">
      <c r="P9503" s="25"/>
      <c r="Q9503" s="25"/>
      <c r="R9503" s="25"/>
      <c r="S9503" s="25"/>
      <c r="T9503" s="141"/>
      <c r="U9503" s="28"/>
    </row>
    <row r="9504" ht="15.75" customHeight="1">
      <c r="P9504" s="25"/>
      <c r="Q9504" s="25"/>
      <c r="R9504" s="25"/>
      <c r="S9504" s="25"/>
      <c r="T9504" s="141"/>
      <c r="U9504" s="28"/>
    </row>
    <row r="9505" ht="15.75" customHeight="1">
      <c r="P9505" s="25"/>
      <c r="Q9505" s="25"/>
      <c r="R9505" s="25"/>
      <c r="S9505" s="25"/>
      <c r="T9505" s="141"/>
      <c r="U9505" s="28"/>
    </row>
    <row r="9506" ht="15.75" customHeight="1">
      <c r="P9506" s="25"/>
      <c r="Q9506" s="25"/>
      <c r="R9506" s="25"/>
      <c r="S9506" s="25"/>
      <c r="T9506" s="141"/>
      <c r="U9506" s="28"/>
    </row>
    <row r="9507" ht="15.75" customHeight="1">
      <c r="P9507" s="25"/>
      <c r="Q9507" s="25"/>
      <c r="R9507" s="25"/>
      <c r="S9507" s="25"/>
      <c r="T9507" s="141"/>
      <c r="U9507" s="28"/>
    </row>
    <row r="9508" ht="15.75" customHeight="1">
      <c r="P9508" s="25"/>
      <c r="Q9508" s="25"/>
      <c r="R9508" s="25"/>
      <c r="S9508" s="25"/>
      <c r="T9508" s="141"/>
      <c r="U9508" s="28"/>
    </row>
    <row r="9509" ht="15.75" customHeight="1">
      <c r="P9509" s="25"/>
      <c r="Q9509" s="25"/>
      <c r="R9509" s="25"/>
      <c r="S9509" s="25"/>
      <c r="T9509" s="141"/>
      <c r="U9509" s="28"/>
    </row>
    <row r="9510" ht="15.75" customHeight="1">
      <c r="P9510" s="25"/>
      <c r="Q9510" s="25"/>
      <c r="R9510" s="25"/>
      <c r="S9510" s="25"/>
      <c r="T9510" s="141"/>
      <c r="U9510" s="28"/>
    </row>
    <row r="9511" ht="15.75" customHeight="1">
      <c r="P9511" s="25"/>
      <c r="Q9511" s="25"/>
      <c r="R9511" s="25"/>
      <c r="S9511" s="25"/>
      <c r="T9511" s="141"/>
      <c r="U9511" s="28"/>
    </row>
    <row r="9512" ht="15.75" customHeight="1">
      <c r="P9512" s="25"/>
      <c r="Q9512" s="25"/>
      <c r="R9512" s="25"/>
      <c r="S9512" s="25"/>
      <c r="T9512" s="141"/>
      <c r="U9512" s="28"/>
    </row>
    <row r="9513" ht="15.75" customHeight="1">
      <c r="P9513" s="25"/>
      <c r="Q9513" s="25"/>
      <c r="R9513" s="25"/>
      <c r="S9513" s="25"/>
      <c r="T9513" s="141"/>
      <c r="U9513" s="28"/>
    </row>
    <row r="9514" ht="15.75" customHeight="1">
      <c r="P9514" s="25"/>
      <c r="Q9514" s="25"/>
      <c r="R9514" s="25"/>
      <c r="S9514" s="25"/>
      <c r="T9514" s="141"/>
      <c r="U9514" s="28"/>
    </row>
    <row r="9515" ht="15.75" customHeight="1">
      <c r="P9515" s="25"/>
      <c r="Q9515" s="25"/>
      <c r="R9515" s="25"/>
      <c r="S9515" s="25"/>
      <c r="T9515" s="141"/>
      <c r="U9515" s="28"/>
    </row>
    <row r="9516" ht="15.75" customHeight="1">
      <c r="P9516" s="25"/>
      <c r="Q9516" s="25"/>
      <c r="R9516" s="25"/>
      <c r="S9516" s="25"/>
      <c r="T9516" s="141"/>
      <c r="U9516" s="28"/>
    </row>
    <row r="9517" ht="15.75" customHeight="1">
      <c r="P9517" s="25"/>
      <c r="Q9517" s="25"/>
      <c r="R9517" s="25"/>
      <c r="S9517" s="25"/>
      <c r="T9517" s="141"/>
      <c r="U9517" s="28"/>
    </row>
    <row r="9518" ht="15.75" customHeight="1">
      <c r="P9518" s="25"/>
      <c r="Q9518" s="25"/>
      <c r="R9518" s="25"/>
      <c r="S9518" s="25"/>
      <c r="T9518" s="141"/>
      <c r="U9518" s="28"/>
    </row>
    <row r="9519" ht="15.75" customHeight="1">
      <c r="P9519" s="25"/>
      <c r="Q9519" s="25"/>
      <c r="R9519" s="25"/>
      <c r="S9519" s="25"/>
      <c r="T9519" s="141"/>
      <c r="U9519" s="28"/>
    </row>
    <row r="9520" ht="15.75" customHeight="1">
      <c r="P9520" s="25"/>
      <c r="Q9520" s="25"/>
      <c r="R9520" s="25"/>
      <c r="S9520" s="25"/>
      <c r="T9520" s="141"/>
      <c r="U9520" s="28"/>
    </row>
    <row r="9521" ht="15.75" customHeight="1">
      <c r="P9521" s="25"/>
      <c r="Q9521" s="25"/>
      <c r="R9521" s="25"/>
      <c r="S9521" s="25"/>
      <c r="T9521" s="141"/>
      <c r="U9521" s="28"/>
    </row>
    <row r="9522" ht="15.75" customHeight="1">
      <c r="P9522" s="25"/>
      <c r="Q9522" s="25"/>
      <c r="R9522" s="25"/>
      <c r="S9522" s="25"/>
      <c r="T9522" s="141"/>
      <c r="U9522" s="28"/>
    </row>
    <row r="9523" ht="15.75" customHeight="1">
      <c r="P9523" s="25"/>
      <c r="Q9523" s="25"/>
      <c r="R9523" s="25"/>
      <c r="S9523" s="25"/>
      <c r="T9523" s="141"/>
      <c r="U9523" s="28"/>
    </row>
    <row r="9524" ht="15.75" customHeight="1">
      <c r="P9524" s="25"/>
      <c r="Q9524" s="25"/>
      <c r="R9524" s="25"/>
      <c r="S9524" s="25"/>
      <c r="T9524" s="141"/>
      <c r="U9524" s="28"/>
    </row>
    <row r="9525" ht="15.75" customHeight="1">
      <c r="P9525" s="25"/>
      <c r="Q9525" s="25"/>
      <c r="R9525" s="25"/>
      <c r="S9525" s="25"/>
      <c r="T9525" s="141"/>
      <c r="U9525" s="28"/>
    </row>
    <row r="9526" ht="15.75" customHeight="1">
      <c r="P9526" s="25"/>
      <c r="Q9526" s="25"/>
      <c r="R9526" s="25"/>
      <c r="S9526" s="25"/>
      <c r="T9526" s="141"/>
      <c r="U9526" s="28"/>
    </row>
    <row r="9527" ht="15.75" customHeight="1">
      <c r="P9527" s="25"/>
      <c r="Q9527" s="25"/>
      <c r="R9527" s="25"/>
      <c r="S9527" s="25"/>
      <c r="T9527" s="141"/>
      <c r="U9527" s="28"/>
    </row>
    <row r="9528" ht="15.75" customHeight="1">
      <c r="P9528" s="25"/>
      <c r="Q9528" s="25"/>
      <c r="R9528" s="25"/>
      <c r="S9528" s="25"/>
      <c r="T9528" s="141"/>
      <c r="U9528" s="28"/>
    </row>
    <row r="9529" ht="15.75" customHeight="1">
      <c r="P9529" s="25"/>
      <c r="Q9529" s="25"/>
      <c r="R9529" s="25"/>
      <c r="S9529" s="25"/>
      <c r="T9529" s="141"/>
      <c r="U9529" s="28"/>
    </row>
    <row r="9530" ht="15.75" customHeight="1">
      <c r="P9530" s="25"/>
      <c r="Q9530" s="25"/>
      <c r="R9530" s="25"/>
      <c r="S9530" s="25"/>
      <c r="T9530" s="141"/>
      <c r="U9530" s="28"/>
    </row>
    <row r="9531" ht="15.75" customHeight="1">
      <c r="P9531" s="25"/>
      <c r="Q9531" s="25"/>
      <c r="R9531" s="25"/>
      <c r="S9531" s="25"/>
      <c r="T9531" s="141"/>
      <c r="U9531" s="28"/>
    </row>
    <row r="9532" ht="15.75" customHeight="1">
      <c r="P9532" s="25"/>
      <c r="Q9532" s="25"/>
      <c r="R9532" s="25"/>
      <c r="S9532" s="25"/>
      <c r="T9532" s="141"/>
      <c r="U9532" s="28"/>
    </row>
    <row r="9533" ht="15.75" customHeight="1">
      <c r="P9533" s="25"/>
      <c r="Q9533" s="25"/>
      <c r="R9533" s="25"/>
      <c r="S9533" s="25"/>
      <c r="T9533" s="141"/>
      <c r="U9533" s="28"/>
    </row>
    <row r="9534" ht="15.75" customHeight="1">
      <c r="P9534" s="25"/>
      <c r="Q9534" s="25"/>
      <c r="R9534" s="25"/>
      <c r="S9534" s="25"/>
      <c r="T9534" s="141"/>
      <c r="U9534" s="28"/>
    </row>
    <row r="9535" ht="15.75" customHeight="1">
      <c r="P9535" s="25"/>
      <c r="Q9535" s="25"/>
      <c r="R9535" s="25"/>
      <c r="S9535" s="25"/>
      <c r="T9535" s="141"/>
      <c r="U9535" s="28"/>
    </row>
    <row r="9536" ht="15.75" customHeight="1">
      <c r="P9536" s="25"/>
      <c r="Q9536" s="25"/>
      <c r="R9536" s="25"/>
      <c r="S9536" s="25"/>
      <c r="T9536" s="141"/>
      <c r="U9536" s="28"/>
    </row>
    <row r="9537" ht="15.75" customHeight="1">
      <c r="P9537" s="25"/>
      <c r="Q9537" s="25"/>
      <c r="R9537" s="25"/>
      <c r="S9537" s="25"/>
      <c r="T9537" s="141"/>
      <c r="U9537" s="28"/>
    </row>
    <row r="9538" ht="15.75" customHeight="1">
      <c r="P9538" s="25"/>
      <c r="Q9538" s="25"/>
      <c r="R9538" s="25"/>
      <c r="S9538" s="25"/>
      <c r="T9538" s="141"/>
      <c r="U9538" s="28"/>
    </row>
    <row r="9539" ht="15.75" customHeight="1">
      <c r="P9539" s="25"/>
      <c r="Q9539" s="25"/>
      <c r="R9539" s="25"/>
      <c r="S9539" s="25"/>
      <c r="T9539" s="141"/>
      <c r="U9539" s="28"/>
    </row>
    <row r="9540" ht="15.75" customHeight="1">
      <c r="P9540" s="25"/>
      <c r="Q9540" s="25"/>
      <c r="R9540" s="25"/>
      <c r="S9540" s="25"/>
      <c r="T9540" s="141"/>
      <c r="U9540" s="28"/>
    </row>
    <row r="9541" ht="15.75" customHeight="1">
      <c r="P9541" s="25"/>
      <c r="Q9541" s="25"/>
      <c r="R9541" s="25"/>
      <c r="S9541" s="25"/>
      <c r="T9541" s="141"/>
      <c r="U9541" s="28"/>
    </row>
    <row r="9542" ht="15.75" customHeight="1">
      <c r="P9542" s="25"/>
      <c r="Q9542" s="25"/>
      <c r="R9542" s="25"/>
      <c r="S9542" s="25"/>
      <c r="T9542" s="141"/>
      <c r="U9542" s="28"/>
    </row>
    <row r="9543" ht="15.75" customHeight="1">
      <c r="P9543" s="25"/>
      <c r="Q9543" s="25"/>
      <c r="R9543" s="25"/>
      <c r="S9543" s="25"/>
      <c r="T9543" s="141"/>
      <c r="U9543" s="28"/>
    </row>
    <row r="9544" ht="15.75" customHeight="1">
      <c r="P9544" s="25"/>
      <c r="Q9544" s="25"/>
      <c r="R9544" s="25"/>
      <c r="S9544" s="25"/>
      <c r="T9544" s="141"/>
      <c r="U9544" s="28"/>
    </row>
    <row r="9545" ht="15.75" customHeight="1">
      <c r="P9545" s="25"/>
      <c r="Q9545" s="25"/>
      <c r="R9545" s="25"/>
      <c r="S9545" s="25"/>
      <c r="T9545" s="141"/>
      <c r="U9545" s="28"/>
    </row>
    <row r="9546" ht="15.75" customHeight="1">
      <c r="P9546" s="25"/>
      <c r="Q9546" s="25"/>
      <c r="R9546" s="25"/>
      <c r="S9546" s="25"/>
      <c r="T9546" s="141"/>
      <c r="U9546" s="28"/>
    </row>
    <row r="9547" ht="15.75" customHeight="1">
      <c r="P9547" s="25"/>
      <c r="Q9547" s="25"/>
      <c r="R9547" s="25"/>
      <c r="S9547" s="25"/>
      <c r="T9547" s="141"/>
      <c r="U9547" s="28"/>
    </row>
    <row r="9548" ht="15.75" customHeight="1">
      <c r="P9548" s="25"/>
      <c r="Q9548" s="25"/>
      <c r="R9548" s="25"/>
      <c r="S9548" s="25"/>
      <c r="T9548" s="141"/>
      <c r="U9548" s="28"/>
    </row>
    <row r="9549" ht="15.75" customHeight="1">
      <c r="P9549" s="25"/>
      <c r="Q9549" s="25"/>
      <c r="R9549" s="25"/>
      <c r="S9549" s="25"/>
      <c r="T9549" s="141"/>
      <c r="U9549" s="28"/>
    </row>
    <row r="9550" ht="15.75" customHeight="1">
      <c r="P9550" s="25"/>
      <c r="Q9550" s="25"/>
      <c r="R9550" s="25"/>
      <c r="S9550" s="25"/>
      <c r="T9550" s="141"/>
      <c r="U9550" s="28"/>
    </row>
    <row r="9551" ht="15.75" customHeight="1">
      <c r="P9551" s="25"/>
      <c r="Q9551" s="25"/>
      <c r="R9551" s="25"/>
      <c r="S9551" s="25"/>
      <c r="T9551" s="141"/>
      <c r="U9551" s="28"/>
    </row>
    <row r="9552" ht="15.75" customHeight="1">
      <c r="P9552" s="25"/>
      <c r="Q9552" s="25"/>
      <c r="R9552" s="25"/>
      <c r="S9552" s="25"/>
      <c r="T9552" s="141"/>
      <c r="U9552" s="28"/>
    </row>
    <row r="9553" ht="15.75" customHeight="1">
      <c r="P9553" s="25"/>
      <c r="Q9553" s="25"/>
      <c r="R9553" s="25"/>
      <c r="S9553" s="25"/>
      <c r="T9553" s="141"/>
      <c r="U9553" s="28"/>
    </row>
    <row r="9554" ht="15.75" customHeight="1">
      <c r="P9554" s="25"/>
      <c r="Q9554" s="25"/>
      <c r="R9554" s="25"/>
      <c r="S9554" s="25"/>
      <c r="T9554" s="141"/>
      <c r="U9554" s="28"/>
    </row>
    <row r="9555" ht="15.75" customHeight="1">
      <c r="P9555" s="25"/>
      <c r="Q9555" s="25"/>
      <c r="R9555" s="25"/>
      <c r="S9555" s="25"/>
      <c r="T9555" s="141"/>
      <c r="U9555" s="28"/>
    </row>
    <row r="9556" ht="15.75" customHeight="1">
      <c r="P9556" s="25"/>
      <c r="Q9556" s="25"/>
      <c r="R9556" s="25"/>
      <c r="S9556" s="25"/>
      <c r="T9556" s="141"/>
      <c r="U9556" s="28"/>
    </row>
    <row r="9557" ht="15.75" customHeight="1">
      <c r="P9557" s="25"/>
      <c r="Q9557" s="25"/>
      <c r="R9557" s="25"/>
      <c r="S9557" s="25"/>
      <c r="T9557" s="141"/>
      <c r="U9557" s="28"/>
    </row>
    <row r="9558" ht="15.75" customHeight="1">
      <c r="P9558" s="25"/>
      <c r="Q9558" s="25"/>
      <c r="R9558" s="25"/>
      <c r="S9558" s="25"/>
      <c r="T9558" s="141"/>
      <c r="U9558" s="28"/>
    </row>
    <row r="9559" ht="15.75" customHeight="1">
      <c r="P9559" s="25"/>
      <c r="Q9559" s="25"/>
      <c r="R9559" s="25"/>
      <c r="S9559" s="25"/>
      <c r="T9559" s="141"/>
      <c r="U9559" s="28"/>
    </row>
    <row r="9560" ht="15.75" customHeight="1">
      <c r="P9560" s="25"/>
      <c r="Q9560" s="25"/>
      <c r="R9560" s="25"/>
      <c r="S9560" s="25"/>
      <c r="T9560" s="141"/>
      <c r="U9560" s="28"/>
    </row>
    <row r="9561" ht="15.75" customHeight="1">
      <c r="P9561" s="25"/>
      <c r="Q9561" s="25"/>
      <c r="R9561" s="25"/>
      <c r="S9561" s="25"/>
      <c r="T9561" s="141"/>
      <c r="U9561" s="28"/>
    </row>
    <row r="9562" ht="15.75" customHeight="1">
      <c r="P9562" s="25"/>
      <c r="Q9562" s="25"/>
      <c r="R9562" s="25"/>
      <c r="S9562" s="25"/>
      <c r="T9562" s="141"/>
      <c r="U9562" s="28"/>
    </row>
    <row r="9563" ht="15.75" customHeight="1">
      <c r="P9563" s="25"/>
      <c r="Q9563" s="25"/>
      <c r="R9563" s="25"/>
      <c r="S9563" s="25"/>
      <c r="T9563" s="141"/>
      <c r="U9563" s="28"/>
    </row>
    <row r="9564" ht="15.75" customHeight="1">
      <c r="P9564" s="25"/>
      <c r="Q9564" s="25"/>
      <c r="R9564" s="25"/>
      <c r="S9564" s="25"/>
      <c r="T9564" s="141"/>
      <c r="U9564" s="28"/>
    </row>
    <row r="9565" ht="15.75" customHeight="1">
      <c r="P9565" s="25"/>
      <c r="Q9565" s="25"/>
      <c r="R9565" s="25"/>
      <c r="S9565" s="25"/>
      <c r="T9565" s="141"/>
      <c r="U9565" s="28"/>
    </row>
    <row r="9566" ht="15.75" customHeight="1">
      <c r="P9566" s="25"/>
      <c r="Q9566" s="25"/>
      <c r="R9566" s="25"/>
      <c r="S9566" s="25"/>
      <c r="T9566" s="141"/>
      <c r="U9566" s="28"/>
    </row>
    <row r="9567" ht="15.75" customHeight="1">
      <c r="P9567" s="25"/>
      <c r="Q9567" s="25"/>
      <c r="R9567" s="25"/>
      <c r="S9567" s="25"/>
      <c r="T9567" s="141"/>
      <c r="U9567" s="28"/>
    </row>
    <row r="9568" ht="15.75" customHeight="1">
      <c r="P9568" s="25"/>
      <c r="Q9568" s="25"/>
      <c r="R9568" s="25"/>
      <c r="S9568" s="25"/>
      <c r="T9568" s="141"/>
      <c r="U9568" s="28"/>
    </row>
    <row r="9569" ht="15.75" customHeight="1">
      <c r="P9569" s="25"/>
      <c r="Q9569" s="25"/>
      <c r="R9569" s="25"/>
      <c r="S9569" s="25"/>
      <c r="T9569" s="141"/>
      <c r="U9569" s="28"/>
    </row>
    <row r="9570" ht="15.75" customHeight="1">
      <c r="P9570" s="25"/>
      <c r="Q9570" s="25"/>
      <c r="R9570" s="25"/>
      <c r="S9570" s="25"/>
      <c r="T9570" s="141"/>
      <c r="U9570" s="28"/>
    </row>
    <row r="9571" ht="15.75" customHeight="1">
      <c r="P9571" s="25"/>
      <c r="Q9571" s="25"/>
      <c r="R9571" s="25"/>
      <c r="S9571" s="25"/>
      <c r="T9571" s="141"/>
      <c r="U9571" s="28"/>
    </row>
    <row r="9572" ht="15.75" customHeight="1">
      <c r="P9572" s="25"/>
      <c r="Q9572" s="25"/>
      <c r="R9572" s="25"/>
      <c r="S9572" s="25"/>
      <c r="T9572" s="141"/>
      <c r="U9572" s="28"/>
    </row>
    <row r="9573" ht="15.75" customHeight="1">
      <c r="P9573" s="25"/>
      <c r="Q9573" s="25"/>
      <c r="R9573" s="25"/>
      <c r="S9573" s="25"/>
      <c r="T9573" s="141"/>
      <c r="U9573" s="28"/>
    </row>
    <row r="9574" ht="15.75" customHeight="1">
      <c r="P9574" s="25"/>
      <c r="Q9574" s="25"/>
      <c r="R9574" s="25"/>
      <c r="S9574" s="25"/>
      <c r="T9574" s="141"/>
      <c r="U9574" s="28"/>
    </row>
    <row r="9575" ht="15.75" customHeight="1">
      <c r="P9575" s="25"/>
      <c r="Q9575" s="25"/>
      <c r="R9575" s="25"/>
      <c r="S9575" s="25"/>
      <c r="T9575" s="141"/>
      <c r="U9575" s="28"/>
    </row>
    <row r="9576" ht="15.75" customHeight="1">
      <c r="P9576" s="25"/>
      <c r="Q9576" s="25"/>
      <c r="R9576" s="25"/>
      <c r="S9576" s="25"/>
      <c r="T9576" s="141"/>
      <c r="U9576" s="28"/>
    </row>
    <row r="9577" ht="15.75" customHeight="1">
      <c r="P9577" s="25"/>
      <c r="Q9577" s="25"/>
      <c r="R9577" s="25"/>
      <c r="S9577" s="25"/>
      <c r="T9577" s="141"/>
      <c r="U9577" s="28"/>
    </row>
    <row r="9578" ht="15.75" customHeight="1">
      <c r="P9578" s="25"/>
      <c r="Q9578" s="25"/>
      <c r="R9578" s="25"/>
      <c r="S9578" s="25"/>
      <c r="T9578" s="141"/>
      <c r="U9578" s="28"/>
    </row>
    <row r="9579" ht="15.75" customHeight="1">
      <c r="P9579" s="25"/>
      <c r="Q9579" s="25"/>
      <c r="R9579" s="25"/>
      <c r="S9579" s="25"/>
      <c r="T9579" s="141"/>
      <c r="U9579" s="28"/>
    </row>
    <row r="9580" ht="15.75" customHeight="1">
      <c r="P9580" s="25"/>
      <c r="Q9580" s="25"/>
      <c r="R9580" s="25"/>
      <c r="S9580" s="25"/>
      <c r="T9580" s="141"/>
      <c r="U9580" s="28"/>
    </row>
    <row r="9581" ht="15.75" customHeight="1">
      <c r="P9581" s="25"/>
      <c r="Q9581" s="25"/>
      <c r="R9581" s="25"/>
      <c r="S9581" s="25"/>
      <c r="T9581" s="141"/>
      <c r="U9581" s="28"/>
    </row>
    <row r="9582" ht="15.75" customHeight="1">
      <c r="P9582" s="25"/>
      <c r="Q9582" s="25"/>
      <c r="R9582" s="25"/>
      <c r="S9582" s="25"/>
      <c r="T9582" s="141"/>
      <c r="U9582" s="28"/>
    </row>
    <row r="9583" ht="15.75" customHeight="1">
      <c r="P9583" s="25"/>
      <c r="Q9583" s="25"/>
      <c r="R9583" s="25"/>
      <c r="S9583" s="25"/>
      <c r="T9583" s="141"/>
      <c r="U9583" s="28"/>
    </row>
    <row r="9584" ht="15.75" customHeight="1">
      <c r="P9584" s="25"/>
      <c r="Q9584" s="25"/>
      <c r="R9584" s="25"/>
      <c r="S9584" s="25"/>
      <c r="T9584" s="141"/>
      <c r="U9584" s="28"/>
    </row>
    <row r="9585" ht="15.75" customHeight="1">
      <c r="P9585" s="25"/>
      <c r="Q9585" s="25"/>
      <c r="R9585" s="25"/>
      <c r="S9585" s="25"/>
      <c r="T9585" s="141"/>
      <c r="U9585" s="28"/>
    </row>
    <row r="9586" ht="15.75" customHeight="1">
      <c r="P9586" s="25"/>
      <c r="Q9586" s="25"/>
      <c r="R9586" s="25"/>
      <c r="S9586" s="25"/>
      <c r="T9586" s="141"/>
      <c r="U9586" s="28"/>
    </row>
    <row r="9587" ht="15.75" customHeight="1">
      <c r="P9587" s="25"/>
      <c r="Q9587" s="25"/>
      <c r="R9587" s="25"/>
      <c r="S9587" s="25"/>
      <c r="T9587" s="141"/>
      <c r="U9587" s="28"/>
    </row>
    <row r="9588" ht="15.75" customHeight="1">
      <c r="P9588" s="25"/>
      <c r="Q9588" s="25"/>
      <c r="R9588" s="25"/>
      <c r="S9588" s="25"/>
      <c r="T9588" s="141"/>
      <c r="U9588" s="28"/>
    </row>
    <row r="9589" ht="15.75" customHeight="1">
      <c r="P9589" s="25"/>
      <c r="Q9589" s="25"/>
      <c r="R9589" s="25"/>
      <c r="S9589" s="25"/>
      <c r="T9589" s="141"/>
      <c r="U9589" s="28"/>
    </row>
    <row r="9590" ht="15.75" customHeight="1">
      <c r="P9590" s="25"/>
      <c r="Q9590" s="25"/>
      <c r="R9590" s="25"/>
      <c r="S9590" s="25"/>
      <c r="T9590" s="141"/>
      <c r="U9590" s="28"/>
    </row>
    <row r="9591" ht="15.75" customHeight="1">
      <c r="P9591" s="25"/>
      <c r="Q9591" s="25"/>
      <c r="R9591" s="25"/>
      <c r="S9591" s="25"/>
      <c r="T9591" s="141"/>
      <c r="U9591" s="28"/>
    </row>
    <row r="9592" ht="15.75" customHeight="1">
      <c r="P9592" s="25"/>
      <c r="Q9592" s="25"/>
      <c r="R9592" s="25"/>
      <c r="S9592" s="25"/>
      <c r="T9592" s="141"/>
      <c r="U9592" s="28"/>
    </row>
    <row r="9593" ht="15.75" customHeight="1">
      <c r="P9593" s="25"/>
      <c r="Q9593" s="25"/>
      <c r="R9593" s="25"/>
      <c r="S9593" s="25"/>
      <c r="T9593" s="141"/>
      <c r="U9593" s="28"/>
    </row>
    <row r="9594" ht="15.75" customHeight="1">
      <c r="P9594" s="25"/>
      <c r="Q9594" s="25"/>
      <c r="R9594" s="25"/>
      <c r="S9594" s="25"/>
      <c r="T9594" s="141"/>
      <c r="U9594" s="28"/>
    </row>
    <row r="9595" ht="15.75" customHeight="1">
      <c r="P9595" s="25"/>
      <c r="Q9595" s="25"/>
      <c r="R9595" s="25"/>
      <c r="S9595" s="25"/>
      <c r="T9595" s="141"/>
      <c r="U9595" s="28"/>
    </row>
    <row r="9596" ht="15.75" customHeight="1">
      <c r="P9596" s="25"/>
      <c r="Q9596" s="25"/>
      <c r="R9596" s="25"/>
      <c r="S9596" s="25"/>
      <c r="T9596" s="141"/>
      <c r="U9596" s="28"/>
    </row>
    <row r="9597" ht="15.75" customHeight="1">
      <c r="P9597" s="25"/>
      <c r="Q9597" s="25"/>
      <c r="R9597" s="25"/>
      <c r="S9597" s="25"/>
      <c r="T9597" s="141"/>
      <c r="U9597" s="28"/>
    </row>
    <row r="9598" ht="15.75" customHeight="1">
      <c r="P9598" s="25"/>
      <c r="Q9598" s="25"/>
      <c r="R9598" s="25"/>
      <c r="S9598" s="25"/>
      <c r="T9598" s="141"/>
      <c r="U9598" s="28"/>
    </row>
    <row r="9599" ht="15.75" customHeight="1">
      <c r="P9599" s="25"/>
      <c r="Q9599" s="25"/>
      <c r="R9599" s="25"/>
      <c r="S9599" s="25"/>
      <c r="T9599" s="141"/>
      <c r="U9599" s="28"/>
    </row>
    <row r="9600" ht="15.75" customHeight="1">
      <c r="P9600" s="25"/>
      <c r="Q9600" s="25"/>
      <c r="R9600" s="25"/>
      <c r="S9600" s="25"/>
      <c r="T9600" s="141"/>
      <c r="U9600" s="28"/>
    </row>
    <row r="9601" ht="15.75" customHeight="1">
      <c r="P9601" s="25"/>
      <c r="Q9601" s="25"/>
      <c r="R9601" s="25"/>
      <c r="S9601" s="25"/>
      <c r="T9601" s="141"/>
      <c r="U9601" s="28"/>
    </row>
    <row r="9602" ht="15.75" customHeight="1">
      <c r="P9602" s="25"/>
      <c r="Q9602" s="25"/>
      <c r="R9602" s="25"/>
      <c r="S9602" s="25"/>
      <c r="T9602" s="141"/>
      <c r="U9602" s="28"/>
    </row>
    <row r="9603" ht="15.75" customHeight="1">
      <c r="P9603" s="25"/>
      <c r="Q9603" s="25"/>
      <c r="R9603" s="25"/>
      <c r="S9603" s="25"/>
      <c r="T9603" s="141"/>
      <c r="U9603" s="28"/>
    </row>
    <row r="9604" ht="15.75" customHeight="1">
      <c r="P9604" s="25"/>
      <c r="Q9604" s="25"/>
      <c r="R9604" s="25"/>
      <c r="S9604" s="25"/>
      <c r="T9604" s="141"/>
      <c r="U9604" s="28"/>
    </row>
    <row r="9605" ht="15.75" customHeight="1">
      <c r="P9605" s="25"/>
      <c r="Q9605" s="25"/>
      <c r="R9605" s="25"/>
      <c r="S9605" s="25"/>
      <c r="T9605" s="141"/>
      <c r="U9605" s="28"/>
    </row>
    <row r="9606" ht="15.75" customHeight="1">
      <c r="P9606" s="25"/>
      <c r="Q9606" s="25"/>
      <c r="R9606" s="25"/>
      <c r="S9606" s="25"/>
      <c r="T9606" s="141"/>
      <c r="U9606" s="28"/>
    </row>
    <row r="9607" ht="15.75" customHeight="1">
      <c r="P9607" s="25"/>
      <c r="Q9607" s="25"/>
      <c r="R9607" s="25"/>
      <c r="S9607" s="25"/>
      <c r="T9607" s="141"/>
      <c r="U9607" s="28"/>
    </row>
    <row r="9608" ht="15.75" customHeight="1">
      <c r="P9608" s="25"/>
      <c r="Q9608" s="25"/>
      <c r="R9608" s="25"/>
      <c r="S9608" s="25"/>
      <c r="T9608" s="141"/>
      <c r="U9608" s="28"/>
    </row>
    <row r="9609" ht="15.75" customHeight="1">
      <c r="P9609" s="25"/>
      <c r="Q9609" s="25"/>
      <c r="R9609" s="25"/>
      <c r="S9609" s="25"/>
      <c r="T9609" s="141"/>
      <c r="U9609" s="28"/>
    </row>
    <row r="9610" ht="15.75" customHeight="1">
      <c r="P9610" s="25"/>
      <c r="Q9610" s="25"/>
      <c r="R9610" s="25"/>
      <c r="S9610" s="25"/>
      <c r="T9610" s="141"/>
      <c r="U9610" s="28"/>
    </row>
    <row r="9611" ht="15.75" customHeight="1">
      <c r="P9611" s="25"/>
      <c r="Q9611" s="25"/>
      <c r="R9611" s="25"/>
      <c r="S9611" s="25"/>
      <c r="T9611" s="141"/>
      <c r="U9611" s="28"/>
    </row>
    <row r="9612" ht="15.75" customHeight="1">
      <c r="P9612" s="25"/>
      <c r="Q9612" s="25"/>
      <c r="R9612" s="25"/>
      <c r="S9612" s="25"/>
      <c r="T9612" s="141"/>
      <c r="U9612" s="28"/>
    </row>
    <row r="9613" ht="15.75" customHeight="1">
      <c r="P9613" s="25"/>
      <c r="Q9613" s="25"/>
      <c r="R9613" s="25"/>
      <c r="S9613" s="25"/>
      <c r="T9613" s="141"/>
      <c r="U9613" s="28"/>
    </row>
    <row r="9614" ht="15.75" customHeight="1">
      <c r="P9614" s="25"/>
      <c r="Q9614" s="25"/>
      <c r="R9614" s="25"/>
      <c r="S9614" s="25"/>
      <c r="T9614" s="141"/>
      <c r="U9614" s="28"/>
    </row>
    <row r="9615" ht="15.75" customHeight="1">
      <c r="P9615" s="25"/>
      <c r="Q9615" s="25"/>
      <c r="R9615" s="25"/>
      <c r="S9615" s="25"/>
      <c r="T9615" s="141"/>
      <c r="U9615" s="28"/>
    </row>
    <row r="9616" ht="15.75" customHeight="1">
      <c r="P9616" s="25"/>
      <c r="Q9616" s="25"/>
      <c r="R9616" s="25"/>
      <c r="S9616" s="25"/>
      <c r="T9616" s="141"/>
      <c r="U9616" s="28"/>
    </row>
    <row r="9617" ht="15.75" customHeight="1">
      <c r="P9617" s="25"/>
      <c r="Q9617" s="25"/>
      <c r="R9617" s="25"/>
      <c r="S9617" s="25"/>
      <c r="T9617" s="141"/>
      <c r="U9617" s="28"/>
    </row>
    <row r="9618" ht="15.75" customHeight="1">
      <c r="P9618" s="25"/>
      <c r="Q9618" s="25"/>
      <c r="R9618" s="25"/>
      <c r="S9618" s="25"/>
      <c r="T9618" s="141"/>
      <c r="U9618" s="28"/>
    </row>
    <row r="9619" ht="15.75" customHeight="1">
      <c r="P9619" s="25"/>
      <c r="Q9619" s="25"/>
      <c r="R9619" s="25"/>
      <c r="S9619" s="25"/>
      <c r="T9619" s="141"/>
      <c r="U9619" s="28"/>
    </row>
    <row r="9620" ht="15.75" customHeight="1">
      <c r="P9620" s="25"/>
      <c r="Q9620" s="25"/>
      <c r="R9620" s="25"/>
      <c r="S9620" s="25"/>
      <c r="T9620" s="141"/>
      <c r="U9620" s="28"/>
    </row>
    <row r="9621" ht="15.75" customHeight="1">
      <c r="P9621" s="25"/>
      <c r="Q9621" s="25"/>
      <c r="R9621" s="25"/>
      <c r="S9621" s="25"/>
      <c r="T9621" s="141"/>
      <c r="U9621" s="28"/>
    </row>
    <row r="9622" ht="15.75" customHeight="1">
      <c r="P9622" s="25"/>
      <c r="Q9622" s="25"/>
      <c r="R9622" s="25"/>
      <c r="S9622" s="25"/>
      <c r="T9622" s="141"/>
      <c r="U9622" s="28"/>
    </row>
    <row r="9623" ht="15.75" customHeight="1">
      <c r="P9623" s="25"/>
      <c r="Q9623" s="25"/>
      <c r="R9623" s="25"/>
      <c r="S9623" s="25"/>
      <c r="T9623" s="141"/>
      <c r="U9623" s="28"/>
    </row>
    <row r="9624" ht="15.75" customHeight="1">
      <c r="P9624" s="25"/>
      <c r="Q9624" s="25"/>
      <c r="R9624" s="25"/>
      <c r="S9624" s="25"/>
      <c r="T9624" s="141"/>
      <c r="U9624" s="28"/>
    </row>
    <row r="9625" ht="15.75" customHeight="1">
      <c r="P9625" s="25"/>
      <c r="Q9625" s="25"/>
      <c r="R9625" s="25"/>
      <c r="S9625" s="25"/>
      <c r="T9625" s="141"/>
      <c r="U9625" s="28"/>
    </row>
    <row r="9626" ht="15.75" customHeight="1">
      <c r="P9626" s="25"/>
      <c r="Q9626" s="25"/>
      <c r="R9626" s="25"/>
      <c r="S9626" s="25"/>
      <c r="T9626" s="141"/>
      <c r="U9626" s="28"/>
    </row>
    <row r="9627" ht="15.75" customHeight="1">
      <c r="P9627" s="25"/>
      <c r="Q9627" s="25"/>
      <c r="R9627" s="25"/>
      <c r="S9627" s="25"/>
      <c r="T9627" s="141"/>
      <c r="U9627" s="28"/>
    </row>
    <row r="9628" ht="15.75" customHeight="1">
      <c r="P9628" s="25"/>
      <c r="Q9628" s="25"/>
      <c r="R9628" s="25"/>
      <c r="S9628" s="25"/>
      <c r="T9628" s="141"/>
      <c r="U9628" s="28"/>
    </row>
    <row r="9629" ht="15.75" customHeight="1">
      <c r="P9629" s="25"/>
      <c r="Q9629" s="25"/>
      <c r="R9629" s="25"/>
      <c r="S9629" s="25"/>
      <c r="T9629" s="141"/>
      <c r="U9629" s="28"/>
    </row>
    <row r="9630" ht="15.75" customHeight="1">
      <c r="P9630" s="25"/>
      <c r="Q9630" s="25"/>
      <c r="R9630" s="25"/>
      <c r="S9630" s="25"/>
      <c r="T9630" s="141"/>
      <c r="U9630" s="28"/>
    </row>
    <row r="9631" ht="15.75" customHeight="1">
      <c r="P9631" s="25"/>
      <c r="Q9631" s="25"/>
      <c r="R9631" s="25"/>
      <c r="S9631" s="25"/>
      <c r="T9631" s="141"/>
      <c r="U9631" s="28"/>
    </row>
    <row r="9632" ht="15.75" customHeight="1">
      <c r="P9632" s="25"/>
      <c r="Q9632" s="25"/>
      <c r="R9632" s="25"/>
      <c r="S9632" s="25"/>
      <c r="T9632" s="141"/>
      <c r="U9632" s="28"/>
    </row>
    <row r="9633" ht="15.75" customHeight="1">
      <c r="P9633" s="25"/>
      <c r="Q9633" s="25"/>
      <c r="R9633" s="25"/>
      <c r="S9633" s="25"/>
      <c r="T9633" s="141"/>
      <c r="U9633" s="28"/>
    </row>
    <row r="9634" ht="15.75" customHeight="1">
      <c r="P9634" s="25"/>
      <c r="Q9634" s="25"/>
      <c r="R9634" s="25"/>
      <c r="S9634" s="25"/>
      <c r="T9634" s="141"/>
      <c r="U9634" s="28"/>
    </row>
    <row r="9635" ht="15.75" customHeight="1">
      <c r="P9635" s="25"/>
      <c r="Q9635" s="25"/>
      <c r="R9635" s="25"/>
      <c r="S9635" s="25"/>
      <c r="T9635" s="141"/>
      <c r="U9635" s="28"/>
    </row>
    <row r="9636" ht="15.75" customHeight="1">
      <c r="P9636" s="25"/>
      <c r="Q9636" s="25"/>
      <c r="R9636" s="25"/>
      <c r="S9636" s="25"/>
      <c r="T9636" s="141"/>
      <c r="U9636" s="28"/>
    </row>
    <row r="9637" ht="15.75" customHeight="1">
      <c r="P9637" s="25"/>
      <c r="Q9637" s="25"/>
      <c r="R9637" s="25"/>
      <c r="S9637" s="25"/>
      <c r="T9637" s="141"/>
      <c r="U9637" s="28"/>
    </row>
    <row r="9638" ht="15.75" customHeight="1">
      <c r="P9638" s="25"/>
      <c r="Q9638" s="25"/>
      <c r="R9638" s="25"/>
      <c r="S9638" s="25"/>
      <c r="T9638" s="141"/>
      <c r="U9638" s="28"/>
    </row>
    <row r="9639" ht="15.75" customHeight="1">
      <c r="P9639" s="25"/>
      <c r="Q9639" s="25"/>
      <c r="R9639" s="25"/>
      <c r="S9639" s="25"/>
      <c r="T9639" s="141"/>
      <c r="U9639" s="28"/>
    </row>
    <row r="9640" ht="15.75" customHeight="1">
      <c r="P9640" s="25"/>
      <c r="Q9640" s="25"/>
      <c r="R9640" s="25"/>
      <c r="S9640" s="25"/>
      <c r="T9640" s="141"/>
      <c r="U9640" s="28"/>
    </row>
    <row r="9641" ht="15.75" customHeight="1">
      <c r="P9641" s="25"/>
      <c r="Q9641" s="25"/>
      <c r="R9641" s="25"/>
      <c r="S9641" s="25"/>
      <c r="T9641" s="141"/>
      <c r="U9641" s="28"/>
    </row>
    <row r="9642" ht="15.75" customHeight="1">
      <c r="P9642" s="25"/>
      <c r="Q9642" s="25"/>
      <c r="R9642" s="25"/>
      <c r="S9642" s="25"/>
      <c r="T9642" s="141"/>
      <c r="U9642" s="28"/>
    </row>
    <row r="9643" ht="15.75" customHeight="1">
      <c r="P9643" s="25"/>
      <c r="Q9643" s="25"/>
      <c r="R9643" s="25"/>
      <c r="S9643" s="25"/>
      <c r="T9643" s="141"/>
      <c r="U9643" s="28"/>
    </row>
    <row r="9644" ht="15.75" customHeight="1">
      <c r="P9644" s="25"/>
      <c r="Q9644" s="25"/>
      <c r="R9644" s="25"/>
      <c r="S9644" s="25"/>
      <c r="T9644" s="141"/>
      <c r="U9644" s="28"/>
    </row>
    <row r="9645" ht="15.75" customHeight="1">
      <c r="P9645" s="25"/>
      <c r="Q9645" s="25"/>
      <c r="R9645" s="25"/>
      <c r="S9645" s="25"/>
      <c r="T9645" s="141"/>
      <c r="U9645" s="28"/>
    </row>
    <row r="9646" ht="15.75" customHeight="1">
      <c r="P9646" s="25"/>
      <c r="Q9646" s="25"/>
      <c r="R9646" s="25"/>
      <c r="S9646" s="25"/>
      <c r="T9646" s="141"/>
      <c r="U9646" s="28"/>
    </row>
    <row r="9647" ht="15.75" customHeight="1">
      <c r="P9647" s="25"/>
      <c r="Q9647" s="25"/>
      <c r="R9647" s="25"/>
      <c r="S9647" s="25"/>
      <c r="T9647" s="141"/>
      <c r="U9647" s="28"/>
    </row>
    <row r="9648" ht="15.75" customHeight="1">
      <c r="P9648" s="25"/>
      <c r="Q9648" s="25"/>
      <c r="R9648" s="25"/>
      <c r="S9648" s="25"/>
      <c r="T9648" s="141"/>
      <c r="U9648" s="28"/>
    </row>
    <row r="9649" ht="15.75" customHeight="1">
      <c r="P9649" s="25"/>
      <c r="Q9649" s="25"/>
      <c r="R9649" s="25"/>
      <c r="S9649" s="25"/>
      <c r="T9649" s="141"/>
      <c r="U9649" s="28"/>
    </row>
    <row r="9650" ht="15.75" customHeight="1">
      <c r="P9650" s="25"/>
      <c r="Q9650" s="25"/>
      <c r="R9650" s="25"/>
      <c r="S9650" s="25"/>
      <c r="T9650" s="141"/>
      <c r="U9650" s="28"/>
    </row>
    <row r="9651" ht="15.75" customHeight="1">
      <c r="P9651" s="25"/>
      <c r="Q9651" s="25"/>
      <c r="R9651" s="25"/>
      <c r="S9651" s="25"/>
      <c r="T9651" s="141"/>
      <c r="U9651" s="28"/>
    </row>
    <row r="9652" ht="15.75" customHeight="1">
      <c r="P9652" s="25"/>
      <c r="Q9652" s="25"/>
      <c r="R9652" s="25"/>
      <c r="S9652" s="25"/>
      <c r="T9652" s="141"/>
      <c r="U9652" s="28"/>
    </row>
    <row r="9653" ht="15.75" customHeight="1">
      <c r="P9653" s="25"/>
      <c r="Q9653" s="25"/>
      <c r="R9653" s="25"/>
      <c r="S9653" s="25"/>
      <c r="T9653" s="141"/>
      <c r="U9653" s="28"/>
    </row>
    <row r="9654" ht="15.75" customHeight="1">
      <c r="P9654" s="25"/>
      <c r="Q9654" s="25"/>
      <c r="R9654" s="25"/>
      <c r="S9654" s="25"/>
      <c r="T9654" s="141"/>
      <c r="U9654" s="28"/>
    </row>
    <row r="9655" ht="15.75" customHeight="1">
      <c r="P9655" s="25"/>
      <c r="Q9655" s="25"/>
      <c r="R9655" s="25"/>
      <c r="S9655" s="25"/>
      <c r="T9655" s="141"/>
      <c r="U9655" s="28"/>
    </row>
    <row r="9656" ht="15.75" customHeight="1">
      <c r="P9656" s="25"/>
      <c r="Q9656" s="25"/>
      <c r="R9656" s="25"/>
      <c r="S9656" s="25"/>
      <c r="T9656" s="141"/>
      <c r="U9656" s="28"/>
    </row>
    <row r="9657" ht="15.75" customHeight="1">
      <c r="P9657" s="25"/>
      <c r="Q9657" s="25"/>
      <c r="R9657" s="25"/>
      <c r="S9657" s="25"/>
      <c r="T9657" s="141"/>
      <c r="U9657" s="28"/>
    </row>
    <row r="9658" ht="15.75" customHeight="1">
      <c r="P9658" s="25"/>
      <c r="Q9658" s="25"/>
      <c r="R9658" s="25"/>
      <c r="S9658" s="25"/>
      <c r="T9658" s="141"/>
      <c r="U9658" s="28"/>
    </row>
    <row r="9659" ht="15.75" customHeight="1">
      <c r="P9659" s="25"/>
      <c r="Q9659" s="25"/>
      <c r="R9659" s="25"/>
      <c r="S9659" s="25"/>
      <c r="T9659" s="141"/>
      <c r="U9659" s="28"/>
    </row>
    <row r="9660" ht="15.75" customHeight="1">
      <c r="P9660" s="25"/>
      <c r="Q9660" s="25"/>
      <c r="R9660" s="25"/>
      <c r="S9660" s="25"/>
      <c r="T9660" s="141"/>
      <c r="U9660" s="28"/>
    </row>
    <row r="9661" ht="15.75" customHeight="1">
      <c r="P9661" s="25"/>
      <c r="Q9661" s="25"/>
      <c r="R9661" s="25"/>
      <c r="S9661" s="25"/>
      <c r="T9661" s="141"/>
      <c r="U9661" s="28"/>
    </row>
    <row r="9662" ht="15.75" customHeight="1">
      <c r="P9662" s="25"/>
      <c r="Q9662" s="25"/>
      <c r="R9662" s="25"/>
      <c r="S9662" s="25"/>
      <c r="T9662" s="141"/>
      <c r="U9662" s="28"/>
    </row>
    <row r="9663" ht="15.75" customHeight="1">
      <c r="P9663" s="25"/>
      <c r="Q9663" s="25"/>
      <c r="R9663" s="25"/>
      <c r="S9663" s="25"/>
      <c r="T9663" s="141"/>
      <c r="U9663" s="28"/>
    </row>
    <row r="9664" ht="15.75" customHeight="1">
      <c r="P9664" s="25"/>
      <c r="Q9664" s="25"/>
      <c r="R9664" s="25"/>
      <c r="S9664" s="25"/>
      <c r="T9664" s="141"/>
      <c r="U9664" s="28"/>
    </row>
    <row r="9665" ht="15.75" customHeight="1">
      <c r="P9665" s="25"/>
      <c r="Q9665" s="25"/>
      <c r="R9665" s="25"/>
      <c r="S9665" s="25"/>
      <c r="T9665" s="141"/>
      <c r="U9665" s="28"/>
    </row>
    <row r="9666" ht="15.75" customHeight="1">
      <c r="P9666" s="25"/>
      <c r="Q9666" s="25"/>
      <c r="R9666" s="25"/>
      <c r="S9666" s="25"/>
      <c r="T9666" s="141"/>
      <c r="U9666" s="28"/>
    </row>
    <row r="9667" ht="15.75" customHeight="1">
      <c r="P9667" s="25"/>
      <c r="Q9667" s="25"/>
      <c r="R9667" s="25"/>
      <c r="S9667" s="25"/>
      <c r="T9667" s="141"/>
      <c r="U9667" s="28"/>
    </row>
    <row r="9668" ht="15.75" customHeight="1">
      <c r="P9668" s="25"/>
      <c r="Q9668" s="25"/>
      <c r="R9668" s="25"/>
      <c r="S9668" s="25"/>
      <c r="T9668" s="141"/>
      <c r="U9668" s="28"/>
    </row>
    <row r="9669" ht="15.75" customHeight="1">
      <c r="P9669" s="25"/>
      <c r="Q9669" s="25"/>
      <c r="R9669" s="25"/>
      <c r="S9669" s="25"/>
      <c r="T9669" s="141"/>
      <c r="U9669" s="28"/>
    </row>
    <row r="9670" ht="15.75" customHeight="1">
      <c r="P9670" s="25"/>
      <c r="Q9670" s="25"/>
      <c r="R9670" s="25"/>
      <c r="S9670" s="25"/>
      <c r="T9670" s="141"/>
      <c r="U9670" s="28"/>
    </row>
    <row r="9671" ht="15.75" customHeight="1">
      <c r="P9671" s="25"/>
      <c r="Q9671" s="25"/>
      <c r="R9671" s="25"/>
      <c r="S9671" s="25"/>
      <c r="T9671" s="141"/>
      <c r="U9671" s="28"/>
    </row>
    <row r="9672" ht="15.75" customHeight="1">
      <c r="P9672" s="25"/>
      <c r="Q9672" s="25"/>
      <c r="R9672" s="25"/>
      <c r="S9672" s="25"/>
      <c r="T9672" s="141"/>
      <c r="U9672" s="28"/>
    </row>
    <row r="9673" ht="15.75" customHeight="1">
      <c r="P9673" s="25"/>
      <c r="Q9673" s="25"/>
      <c r="R9673" s="25"/>
      <c r="S9673" s="25"/>
      <c r="T9673" s="141"/>
      <c r="U9673" s="28"/>
    </row>
    <row r="9674" ht="15.75" customHeight="1">
      <c r="P9674" s="25"/>
      <c r="Q9674" s="25"/>
      <c r="R9674" s="25"/>
      <c r="S9674" s="25"/>
      <c r="T9674" s="141"/>
      <c r="U9674" s="28"/>
    </row>
    <row r="9675" ht="15.75" customHeight="1">
      <c r="P9675" s="25"/>
      <c r="Q9675" s="25"/>
      <c r="R9675" s="25"/>
      <c r="S9675" s="25"/>
      <c r="T9675" s="141"/>
      <c r="U9675" s="28"/>
    </row>
    <row r="9676" ht="15.75" customHeight="1">
      <c r="P9676" s="25"/>
      <c r="Q9676" s="25"/>
      <c r="R9676" s="25"/>
      <c r="S9676" s="25"/>
      <c r="T9676" s="141"/>
      <c r="U9676" s="28"/>
    </row>
    <row r="9677" ht="15.75" customHeight="1">
      <c r="P9677" s="25"/>
      <c r="Q9677" s="25"/>
      <c r="R9677" s="25"/>
      <c r="S9677" s="25"/>
      <c r="T9677" s="141"/>
      <c r="U9677" s="28"/>
    </row>
    <row r="9678" ht="15.75" customHeight="1">
      <c r="P9678" s="25"/>
      <c r="Q9678" s="25"/>
      <c r="R9678" s="25"/>
      <c r="S9678" s="25"/>
      <c r="T9678" s="141"/>
      <c r="U9678" s="28"/>
    </row>
    <row r="9679" ht="15.75" customHeight="1">
      <c r="P9679" s="25"/>
      <c r="Q9679" s="25"/>
      <c r="R9679" s="25"/>
      <c r="S9679" s="25"/>
      <c r="T9679" s="141"/>
      <c r="U9679" s="28"/>
    </row>
    <row r="9680" ht="15.75" customHeight="1">
      <c r="P9680" s="25"/>
      <c r="Q9680" s="25"/>
      <c r="R9680" s="25"/>
      <c r="S9680" s="25"/>
      <c r="T9680" s="141"/>
      <c r="U9680" s="28"/>
    </row>
    <row r="9681" ht="15.75" customHeight="1">
      <c r="P9681" s="25"/>
      <c r="Q9681" s="25"/>
      <c r="R9681" s="25"/>
      <c r="S9681" s="25"/>
      <c r="T9681" s="141"/>
      <c r="U9681" s="28"/>
    </row>
    <row r="9682" ht="15.75" customHeight="1">
      <c r="P9682" s="25"/>
      <c r="Q9682" s="25"/>
      <c r="R9682" s="25"/>
      <c r="S9682" s="25"/>
      <c r="T9682" s="141"/>
      <c r="U9682" s="28"/>
    </row>
    <row r="9683" ht="15.75" customHeight="1">
      <c r="P9683" s="25"/>
      <c r="Q9683" s="25"/>
      <c r="R9683" s="25"/>
      <c r="S9683" s="25"/>
      <c r="T9683" s="141"/>
      <c r="U9683" s="28"/>
    </row>
    <row r="9684" ht="15.75" customHeight="1">
      <c r="P9684" s="25"/>
      <c r="Q9684" s="25"/>
      <c r="R9684" s="25"/>
      <c r="S9684" s="25"/>
      <c r="T9684" s="141"/>
      <c r="U9684" s="28"/>
    </row>
    <row r="9685" ht="15.75" customHeight="1">
      <c r="P9685" s="25"/>
      <c r="Q9685" s="25"/>
      <c r="R9685" s="25"/>
      <c r="S9685" s="25"/>
      <c r="T9685" s="141"/>
      <c r="U9685" s="28"/>
    </row>
    <row r="9686" ht="15.75" customHeight="1">
      <c r="P9686" s="25"/>
      <c r="Q9686" s="25"/>
      <c r="R9686" s="25"/>
      <c r="S9686" s="25"/>
      <c r="T9686" s="141"/>
      <c r="U9686" s="28"/>
    </row>
    <row r="9687" ht="15.75" customHeight="1">
      <c r="P9687" s="25"/>
      <c r="Q9687" s="25"/>
      <c r="R9687" s="25"/>
      <c r="S9687" s="25"/>
      <c r="T9687" s="141"/>
      <c r="U9687" s="28"/>
    </row>
    <row r="9688" ht="15.75" customHeight="1">
      <c r="P9688" s="25"/>
      <c r="Q9688" s="25"/>
      <c r="R9688" s="25"/>
      <c r="S9688" s="25"/>
      <c r="T9688" s="141"/>
      <c r="U9688" s="28"/>
    </row>
    <row r="9689" ht="15.75" customHeight="1">
      <c r="P9689" s="25"/>
      <c r="Q9689" s="25"/>
      <c r="R9689" s="25"/>
      <c r="S9689" s="25"/>
      <c r="T9689" s="141"/>
      <c r="U9689" s="28"/>
    </row>
    <row r="9690" ht="15.75" customHeight="1">
      <c r="P9690" s="25"/>
      <c r="Q9690" s="25"/>
      <c r="R9690" s="25"/>
      <c r="S9690" s="25"/>
      <c r="T9690" s="141"/>
      <c r="U9690" s="28"/>
    </row>
    <row r="9691" ht="15.75" customHeight="1">
      <c r="P9691" s="25"/>
      <c r="Q9691" s="25"/>
      <c r="R9691" s="25"/>
      <c r="S9691" s="25"/>
      <c r="T9691" s="141"/>
      <c r="U9691" s="28"/>
    </row>
    <row r="9692" ht="15.75" customHeight="1">
      <c r="P9692" s="25"/>
      <c r="Q9692" s="25"/>
      <c r="R9692" s="25"/>
      <c r="S9692" s="25"/>
      <c r="T9692" s="141"/>
      <c r="U9692" s="28"/>
    </row>
    <row r="9693" ht="15.75" customHeight="1">
      <c r="P9693" s="25"/>
      <c r="Q9693" s="25"/>
      <c r="R9693" s="25"/>
      <c r="S9693" s="25"/>
      <c r="T9693" s="141"/>
      <c r="U9693" s="28"/>
    </row>
    <row r="9694" ht="15.75" customHeight="1">
      <c r="P9694" s="25"/>
      <c r="Q9694" s="25"/>
      <c r="R9694" s="25"/>
      <c r="S9694" s="25"/>
      <c r="T9694" s="141"/>
      <c r="U9694" s="28"/>
    </row>
    <row r="9695" ht="15.75" customHeight="1">
      <c r="P9695" s="25"/>
      <c r="Q9695" s="25"/>
      <c r="R9695" s="25"/>
      <c r="S9695" s="25"/>
      <c r="T9695" s="141"/>
      <c r="U9695" s="28"/>
    </row>
    <row r="9696" ht="15.75" customHeight="1">
      <c r="P9696" s="25"/>
      <c r="Q9696" s="25"/>
      <c r="R9696" s="25"/>
      <c r="S9696" s="25"/>
      <c r="T9696" s="141"/>
      <c r="U9696" s="28"/>
    </row>
    <row r="9697" ht="15.75" customHeight="1">
      <c r="P9697" s="25"/>
      <c r="Q9697" s="25"/>
      <c r="R9697" s="25"/>
      <c r="S9697" s="25"/>
      <c r="T9697" s="141"/>
      <c r="U9697" s="28"/>
    </row>
    <row r="9698" ht="15.75" customHeight="1">
      <c r="P9698" s="25"/>
      <c r="Q9698" s="25"/>
      <c r="R9698" s="25"/>
      <c r="S9698" s="25"/>
      <c r="T9698" s="141"/>
      <c r="U9698" s="28"/>
    </row>
    <row r="9699" ht="15.75" customHeight="1">
      <c r="P9699" s="25"/>
      <c r="Q9699" s="25"/>
      <c r="R9699" s="25"/>
      <c r="S9699" s="25"/>
      <c r="T9699" s="141"/>
      <c r="U9699" s="28"/>
    </row>
    <row r="9700" ht="15.75" customHeight="1">
      <c r="P9700" s="25"/>
      <c r="Q9700" s="25"/>
      <c r="R9700" s="25"/>
      <c r="S9700" s="25"/>
      <c r="T9700" s="141"/>
      <c r="U9700" s="28"/>
    </row>
    <row r="9701" ht="15.75" customHeight="1">
      <c r="P9701" s="25"/>
      <c r="Q9701" s="25"/>
      <c r="R9701" s="25"/>
      <c r="S9701" s="25"/>
      <c r="T9701" s="141"/>
      <c r="U9701" s="28"/>
    </row>
    <row r="9702" ht="15.75" customHeight="1">
      <c r="P9702" s="25"/>
      <c r="Q9702" s="25"/>
      <c r="R9702" s="25"/>
      <c r="S9702" s="25"/>
      <c r="T9702" s="141"/>
      <c r="U9702" s="28"/>
    </row>
    <row r="9703" ht="15.75" customHeight="1">
      <c r="P9703" s="25"/>
      <c r="Q9703" s="25"/>
      <c r="R9703" s="25"/>
      <c r="S9703" s="25"/>
      <c r="T9703" s="141"/>
      <c r="U9703" s="28"/>
    </row>
    <row r="9704" ht="15.75" customHeight="1">
      <c r="P9704" s="25"/>
      <c r="Q9704" s="25"/>
      <c r="R9704" s="25"/>
      <c r="S9704" s="25"/>
      <c r="T9704" s="141"/>
      <c r="U9704" s="28"/>
    </row>
    <row r="9705" ht="15.75" customHeight="1">
      <c r="P9705" s="25"/>
      <c r="Q9705" s="25"/>
      <c r="R9705" s="25"/>
      <c r="S9705" s="25"/>
      <c r="T9705" s="141"/>
      <c r="U9705" s="28"/>
    </row>
    <row r="9706" ht="15.75" customHeight="1">
      <c r="P9706" s="25"/>
      <c r="Q9706" s="25"/>
      <c r="R9706" s="25"/>
      <c r="S9706" s="25"/>
      <c r="T9706" s="141"/>
      <c r="U9706" s="28"/>
    </row>
    <row r="9707" ht="15.75" customHeight="1">
      <c r="P9707" s="25"/>
      <c r="Q9707" s="25"/>
      <c r="R9707" s="25"/>
      <c r="S9707" s="25"/>
      <c r="T9707" s="141"/>
      <c r="U9707" s="28"/>
    </row>
    <row r="9708" ht="15.75" customHeight="1">
      <c r="P9708" s="25"/>
      <c r="Q9708" s="25"/>
      <c r="R9708" s="25"/>
      <c r="S9708" s="25"/>
      <c r="T9708" s="141"/>
      <c r="U9708" s="28"/>
    </row>
    <row r="9709" ht="15.75" customHeight="1">
      <c r="P9709" s="25"/>
      <c r="Q9709" s="25"/>
      <c r="R9709" s="25"/>
      <c r="S9709" s="25"/>
      <c r="T9709" s="141"/>
      <c r="U9709" s="28"/>
    </row>
    <row r="9710" ht="15.75" customHeight="1">
      <c r="P9710" s="25"/>
      <c r="Q9710" s="25"/>
      <c r="R9710" s="25"/>
      <c r="S9710" s="25"/>
      <c r="T9710" s="141"/>
      <c r="U9710" s="28"/>
    </row>
    <row r="9711" ht="15.75" customHeight="1">
      <c r="P9711" s="25"/>
      <c r="Q9711" s="25"/>
      <c r="R9711" s="25"/>
      <c r="S9711" s="25"/>
      <c r="T9711" s="141"/>
      <c r="U9711" s="28"/>
    </row>
    <row r="9712" ht="15.75" customHeight="1">
      <c r="P9712" s="25"/>
      <c r="Q9712" s="25"/>
      <c r="R9712" s="25"/>
      <c r="S9712" s="25"/>
      <c r="T9712" s="141"/>
      <c r="U9712" s="28"/>
    </row>
    <row r="9713" ht="15.75" customHeight="1">
      <c r="P9713" s="25"/>
      <c r="Q9713" s="25"/>
      <c r="R9713" s="25"/>
      <c r="S9713" s="25"/>
      <c r="T9713" s="141"/>
      <c r="U9713" s="28"/>
    </row>
    <row r="9714" ht="15.75" customHeight="1">
      <c r="P9714" s="25"/>
      <c r="Q9714" s="25"/>
      <c r="R9714" s="25"/>
      <c r="S9714" s="25"/>
      <c r="T9714" s="141"/>
      <c r="U9714" s="28"/>
    </row>
    <row r="9715" ht="15.75" customHeight="1">
      <c r="P9715" s="25"/>
      <c r="Q9715" s="25"/>
      <c r="R9715" s="25"/>
      <c r="S9715" s="25"/>
      <c r="T9715" s="141"/>
      <c r="U9715" s="28"/>
    </row>
    <row r="9716" ht="15.75" customHeight="1">
      <c r="P9716" s="25"/>
      <c r="Q9716" s="25"/>
      <c r="R9716" s="25"/>
      <c r="S9716" s="25"/>
      <c r="T9716" s="141"/>
      <c r="U9716" s="28"/>
    </row>
    <row r="9717" ht="15.75" customHeight="1">
      <c r="P9717" s="25"/>
      <c r="Q9717" s="25"/>
      <c r="R9717" s="25"/>
      <c r="S9717" s="25"/>
      <c r="T9717" s="141"/>
      <c r="U9717" s="28"/>
    </row>
    <row r="9718" ht="15.75" customHeight="1">
      <c r="P9718" s="25"/>
      <c r="Q9718" s="25"/>
      <c r="R9718" s="25"/>
      <c r="S9718" s="25"/>
      <c r="T9718" s="141"/>
      <c r="U9718" s="28"/>
    </row>
    <row r="9719" ht="15.75" customHeight="1">
      <c r="P9719" s="25"/>
      <c r="Q9719" s="25"/>
      <c r="R9719" s="25"/>
      <c r="S9719" s="25"/>
      <c r="T9719" s="141"/>
      <c r="U9719" s="28"/>
    </row>
    <row r="9720" ht="15.75" customHeight="1">
      <c r="P9720" s="25"/>
      <c r="Q9720" s="25"/>
      <c r="R9720" s="25"/>
      <c r="S9720" s="25"/>
      <c r="T9720" s="141"/>
      <c r="U9720" s="28"/>
    </row>
    <row r="9721" ht="15.75" customHeight="1">
      <c r="P9721" s="25"/>
      <c r="Q9721" s="25"/>
      <c r="R9721" s="25"/>
      <c r="S9721" s="25"/>
      <c r="T9721" s="141"/>
      <c r="U9721" s="28"/>
    </row>
    <row r="9722" ht="15.75" customHeight="1">
      <c r="P9722" s="25"/>
      <c r="Q9722" s="25"/>
      <c r="R9722" s="25"/>
      <c r="S9722" s="25"/>
      <c r="T9722" s="141"/>
      <c r="U9722" s="28"/>
    </row>
    <row r="9723" ht="15.75" customHeight="1">
      <c r="P9723" s="25"/>
      <c r="Q9723" s="25"/>
      <c r="R9723" s="25"/>
      <c r="S9723" s="25"/>
      <c r="T9723" s="141"/>
      <c r="U9723" s="28"/>
    </row>
    <row r="9724" ht="15.75" customHeight="1">
      <c r="P9724" s="25"/>
      <c r="Q9724" s="25"/>
      <c r="R9724" s="25"/>
      <c r="S9724" s="25"/>
      <c r="T9724" s="141"/>
      <c r="U9724" s="28"/>
    </row>
    <row r="9725" ht="15.75" customHeight="1">
      <c r="P9725" s="25"/>
      <c r="Q9725" s="25"/>
      <c r="R9725" s="25"/>
      <c r="S9725" s="25"/>
      <c r="T9725" s="141"/>
      <c r="U9725" s="28"/>
    </row>
    <row r="9726" ht="15.75" customHeight="1">
      <c r="P9726" s="25"/>
      <c r="Q9726" s="25"/>
      <c r="R9726" s="25"/>
      <c r="S9726" s="25"/>
      <c r="T9726" s="141"/>
      <c r="U9726" s="28"/>
    </row>
    <row r="9727" ht="15.75" customHeight="1">
      <c r="P9727" s="25"/>
      <c r="Q9727" s="25"/>
      <c r="R9727" s="25"/>
      <c r="S9727" s="25"/>
      <c r="T9727" s="141"/>
      <c r="U9727" s="28"/>
    </row>
    <row r="9728" ht="15.75" customHeight="1">
      <c r="P9728" s="25"/>
      <c r="Q9728" s="25"/>
      <c r="R9728" s="25"/>
      <c r="S9728" s="25"/>
      <c r="T9728" s="141"/>
      <c r="U9728" s="28"/>
    </row>
    <row r="9729" ht="15.75" customHeight="1">
      <c r="P9729" s="25"/>
      <c r="Q9729" s="25"/>
      <c r="R9729" s="25"/>
      <c r="S9729" s="25"/>
      <c r="T9729" s="141"/>
      <c r="U9729" s="28"/>
    </row>
    <row r="9730" ht="15.75" customHeight="1">
      <c r="P9730" s="25"/>
      <c r="Q9730" s="25"/>
      <c r="R9730" s="25"/>
      <c r="S9730" s="25"/>
      <c r="T9730" s="141"/>
      <c r="U9730" s="28"/>
    </row>
    <row r="9731" ht="15.75" customHeight="1">
      <c r="P9731" s="25"/>
      <c r="Q9731" s="25"/>
      <c r="R9731" s="25"/>
      <c r="S9731" s="25"/>
      <c r="T9731" s="141"/>
      <c r="U9731" s="28"/>
    </row>
    <row r="9732" ht="15.75" customHeight="1">
      <c r="P9732" s="25"/>
      <c r="Q9732" s="25"/>
      <c r="R9732" s="25"/>
      <c r="S9732" s="25"/>
      <c r="T9732" s="141"/>
      <c r="U9732" s="28"/>
    </row>
    <row r="9733" ht="15.75" customHeight="1">
      <c r="P9733" s="25"/>
      <c r="Q9733" s="25"/>
      <c r="R9733" s="25"/>
      <c r="S9733" s="25"/>
      <c r="T9733" s="141"/>
      <c r="U9733" s="28"/>
    </row>
    <row r="9734" ht="15.75" customHeight="1">
      <c r="P9734" s="25"/>
      <c r="Q9734" s="25"/>
      <c r="R9734" s="25"/>
      <c r="S9734" s="25"/>
      <c r="T9734" s="141"/>
      <c r="U9734" s="28"/>
    </row>
    <row r="9735" ht="15.75" customHeight="1">
      <c r="P9735" s="25"/>
      <c r="Q9735" s="25"/>
      <c r="R9735" s="25"/>
      <c r="S9735" s="25"/>
      <c r="T9735" s="141"/>
      <c r="U9735" s="28"/>
    </row>
    <row r="9736" ht="15.75" customHeight="1">
      <c r="P9736" s="25"/>
      <c r="Q9736" s="25"/>
      <c r="R9736" s="25"/>
      <c r="S9736" s="25"/>
      <c r="T9736" s="141"/>
      <c r="U9736" s="28"/>
    </row>
    <row r="9737" ht="15.75" customHeight="1">
      <c r="P9737" s="25"/>
      <c r="Q9737" s="25"/>
      <c r="R9737" s="25"/>
      <c r="S9737" s="25"/>
      <c r="T9737" s="141"/>
      <c r="U9737" s="28"/>
    </row>
    <row r="9738" ht="15.75" customHeight="1">
      <c r="P9738" s="25"/>
      <c r="Q9738" s="25"/>
      <c r="R9738" s="25"/>
      <c r="S9738" s="25"/>
      <c r="T9738" s="141"/>
      <c r="U9738" s="28"/>
    </row>
    <row r="9739" ht="15.75" customHeight="1">
      <c r="P9739" s="25"/>
      <c r="Q9739" s="25"/>
      <c r="R9739" s="25"/>
      <c r="S9739" s="25"/>
      <c r="T9739" s="141"/>
      <c r="U9739" s="28"/>
    </row>
    <row r="9740" ht="15.75" customHeight="1">
      <c r="P9740" s="25"/>
      <c r="Q9740" s="25"/>
      <c r="R9740" s="25"/>
      <c r="S9740" s="25"/>
      <c r="T9740" s="141"/>
      <c r="U9740" s="28"/>
    </row>
    <row r="9741" ht="15.75" customHeight="1">
      <c r="P9741" s="25"/>
      <c r="Q9741" s="25"/>
      <c r="R9741" s="25"/>
      <c r="S9741" s="25"/>
      <c r="T9741" s="141"/>
      <c r="U9741" s="28"/>
    </row>
    <row r="9742" ht="15.75" customHeight="1">
      <c r="P9742" s="25"/>
      <c r="Q9742" s="25"/>
      <c r="R9742" s="25"/>
      <c r="S9742" s="25"/>
      <c r="T9742" s="141"/>
      <c r="U9742" s="28"/>
    </row>
    <row r="9743" ht="15.75" customHeight="1">
      <c r="P9743" s="25"/>
      <c r="Q9743" s="25"/>
      <c r="R9743" s="25"/>
      <c r="S9743" s="25"/>
      <c r="T9743" s="141"/>
      <c r="U9743" s="28"/>
    </row>
    <row r="9744" ht="15.75" customHeight="1">
      <c r="P9744" s="25"/>
      <c r="Q9744" s="25"/>
      <c r="R9744" s="25"/>
      <c r="S9744" s="25"/>
      <c r="T9744" s="141"/>
      <c r="U9744" s="28"/>
    </row>
    <row r="9745" ht="15.75" customHeight="1">
      <c r="P9745" s="25"/>
      <c r="Q9745" s="25"/>
      <c r="R9745" s="25"/>
      <c r="S9745" s="25"/>
      <c r="T9745" s="141"/>
      <c r="U9745" s="28"/>
    </row>
    <row r="9746" ht="15.75" customHeight="1">
      <c r="P9746" s="25"/>
      <c r="Q9746" s="25"/>
      <c r="R9746" s="25"/>
      <c r="S9746" s="25"/>
      <c r="T9746" s="141"/>
      <c r="U9746" s="28"/>
    </row>
    <row r="9747" ht="15.75" customHeight="1">
      <c r="P9747" s="25"/>
      <c r="Q9747" s="25"/>
      <c r="R9747" s="25"/>
      <c r="S9747" s="25"/>
      <c r="T9747" s="141"/>
      <c r="U9747" s="28"/>
    </row>
    <row r="9748" ht="15.75" customHeight="1">
      <c r="P9748" s="25"/>
      <c r="Q9748" s="25"/>
      <c r="R9748" s="25"/>
      <c r="S9748" s="25"/>
      <c r="T9748" s="141"/>
      <c r="U9748" s="28"/>
    </row>
    <row r="9749" ht="15.75" customHeight="1">
      <c r="P9749" s="25"/>
      <c r="Q9749" s="25"/>
      <c r="R9749" s="25"/>
      <c r="S9749" s="25"/>
      <c r="T9749" s="141"/>
      <c r="U9749" s="28"/>
    </row>
    <row r="9750" ht="15.75" customHeight="1">
      <c r="P9750" s="25"/>
      <c r="Q9750" s="25"/>
      <c r="R9750" s="25"/>
      <c r="S9750" s="25"/>
      <c r="T9750" s="141"/>
      <c r="U9750" s="28"/>
    </row>
    <row r="9751" ht="15.75" customHeight="1">
      <c r="P9751" s="25"/>
      <c r="Q9751" s="25"/>
      <c r="R9751" s="25"/>
      <c r="S9751" s="25"/>
      <c r="T9751" s="141"/>
      <c r="U9751" s="28"/>
    </row>
    <row r="9752" ht="15.75" customHeight="1">
      <c r="P9752" s="25"/>
      <c r="Q9752" s="25"/>
      <c r="R9752" s="25"/>
      <c r="S9752" s="25"/>
      <c r="T9752" s="141"/>
      <c r="U9752" s="28"/>
    </row>
    <row r="9753" ht="15.75" customHeight="1">
      <c r="P9753" s="25"/>
      <c r="Q9753" s="25"/>
      <c r="R9753" s="25"/>
      <c r="S9753" s="25"/>
      <c r="T9753" s="141"/>
      <c r="U9753" s="28"/>
    </row>
    <row r="9754" ht="15.75" customHeight="1">
      <c r="P9754" s="25"/>
      <c r="Q9754" s="25"/>
      <c r="R9754" s="25"/>
      <c r="S9754" s="25"/>
      <c r="T9754" s="141"/>
      <c r="U9754" s="28"/>
    </row>
    <row r="9755" ht="15.75" customHeight="1">
      <c r="P9755" s="25"/>
      <c r="Q9755" s="25"/>
      <c r="R9755" s="25"/>
      <c r="S9755" s="25"/>
      <c r="T9755" s="141"/>
      <c r="U9755" s="28"/>
    </row>
    <row r="9756" ht="15.75" customHeight="1">
      <c r="P9756" s="25"/>
      <c r="Q9756" s="25"/>
      <c r="R9756" s="25"/>
      <c r="S9756" s="25"/>
      <c r="T9756" s="141"/>
      <c r="U9756" s="28"/>
    </row>
    <row r="9757" ht="15.75" customHeight="1">
      <c r="P9757" s="25"/>
      <c r="Q9757" s="25"/>
      <c r="R9757" s="25"/>
      <c r="S9757" s="25"/>
      <c r="T9757" s="141"/>
      <c r="U9757" s="28"/>
    </row>
    <row r="9758" ht="15.75" customHeight="1">
      <c r="P9758" s="25"/>
      <c r="Q9758" s="25"/>
      <c r="R9758" s="25"/>
      <c r="S9758" s="25"/>
      <c r="T9758" s="141"/>
      <c r="U9758" s="28"/>
    </row>
    <row r="9759" ht="15.75" customHeight="1">
      <c r="P9759" s="25"/>
      <c r="Q9759" s="25"/>
      <c r="R9759" s="25"/>
      <c r="S9759" s="25"/>
      <c r="T9759" s="141"/>
      <c r="U9759" s="28"/>
    </row>
    <row r="9760" ht="15.75" customHeight="1">
      <c r="P9760" s="25"/>
      <c r="Q9760" s="25"/>
      <c r="R9760" s="25"/>
      <c r="S9760" s="25"/>
      <c r="T9760" s="141"/>
      <c r="U9760" s="28"/>
    </row>
    <row r="9761" ht="15.75" customHeight="1">
      <c r="P9761" s="25"/>
      <c r="Q9761" s="25"/>
      <c r="R9761" s="25"/>
      <c r="S9761" s="25"/>
      <c r="T9761" s="141"/>
      <c r="U9761" s="28"/>
    </row>
    <row r="9762" ht="15.75" customHeight="1">
      <c r="P9762" s="25"/>
      <c r="Q9762" s="25"/>
      <c r="R9762" s="25"/>
      <c r="S9762" s="25"/>
      <c r="T9762" s="141"/>
      <c r="U9762" s="28"/>
    </row>
    <row r="9763" ht="15.75" customHeight="1">
      <c r="P9763" s="25"/>
      <c r="Q9763" s="25"/>
      <c r="R9763" s="25"/>
      <c r="S9763" s="25"/>
      <c r="T9763" s="141"/>
      <c r="U9763" s="28"/>
    </row>
    <row r="9764" ht="15.75" customHeight="1">
      <c r="P9764" s="25"/>
      <c r="Q9764" s="25"/>
      <c r="R9764" s="25"/>
      <c r="S9764" s="25"/>
      <c r="T9764" s="141"/>
      <c r="U9764" s="28"/>
    </row>
    <row r="9765" ht="15.75" customHeight="1">
      <c r="P9765" s="25"/>
      <c r="Q9765" s="25"/>
      <c r="R9765" s="25"/>
      <c r="S9765" s="25"/>
      <c r="T9765" s="141"/>
      <c r="U9765" s="28"/>
    </row>
    <row r="9766" ht="15.75" customHeight="1">
      <c r="P9766" s="25"/>
      <c r="Q9766" s="25"/>
      <c r="R9766" s="25"/>
      <c r="S9766" s="25"/>
      <c r="T9766" s="141"/>
      <c r="U9766" s="28"/>
    </row>
    <row r="9767" ht="15.75" customHeight="1">
      <c r="P9767" s="25"/>
      <c r="Q9767" s="25"/>
      <c r="R9767" s="25"/>
      <c r="S9767" s="25"/>
      <c r="T9767" s="141"/>
      <c r="U9767" s="28"/>
    </row>
    <row r="9768" ht="15.75" customHeight="1">
      <c r="P9768" s="25"/>
      <c r="Q9768" s="25"/>
      <c r="R9768" s="25"/>
      <c r="S9768" s="25"/>
      <c r="T9768" s="141"/>
      <c r="U9768" s="28"/>
    </row>
    <row r="9769" ht="15.75" customHeight="1">
      <c r="P9769" s="25"/>
      <c r="Q9769" s="25"/>
      <c r="R9769" s="25"/>
      <c r="S9769" s="25"/>
      <c r="T9769" s="141"/>
      <c r="U9769" s="28"/>
    </row>
    <row r="9770" ht="15.75" customHeight="1">
      <c r="P9770" s="25"/>
      <c r="Q9770" s="25"/>
      <c r="R9770" s="25"/>
      <c r="S9770" s="25"/>
      <c r="T9770" s="141"/>
      <c r="U9770" s="28"/>
    </row>
    <row r="9771" ht="15.75" customHeight="1">
      <c r="P9771" s="25"/>
      <c r="Q9771" s="25"/>
      <c r="R9771" s="25"/>
      <c r="S9771" s="25"/>
      <c r="T9771" s="141"/>
      <c r="U9771" s="28"/>
    </row>
    <row r="9772" ht="15.75" customHeight="1">
      <c r="P9772" s="25"/>
      <c r="Q9772" s="25"/>
      <c r="R9772" s="25"/>
      <c r="S9772" s="25"/>
      <c r="T9772" s="141"/>
      <c r="U9772" s="28"/>
    </row>
    <row r="9773" ht="15.75" customHeight="1">
      <c r="P9773" s="25"/>
      <c r="Q9773" s="25"/>
      <c r="R9773" s="25"/>
      <c r="S9773" s="25"/>
      <c r="T9773" s="141"/>
      <c r="U9773" s="28"/>
    </row>
    <row r="9774" ht="15.75" customHeight="1">
      <c r="P9774" s="25"/>
      <c r="Q9774" s="25"/>
      <c r="R9774" s="25"/>
      <c r="S9774" s="25"/>
      <c r="T9774" s="141"/>
      <c r="U9774" s="28"/>
    </row>
    <row r="9775" ht="15.75" customHeight="1">
      <c r="P9775" s="25"/>
      <c r="Q9775" s="25"/>
      <c r="R9775" s="25"/>
      <c r="S9775" s="25"/>
      <c r="T9775" s="141"/>
      <c r="U9775" s="28"/>
    </row>
    <row r="9776" ht="15.75" customHeight="1">
      <c r="P9776" s="25"/>
      <c r="Q9776" s="25"/>
      <c r="R9776" s="25"/>
      <c r="S9776" s="25"/>
      <c r="T9776" s="141"/>
      <c r="U9776" s="28"/>
    </row>
    <row r="9777" ht="15.75" customHeight="1">
      <c r="P9777" s="25"/>
      <c r="Q9777" s="25"/>
      <c r="R9777" s="25"/>
      <c r="S9777" s="25"/>
      <c r="T9777" s="141"/>
      <c r="U9777" s="28"/>
    </row>
    <row r="9778" ht="15.75" customHeight="1">
      <c r="P9778" s="25"/>
      <c r="Q9778" s="25"/>
      <c r="R9778" s="25"/>
      <c r="S9778" s="25"/>
      <c r="T9778" s="141"/>
      <c r="U9778" s="28"/>
    </row>
    <row r="9779" ht="15.75" customHeight="1">
      <c r="P9779" s="25"/>
      <c r="Q9779" s="25"/>
      <c r="R9779" s="25"/>
      <c r="S9779" s="25"/>
      <c r="T9779" s="141"/>
      <c r="U9779" s="28"/>
    </row>
    <row r="9780" ht="15.75" customHeight="1">
      <c r="P9780" s="25"/>
      <c r="Q9780" s="25"/>
      <c r="R9780" s="25"/>
      <c r="S9780" s="25"/>
      <c r="T9780" s="141"/>
      <c r="U9780" s="28"/>
    </row>
    <row r="9781" ht="15.75" customHeight="1">
      <c r="P9781" s="25"/>
      <c r="Q9781" s="25"/>
      <c r="R9781" s="25"/>
      <c r="S9781" s="25"/>
      <c r="T9781" s="141"/>
      <c r="U9781" s="28"/>
    </row>
    <row r="9782" ht="15.75" customHeight="1">
      <c r="P9782" s="25"/>
      <c r="Q9782" s="25"/>
      <c r="R9782" s="25"/>
      <c r="S9782" s="25"/>
      <c r="T9782" s="141"/>
      <c r="U9782" s="28"/>
    </row>
    <row r="9783" ht="15.75" customHeight="1">
      <c r="P9783" s="25"/>
      <c r="Q9783" s="25"/>
      <c r="R9783" s="25"/>
      <c r="S9783" s="25"/>
      <c r="T9783" s="141"/>
      <c r="U9783" s="28"/>
    </row>
    <row r="9784" ht="15.75" customHeight="1">
      <c r="P9784" s="25"/>
      <c r="Q9784" s="25"/>
      <c r="R9784" s="25"/>
      <c r="S9784" s="25"/>
      <c r="T9784" s="141"/>
      <c r="U9784" s="28"/>
    </row>
    <row r="9785" ht="15.75" customHeight="1">
      <c r="P9785" s="25"/>
      <c r="Q9785" s="25"/>
      <c r="R9785" s="25"/>
      <c r="S9785" s="25"/>
      <c r="T9785" s="141"/>
      <c r="U9785" s="28"/>
    </row>
    <row r="9786" ht="15.75" customHeight="1">
      <c r="P9786" s="25"/>
      <c r="Q9786" s="25"/>
      <c r="R9786" s="25"/>
      <c r="S9786" s="25"/>
      <c r="T9786" s="141"/>
      <c r="U9786" s="28"/>
    </row>
    <row r="9787" ht="15.75" customHeight="1">
      <c r="P9787" s="25"/>
      <c r="Q9787" s="25"/>
      <c r="R9787" s="25"/>
      <c r="S9787" s="25"/>
      <c r="T9787" s="141"/>
      <c r="U9787" s="28"/>
    </row>
    <row r="9788" ht="15.75" customHeight="1">
      <c r="P9788" s="25"/>
      <c r="Q9788" s="25"/>
      <c r="R9788" s="25"/>
      <c r="S9788" s="25"/>
      <c r="T9788" s="141"/>
      <c r="U9788" s="28"/>
    </row>
    <row r="9789" ht="15.75" customHeight="1">
      <c r="P9789" s="25"/>
      <c r="Q9789" s="25"/>
      <c r="R9789" s="25"/>
      <c r="S9789" s="25"/>
      <c r="T9789" s="141"/>
      <c r="U9789" s="28"/>
    </row>
    <row r="9790" ht="15.75" customHeight="1">
      <c r="P9790" s="25"/>
      <c r="Q9790" s="25"/>
      <c r="R9790" s="25"/>
      <c r="S9790" s="25"/>
      <c r="T9790" s="141"/>
      <c r="U9790" s="28"/>
    </row>
    <row r="9791" ht="15.75" customHeight="1">
      <c r="P9791" s="25"/>
      <c r="Q9791" s="25"/>
      <c r="R9791" s="25"/>
      <c r="S9791" s="25"/>
      <c r="T9791" s="141"/>
      <c r="U9791" s="28"/>
    </row>
    <row r="9792" ht="15.75" customHeight="1">
      <c r="P9792" s="25"/>
      <c r="Q9792" s="25"/>
      <c r="R9792" s="25"/>
      <c r="S9792" s="25"/>
      <c r="T9792" s="141"/>
      <c r="U9792" s="28"/>
    </row>
    <row r="9793" ht="15.75" customHeight="1">
      <c r="P9793" s="25"/>
      <c r="Q9793" s="25"/>
      <c r="R9793" s="25"/>
      <c r="S9793" s="25"/>
      <c r="T9793" s="141"/>
      <c r="U9793" s="28"/>
    </row>
    <row r="9794" ht="15.75" customHeight="1">
      <c r="P9794" s="25"/>
      <c r="Q9794" s="25"/>
      <c r="R9794" s="25"/>
      <c r="S9794" s="25"/>
      <c r="T9794" s="141"/>
      <c r="U9794" s="28"/>
    </row>
    <row r="9795" ht="15.75" customHeight="1">
      <c r="P9795" s="25"/>
      <c r="Q9795" s="25"/>
      <c r="R9795" s="25"/>
      <c r="S9795" s="25"/>
      <c r="T9795" s="141"/>
      <c r="U9795" s="28"/>
    </row>
    <row r="9796" ht="15.75" customHeight="1">
      <c r="P9796" s="25"/>
      <c r="Q9796" s="25"/>
      <c r="R9796" s="25"/>
      <c r="S9796" s="25"/>
      <c r="T9796" s="141"/>
      <c r="U9796" s="28"/>
    </row>
    <row r="9797" ht="15.75" customHeight="1">
      <c r="P9797" s="25"/>
      <c r="Q9797" s="25"/>
      <c r="R9797" s="25"/>
      <c r="S9797" s="25"/>
      <c r="T9797" s="141"/>
      <c r="U9797" s="28"/>
    </row>
    <row r="9798" ht="15.75" customHeight="1">
      <c r="P9798" s="25"/>
      <c r="Q9798" s="25"/>
      <c r="R9798" s="25"/>
      <c r="S9798" s="25"/>
      <c r="T9798" s="141"/>
      <c r="U9798" s="28"/>
    </row>
    <row r="9799" ht="15.75" customHeight="1">
      <c r="P9799" s="25"/>
      <c r="Q9799" s="25"/>
      <c r="R9799" s="25"/>
      <c r="S9799" s="25"/>
      <c r="T9799" s="141"/>
      <c r="U9799" s="28"/>
    </row>
    <row r="9800" ht="15.75" customHeight="1">
      <c r="P9800" s="25"/>
      <c r="Q9800" s="25"/>
      <c r="R9800" s="25"/>
      <c r="S9800" s="25"/>
      <c r="T9800" s="141"/>
      <c r="U9800" s="28"/>
    </row>
    <row r="9801" ht="15.75" customHeight="1">
      <c r="P9801" s="25"/>
      <c r="Q9801" s="25"/>
      <c r="R9801" s="25"/>
      <c r="S9801" s="25"/>
      <c r="T9801" s="141"/>
      <c r="U9801" s="28"/>
    </row>
    <row r="9802" ht="15.75" customHeight="1">
      <c r="P9802" s="25"/>
      <c r="Q9802" s="25"/>
      <c r="R9802" s="25"/>
      <c r="S9802" s="25"/>
      <c r="T9802" s="141"/>
      <c r="U9802" s="28"/>
    </row>
    <row r="9803" ht="15.75" customHeight="1">
      <c r="P9803" s="25"/>
      <c r="Q9803" s="25"/>
      <c r="R9803" s="25"/>
      <c r="S9803" s="25"/>
      <c r="T9803" s="141"/>
      <c r="U9803" s="28"/>
    </row>
    <row r="9804" ht="15.75" customHeight="1">
      <c r="P9804" s="25"/>
      <c r="Q9804" s="25"/>
      <c r="R9804" s="25"/>
      <c r="S9804" s="25"/>
      <c r="T9804" s="141"/>
      <c r="U9804" s="28"/>
    </row>
    <row r="9805" ht="15.75" customHeight="1">
      <c r="P9805" s="25"/>
      <c r="Q9805" s="25"/>
      <c r="R9805" s="25"/>
      <c r="S9805" s="25"/>
      <c r="T9805" s="141"/>
      <c r="U9805" s="28"/>
    </row>
    <row r="9806" ht="15.75" customHeight="1">
      <c r="P9806" s="25"/>
      <c r="Q9806" s="25"/>
      <c r="R9806" s="25"/>
      <c r="S9806" s="25"/>
      <c r="T9806" s="141"/>
      <c r="U9806" s="28"/>
    </row>
    <row r="9807" ht="15.75" customHeight="1">
      <c r="P9807" s="25"/>
      <c r="Q9807" s="25"/>
      <c r="R9807" s="25"/>
      <c r="S9807" s="25"/>
      <c r="T9807" s="141"/>
      <c r="U9807" s="28"/>
    </row>
    <row r="9808" ht="15.75" customHeight="1">
      <c r="P9808" s="25"/>
      <c r="Q9808" s="25"/>
      <c r="R9808" s="25"/>
      <c r="S9808" s="25"/>
      <c r="T9808" s="141"/>
      <c r="U9808" s="28"/>
    </row>
    <row r="9809" ht="15.75" customHeight="1">
      <c r="P9809" s="25"/>
      <c r="Q9809" s="25"/>
      <c r="R9809" s="25"/>
      <c r="S9809" s="25"/>
      <c r="T9809" s="141"/>
      <c r="U9809" s="28"/>
    </row>
    <row r="9810" ht="15.75" customHeight="1">
      <c r="P9810" s="25"/>
      <c r="Q9810" s="25"/>
      <c r="R9810" s="25"/>
      <c r="S9810" s="25"/>
      <c r="T9810" s="141"/>
      <c r="U9810" s="28"/>
    </row>
    <row r="9811" ht="15.75" customHeight="1">
      <c r="P9811" s="25"/>
      <c r="Q9811" s="25"/>
      <c r="R9811" s="25"/>
      <c r="S9811" s="25"/>
      <c r="T9811" s="141"/>
      <c r="U9811" s="28"/>
    </row>
    <row r="9812" ht="15.75" customHeight="1">
      <c r="P9812" s="25"/>
      <c r="Q9812" s="25"/>
      <c r="R9812" s="25"/>
      <c r="S9812" s="25"/>
      <c r="T9812" s="141"/>
      <c r="U9812" s="28"/>
    </row>
    <row r="9813" ht="15.75" customHeight="1">
      <c r="P9813" s="25"/>
      <c r="Q9813" s="25"/>
      <c r="R9813" s="25"/>
      <c r="S9813" s="25"/>
      <c r="T9813" s="141"/>
      <c r="U9813" s="28"/>
    </row>
    <row r="9814" ht="15.75" customHeight="1">
      <c r="P9814" s="25"/>
      <c r="Q9814" s="25"/>
      <c r="R9814" s="25"/>
      <c r="S9814" s="25"/>
      <c r="T9814" s="141"/>
      <c r="U9814" s="28"/>
    </row>
    <row r="9815" ht="15.75" customHeight="1">
      <c r="P9815" s="25"/>
      <c r="Q9815" s="25"/>
      <c r="R9815" s="25"/>
      <c r="S9815" s="25"/>
      <c r="T9815" s="141"/>
      <c r="U9815" s="28"/>
    </row>
    <row r="9816" ht="15.75" customHeight="1">
      <c r="P9816" s="25"/>
      <c r="Q9816" s="25"/>
      <c r="R9816" s="25"/>
      <c r="S9816" s="25"/>
      <c r="T9816" s="141"/>
      <c r="U9816" s="28"/>
    </row>
    <row r="9817" ht="15.75" customHeight="1">
      <c r="P9817" s="25"/>
      <c r="Q9817" s="25"/>
      <c r="R9817" s="25"/>
      <c r="S9817" s="25"/>
      <c r="T9817" s="141"/>
      <c r="U9817" s="28"/>
    </row>
    <row r="9818" ht="15.75" customHeight="1">
      <c r="P9818" s="25"/>
      <c r="Q9818" s="25"/>
      <c r="R9818" s="25"/>
      <c r="S9818" s="25"/>
      <c r="T9818" s="141"/>
      <c r="U9818" s="28"/>
    </row>
    <row r="9819" ht="15.75" customHeight="1">
      <c r="P9819" s="25"/>
      <c r="Q9819" s="25"/>
      <c r="R9819" s="25"/>
      <c r="S9819" s="25"/>
      <c r="T9819" s="141"/>
      <c r="U9819" s="28"/>
    </row>
    <row r="9820" ht="15.75" customHeight="1">
      <c r="P9820" s="25"/>
      <c r="Q9820" s="25"/>
      <c r="R9820" s="25"/>
      <c r="S9820" s="25"/>
      <c r="T9820" s="141"/>
      <c r="U9820" s="28"/>
    </row>
    <row r="9821" ht="15.75" customHeight="1">
      <c r="P9821" s="25"/>
      <c r="Q9821" s="25"/>
      <c r="R9821" s="25"/>
      <c r="S9821" s="25"/>
      <c r="T9821" s="141"/>
      <c r="U9821" s="28"/>
    </row>
    <row r="9822" ht="15.75" customHeight="1">
      <c r="P9822" s="25"/>
      <c r="Q9822" s="25"/>
      <c r="R9822" s="25"/>
      <c r="S9822" s="25"/>
      <c r="T9822" s="141"/>
      <c r="U9822" s="28"/>
    </row>
    <row r="9823" ht="15.75" customHeight="1">
      <c r="P9823" s="25"/>
      <c r="Q9823" s="25"/>
      <c r="R9823" s="25"/>
      <c r="S9823" s="25"/>
      <c r="T9823" s="141"/>
      <c r="U9823" s="28"/>
    </row>
    <row r="9824" ht="15.75" customHeight="1">
      <c r="P9824" s="25"/>
      <c r="Q9824" s="25"/>
      <c r="R9824" s="25"/>
      <c r="S9824" s="25"/>
      <c r="T9824" s="141"/>
      <c r="U9824" s="28"/>
    </row>
    <row r="9825" ht="15.75" customHeight="1">
      <c r="P9825" s="25"/>
      <c r="Q9825" s="25"/>
      <c r="R9825" s="25"/>
      <c r="S9825" s="25"/>
      <c r="T9825" s="141"/>
      <c r="U9825" s="28"/>
    </row>
    <row r="9826" ht="15.75" customHeight="1">
      <c r="P9826" s="25"/>
      <c r="Q9826" s="25"/>
      <c r="R9826" s="25"/>
      <c r="S9826" s="25"/>
      <c r="T9826" s="141"/>
      <c r="U9826" s="28"/>
    </row>
    <row r="9827" ht="15.75" customHeight="1">
      <c r="P9827" s="25"/>
      <c r="Q9827" s="25"/>
      <c r="R9827" s="25"/>
      <c r="S9827" s="25"/>
      <c r="T9827" s="141"/>
      <c r="U9827" s="28"/>
    </row>
    <row r="9828" ht="15.75" customHeight="1">
      <c r="P9828" s="25"/>
      <c r="Q9828" s="25"/>
      <c r="R9828" s="25"/>
      <c r="S9828" s="25"/>
      <c r="T9828" s="141"/>
      <c r="U9828" s="28"/>
    </row>
    <row r="9829" ht="15.75" customHeight="1">
      <c r="P9829" s="25"/>
      <c r="Q9829" s="25"/>
      <c r="R9829" s="25"/>
      <c r="S9829" s="25"/>
      <c r="T9829" s="141"/>
      <c r="U9829" s="28"/>
    </row>
    <row r="9830" ht="15.75" customHeight="1">
      <c r="P9830" s="25"/>
      <c r="Q9830" s="25"/>
      <c r="R9830" s="25"/>
      <c r="S9830" s="25"/>
      <c r="T9830" s="141"/>
      <c r="U9830" s="28"/>
    </row>
    <row r="9831" ht="15.75" customHeight="1">
      <c r="P9831" s="25"/>
      <c r="Q9831" s="25"/>
      <c r="R9831" s="25"/>
      <c r="S9831" s="25"/>
      <c r="T9831" s="141"/>
      <c r="U9831" s="28"/>
    </row>
    <row r="9832" ht="15.75" customHeight="1">
      <c r="P9832" s="25"/>
      <c r="Q9832" s="25"/>
      <c r="R9832" s="25"/>
      <c r="S9832" s="25"/>
      <c r="T9832" s="141"/>
      <c r="U9832" s="28"/>
    </row>
    <row r="9833" ht="15.75" customHeight="1">
      <c r="P9833" s="25"/>
      <c r="Q9833" s="25"/>
      <c r="R9833" s="25"/>
      <c r="S9833" s="25"/>
      <c r="T9833" s="141"/>
      <c r="U9833" s="28"/>
    </row>
    <row r="9834" ht="15.75" customHeight="1">
      <c r="P9834" s="25"/>
      <c r="Q9834" s="25"/>
      <c r="R9834" s="25"/>
      <c r="S9834" s="25"/>
      <c r="T9834" s="141"/>
      <c r="U9834" s="28"/>
    </row>
    <row r="9835" ht="15.75" customHeight="1">
      <c r="P9835" s="25"/>
      <c r="Q9835" s="25"/>
      <c r="R9835" s="25"/>
      <c r="S9835" s="25"/>
      <c r="T9835" s="141"/>
      <c r="U9835" s="28"/>
    </row>
    <row r="9836" ht="15.75" customHeight="1">
      <c r="P9836" s="25"/>
      <c r="Q9836" s="25"/>
      <c r="R9836" s="25"/>
      <c r="S9836" s="25"/>
      <c r="T9836" s="141"/>
      <c r="U9836" s="28"/>
    </row>
    <row r="9837" ht="15.75" customHeight="1">
      <c r="P9837" s="25"/>
      <c r="Q9837" s="25"/>
      <c r="R9837" s="25"/>
      <c r="S9837" s="25"/>
      <c r="T9837" s="141"/>
      <c r="U9837" s="28"/>
    </row>
    <row r="9838" ht="15.75" customHeight="1">
      <c r="P9838" s="25"/>
      <c r="Q9838" s="25"/>
      <c r="R9838" s="25"/>
      <c r="S9838" s="25"/>
      <c r="T9838" s="141"/>
      <c r="U9838" s="28"/>
    </row>
    <row r="9839" ht="15.75" customHeight="1">
      <c r="P9839" s="25"/>
      <c r="Q9839" s="25"/>
      <c r="R9839" s="25"/>
      <c r="S9839" s="25"/>
      <c r="T9839" s="141"/>
      <c r="U9839" s="28"/>
    </row>
    <row r="9840" ht="15.75" customHeight="1">
      <c r="P9840" s="25"/>
      <c r="Q9840" s="25"/>
      <c r="R9840" s="25"/>
      <c r="S9840" s="25"/>
      <c r="T9840" s="141"/>
      <c r="U9840" s="28"/>
    </row>
    <row r="9841" ht="15.75" customHeight="1">
      <c r="P9841" s="25"/>
      <c r="Q9841" s="25"/>
      <c r="R9841" s="25"/>
      <c r="S9841" s="25"/>
      <c r="T9841" s="141"/>
      <c r="U9841" s="28"/>
    </row>
    <row r="9842" ht="15.75" customHeight="1">
      <c r="P9842" s="25"/>
      <c r="Q9842" s="25"/>
      <c r="R9842" s="25"/>
      <c r="S9842" s="25"/>
      <c r="T9842" s="141"/>
      <c r="U9842" s="28"/>
    </row>
    <row r="9843" ht="15.75" customHeight="1">
      <c r="P9843" s="25"/>
      <c r="Q9843" s="25"/>
      <c r="R9843" s="25"/>
      <c r="S9843" s="25"/>
      <c r="T9843" s="141"/>
      <c r="U9843" s="28"/>
    </row>
    <row r="9844" ht="15.75" customHeight="1">
      <c r="P9844" s="25"/>
      <c r="Q9844" s="25"/>
      <c r="R9844" s="25"/>
      <c r="S9844" s="25"/>
      <c r="T9844" s="141"/>
      <c r="U9844" s="28"/>
    </row>
    <row r="9845" ht="15.75" customHeight="1">
      <c r="P9845" s="25"/>
      <c r="Q9845" s="25"/>
      <c r="R9845" s="25"/>
      <c r="S9845" s="25"/>
      <c r="T9845" s="141"/>
      <c r="U9845" s="28"/>
    </row>
    <row r="9846" ht="15.75" customHeight="1">
      <c r="P9846" s="25"/>
      <c r="Q9846" s="25"/>
      <c r="R9846" s="25"/>
      <c r="S9846" s="25"/>
      <c r="T9846" s="141"/>
      <c r="U9846" s="28"/>
    </row>
    <row r="9847" ht="15.75" customHeight="1">
      <c r="P9847" s="25"/>
      <c r="Q9847" s="25"/>
      <c r="R9847" s="25"/>
      <c r="S9847" s="25"/>
      <c r="T9847" s="141"/>
      <c r="U9847" s="28"/>
    </row>
    <row r="9848" ht="15.75" customHeight="1">
      <c r="P9848" s="25"/>
      <c r="Q9848" s="25"/>
      <c r="R9848" s="25"/>
      <c r="S9848" s="25"/>
      <c r="T9848" s="141"/>
      <c r="U9848" s="28"/>
    </row>
    <row r="9849" ht="15.75" customHeight="1">
      <c r="P9849" s="25"/>
      <c r="Q9849" s="25"/>
      <c r="R9849" s="25"/>
      <c r="S9849" s="25"/>
      <c r="T9849" s="141"/>
      <c r="U9849" s="28"/>
    </row>
    <row r="9850" ht="15.75" customHeight="1">
      <c r="P9850" s="25"/>
      <c r="Q9850" s="25"/>
      <c r="R9850" s="25"/>
      <c r="S9850" s="25"/>
      <c r="T9850" s="141"/>
      <c r="U9850" s="28"/>
    </row>
    <row r="9851" ht="15.75" customHeight="1">
      <c r="P9851" s="25"/>
      <c r="Q9851" s="25"/>
      <c r="R9851" s="25"/>
      <c r="S9851" s="25"/>
      <c r="T9851" s="141"/>
      <c r="U9851" s="28"/>
    </row>
    <row r="9852" ht="15.75" customHeight="1">
      <c r="P9852" s="25"/>
      <c r="Q9852" s="25"/>
      <c r="R9852" s="25"/>
      <c r="S9852" s="25"/>
      <c r="T9852" s="141"/>
      <c r="U9852" s="28"/>
    </row>
    <row r="9853" ht="15.75" customHeight="1">
      <c r="P9853" s="25"/>
      <c r="Q9853" s="25"/>
      <c r="R9853" s="25"/>
      <c r="S9853" s="25"/>
      <c r="T9853" s="141"/>
      <c r="U9853" s="28"/>
    </row>
    <row r="9854" ht="15.75" customHeight="1">
      <c r="P9854" s="25"/>
      <c r="Q9854" s="25"/>
      <c r="R9854" s="25"/>
      <c r="S9854" s="25"/>
      <c r="T9854" s="141"/>
      <c r="U9854" s="28"/>
    </row>
    <row r="9855" ht="15.75" customHeight="1">
      <c r="P9855" s="25"/>
      <c r="Q9855" s="25"/>
      <c r="R9855" s="25"/>
      <c r="S9855" s="25"/>
      <c r="T9855" s="141"/>
      <c r="U9855" s="28"/>
    </row>
    <row r="9856" ht="15.75" customHeight="1">
      <c r="P9856" s="25"/>
      <c r="Q9856" s="25"/>
      <c r="R9856" s="25"/>
      <c r="S9856" s="25"/>
      <c r="T9856" s="141"/>
      <c r="U9856" s="28"/>
    </row>
    <row r="9857" ht="15.75" customHeight="1">
      <c r="P9857" s="25"/>
      <c r="Q9857" s="25"/>
      <c r="R9857" s="25"/>
      <c r="S9857" s="25"/>
      <c r="T9857" s="141"/>
      <c r="U9857" s="28"/>
    </row>
    <row r="9858" ht="15.75" customHeight="1">
      <c r="P9858" s="25"/>
      <c r="Q9858" s="25"/>
      <c r="R9858" s="25"/>
      <c r="S9858" s="25"/>
      <c r="T9858" s="141"/>
      <c r="U9858" s="28"/>
    </row>
    <row r="9859" ht="15.75" customHeight="1">
      <c r="P9859" s="25"/>
      <c r="Q9859" s="25"/>
      <c r="R9859" s="25"/>
      <c r="S9859" s="25"/>
      <c r="T9859" s="141"/>
      <c r="U9859" s="28"/>
    </row>
    <row r="9860" ht="15.75" customHeight="1">
      <c r="P9860" s="25"/>
      <c r="Q9860" s="25"/>
      <c r="R9860" s="25"/>
      <c r="S9860" s="25"/>
      <c r="T9860" s="141"/>
      <c r="U9860" s="28"/>
    </row>
    <row r="9861" ht="15.75" customHeight="1">
      <c r="P9861" s="25"/>
      <c r="Q9861" s="25"/>
      <c r="R9861" s="25"/>
      <c r="S9861" s="25"/>
      <c r="T9861" s="141"/>
      <c r="U9861" s="28"/>
    </row>
    <row r="9862" ht="15.75" customHeight="1">
      <c r="P9862" s="25"/>
      <c r="Q9862" s="25"/>
      <c r="R9862" s="25"/>
      <c r="S9862" s="25"/>
      <c r="T9862" s="141"/>
      <c r="U9862" s="28"/>
    </row>
    <row r="9863" ht="15.75" customHeight="1">
      <c r="P9863" s="25"/>
      <c r="Q9863" s="25"/>
      <c r="R9863" s="25"/>
      <c r="S9863" s="25"/>
      <c r="T9863" s="141"/>
      <c r="U9863" s="28"/>
    </row>
    <row r="9864" ht="15.75" customHeight="1">
      <c r="P9864" s="25"/>
      <c r="Q9864" s="25"/>
      <c r="R9864" s="25"/>
      <c r="S9864" s="25"/>
      <c r="T9864" s="141"/>
      <c r="U9864" s="28"/>
    </row>
    <row r="9865" ht="15.75" customHeight="1">
      <c r="P9865" s="25"/>
      <c r="Q9865" s="25"/>
      <c r="R9865" s="25"/>
      <c r="S9865" s="25"/>
      <c r="T9865" s="141"/>
      <c r="U9865" s="28"/>
    </row>
    <row r="9866" ht="15.75" customHeight="1">
      <c r="P9866" s="25"/>
      <c r="Q9866" s="25"/>
      <c r="R9866" s="25"/>
      <c r="S9866" s="25"/>
      <c r="T9866" s="141"/>
      <c r="U9866" s="28"/>
    </row>
    <row r="9867" ht="15.75" customHeight="1">
      <c r="P9867" s="25"/>
      <c r="Q9867" s="25"/>
      <c r="R9867" s="25"/>
      <c r="S9867" s="25"/>
      <c r="T9867" s="141"/>
      <c r="U9867" s="28"/>
    </row>
    <row r="9868" ht="15.75" customHeight="1">
      <c r="P9868" s="25"/>
      <c r="Q9868" s="25"/>
      <c r="R9868" s="25"/>
      <c r="S9868" s="25"/>
      <c r="T9868" s="141"/>
      <c r="U9868" s="28"/>
    </row>
    <row r="9869" ht="15.75" customHeight="1">
      <c r="P9869" s="25"/>
      <c r="Q9869" s="25"/>
      <c r="R9869" s="25"/>
      <c r="S9869" s="25"/>
      <c r="T9869" s="141"/>
      <c r="U9869" s="28"/>
    </row>
    <row r="9870" ht="15.75" customHeight="1">
      <c r="P9870" s="25"/>
      <c r="Q9870" s="25"/>
      <c r="R9870" s="25"/>
      <c r="S9870" s="25"/>
      <c r="T9870" s="141"/>
      <c r="U9870" s="28"/>
    </row>
    <row r="9871" ht="15.75" customHeight="1">
      <c r="P9871" s="25"/>
      <c r="Q9871" s="25"/>
      <c r="R9871" s="25"/>
      <c r="S9871" s="25"/>
      <c r="T9871" s="141"/>
      <c r="U9871" s="28"/>
    </row>
    <row r="9872" ht="15.75" customHeight="1">
      <c r="P9872" s="25"/>
      <c r="Q9872" s="25"/>
      <c r="R9872" s="25"/>
      <c r="S9872" s="25"/>
      <c r="T9872" s="141"/>
      <c r="U9872" s="28"/>
    </row>
    <row r="9873" ht="15.75" customHeight="1">
      <c r="P9873" s="25"/>
      <c r="Q9873" s="25"/>
      <c r="R9873" s="25"/>
      <c r="S9873" s="25"/>
      <c r="T9873" s="141"/>
      <c r="U9873" s="28"/>
    </row>
    <row r="9874" ht="15.75" customHeight="1">
      <c r="P9874" s="25"/>
      <c r="Q9874" s="25"/>
      <c r="R9874" s="25"/>
      <c r="S9874" s="25"/>
      <c r="T9874" s="141"/>
      <c r="U9874" s="28"/>
    </row>
    <row r="9875" ht="15.75" customHeight="1">
      <c r="P9875" s="25"/>
      <c r="Q9875" s="25"/>
      <c r="R9875" s="25"/>
      <c r="S9875" s="25"/>
      <c r="T9875" s="141"/>
      <c r="U9875" s="28"/>
    </row>
    <row r="9876" ht="15.75" customHeight="1">
      <c r="P9876" s="25"/>
      <c r="Q9876" s="25"/>
      <c r="R9876" s="25"/>
      <c r="S9876" s="25"/>
      <c r="T9876" s="141"/>
      <c r="U9876" s="28"/>
    </row>
    <row r="9877" ht="15.75" customHeight="1">
      <c r="P9877" s="25"/>
      <c r="Q9877" s="25"/>
      <c r="R9877" s="25"/>
      <c r="S9877" s="25"/>
      <c r="T9877" s="141"/>
      <c r="U9877" s="28"/>
    </row>
    <row r="9878" ht="15.75" customHeight="1">
      <c r="P9878" s="25"/>
      <c r="Q9878" s="25"/>
      <c r="R9878" s="25"/>
      <c r="S9878" s="25"/>
      <c r="T9878" s="141"/>
      <c r="U9878" s="28"/>
    </row>
    <row r="9879" ht="15.75" customHeight="1">
      <c r="P9879" s="25"/>
      <c r="Q9879" s="25"/>
      <c r="R9879" s="25"/>
      <c r="S9879" s="25"/>
      <c r="T9879" s="141"/>
      <c r="U9879" s="28"/>
    </row>
    <row r="9880" ht="15.75" customHeight="1">
      <c r="P9880" s="25"/>
      <c r="Q9880" s="25"/>
      <c r="R9880" s="25"/>
      <c r="S9880" s="25"/>
      <c r="T9880" s="141"/>
      <c r="U9880" s="28"/>
    </row>
    <row r="9881" ht="15.75" customHeight="1">
      <c r="P9881" s="25"/>
      <c r="Q9881" s="25"/>
      <c r="R9881" s="25"/>
      <c r="S9881" s="25"/>
      <c r="T9881" s="141"/>
      <c r="U9881" s="28"/>
    </row>
    <row r="9882" ht="15.75" customHeight="1">
      <c r="P9882" s="25"/>
      <c r="Q9882" s="25"/>
      <c r="R9882" s="25"/>
      <c r="S9882" s="25"/>
      <c r="T9882" s="141"/>
      <c r="U9882" s="28"/>
    </row>
    <row r="9883" ht="15.75" customHeight="1">
      <c r="P9883" s="25"/>
      <c r="Q9883" s="25"/>
      <c r="R9883" s="25"/>
      <c r="S9883" s="25"/>
      <c r="T9883" s="141"/>
      <c r="U9883" s="28"/>
    </row>
    <row r="9884" ht="15.75" customHeight="1">
      <c r="P9884" s="25"/>
      <c r="Q9884" s="25"/>
      <c r="R9884" s="25"/>
      <c r="S9884" s="25"/>
      <c r="T9884" s="141"/>
      <c r="U9884" s="28"/>
    </row>
    <row r="9885" ht="15.75" customHeight="1">
      <c r="P9885" s="25"/>
      <c r="Q9885" s="25"/>
      <c r="R9885" s="25"/>
      <c r="S9885" s="25"/>
      <c r="T9885" s="141"/>
      <c r="U9885" s="28"/>
    </row>
    <row r="9886" ht="15.75" customHeight="1">
      <c r="P9886" s="25"/>
      <c r="Q9886" s="25"/>
      <c r="R9886" s="25"/>
      <c r="S9886" s="25"/>
      <c r="T9886" s="141"/>
      <c r="U9886" s="28"/>
    </row>
    <row r="9887" ht="15.75" customHeight="1">
      <c r="P9887" s="25"/>
      <c r="Q9887" s="25"/>
      <c r="R9887" s="25"/>
      <c r="S9887" s="25"/>
      <c r="T9887" s="141"/>
      <c r="U9887" s="28"/>
    </row>
    <row r="9888" ht="15.75" customHeight="1">
      <c r="P9888" s="25"/>
      <c r="Q9888" s="25"/>
      <c r="R9888" s="25"/>
      <c r="S9888" s="25"/>
      <c r="T9888" s="141"/>
      <c r="U9888" s="28"/>
    </row>
    <row r="9889" ht="15.75" customHeight="1">
      <c r="P9889" s="25"/>
      <c r="Q9889" s="25"/>
      <c r="R9889" s="25"/>
      <c r="S9889" s="25"/>
      <c r="T9889" s="141"/>
      <c r="U9889" s="28"/>
    </row>
    <row r="9890" ht="15.75" customHeight="1">
      <c r="P9890" s="25"/>
      <c r="Q9890" s="25"/>
      <c r="R9890" s="25"/>
      <c r="S9890" s="25"/>
      <c r="T9890" s="141"/>
      <c r="U9890" s="28"/>
    </row>
    <row r="9891" ht="15.75" customHeight="1">
      <c r="P9891" s="25"/>
      <c r="Q9891" s="25"/>
      <c r="R9891" s="25"/>
      <c r="S9891" s="25"/>
      <c r="T9891" s="141"/>
      <c r="U9891" s="28"/>
    </row>
    <row r="9892" ht="15.75" customHeight="1">
      <c r="P9892" s="25"/>
      <c r="Q9892" s="25"/>
      <c r="R9892" s="25"/>
      <c r="S9892" s="25"/>
      <c r="T9892" s="141"/>
      <c r="U9892" s="28"/>
    </row>
    <row r="9893" ht="15.75" customHeight="1">
      <c r="P9893" s="25"/>
      <c r="Q9893" s="25"/>
      <c r="R9893" s="25"/>
      <c r="S9893" s="25"/>
      <c r="T9893" s="141"/>
      <c r="U9893" s="28"/>
    </row>
    <row r="9894" ht="15.75" customHeight="1">
      <c r="P9894" s="25"/>
      <c r="Q9894" s="25"/>
      <c r="R9894" s="25"/>
      <c r="S9894" s="25"/>
      <c r="T9894" s="141"/>
      <c r="U9894" s="28"/>
    </row>
    <row r="9895" ht="15.75" customHeight="1">
      <c r="P9895" s="25"/>
      <c r="Q9895" s="25"/>
      <c r="R9895" s="25"/>
      <c r="S9895" s="25"/>
      <c r="T9895" s="141"/>
      <c r="U9895" s="28"/>
    </row>
    <row r="9896" ht="15.75" customHeight="1">
      <c r="P9896" s="25"/>
      <c r="Q9896" s="25"/>
      <c r="R9896" s="25"/>
      <c r="S9896" s="25"/>
      <c r="T9896" s="141"/>
      <c r="U9896" s="28"/>
    </row>
    <row r="9897" ht="15.75" customHeight="1">
      <c r="P9897" s="25"/>
      <c r="Q9897" s="25"/>
      <c r="R9897" s="25"/>
      <c r="S9897" s="25"/>
      <c r="T9897" s="141"/>
      <c r="U9897" s="28"/>
    </row>
    <row r="9898" ht="15.75" customHeight="1">
      <c r="P9898" s="25"/>
      <c r="Q9898" s="25"/>
      <c r="R9898" s="25"/>
      <c r="S9898" s="25"/>
      <c r="T9898" s="141"/>
      <c r="U9898" s="28"/>
    </row>
    <row r="9899" ht="15.75" customHeight="1">
      <c r="P9899" s="25"/>
      <c r="Q9899" s="25"/>
      <c r="R9899" s="25"/>
      <c r="S9899" s="25"/>
      <c r="T9899" s="141"/>
      <c r="U9899" s="28"/>
    </row>
    <row r="9900" ht="15.75" customHeight="1">
      <c r="P9900" s="25"/>
      <c r="Q9900" s="25"/>
      <c r="R9900" s="25"/>
      <c r="S9900" s="25"/>
      <c r="T9900" s="141"/>
      <c r="U9900" s="28"/>
    </row>
    <row r="9901" ht="15.75" customHeight="1">
      <c r="P9901" s="25"/>
      <c r="Q9901" s="25"/>
      <c r="R9901" s="25"/>
      <c r="S9901" s="25"/>
      <c r="T9901" s="141"/>
      <c r="U9901" s="28"/>
    </row>
    <row r="9902" ht="15.75" customHeight="1">
      <c r="P9902" s="25"/>
      <c r="Q9902" s="25"/>
      <c r="R9902" s="25"/>
      <c r="S9902" s="25"/>
      <c r="T9902" s="141"/>
      <c r="U9902" s="28"/>
    </row>
    <row r="9903" ht="15.75" customHeight="1">
      <c r="P9903" s="25"/>
      <c r="Q9903" s="25"/>
      <c r="R9903" s="25"/>
      <c r="S9903" s="25"/>
      <c r="T9903" s="141"/>
      <c r="U9903" s="28"/>
    </row>
    <row r="9904" ht="15.75" customHeight="1">
      <c r="P9904" s="25"/>
      <c r="Q9904" s="25"/>
      <c r="R9904" s="25"/>
      <c r="S9904" s="25"/>
      <c r="T9904" s="141"/>
      <c r="U9904" s="28"/>
    </row>
    <row r="9905" ht="15.75" customHeight="1">
      <c r="P9905" s="25"/>
      <c r="Q9905" s="25"/>
      <c r="R9905" s="25"/>
      <c r="S9905" s="25"/>
      <c r="T9905" s="141"/>
      <c r="U9905" s="28"/>
    </row>
    <row r="9906" ht="15.75" customHeight="1">
      <c r="P9906" s="25"/>
      <c r="Q9906" s="25"/>
      <c r="R9906" s="25"/>
      <c r="S9906" s="25"/>
      <c r="T9906" s="141"/>
      <c r="U9906" s="28"/>
    </row>
    <row r="9907" ht="15.75" customHeight="1">
      <c r="P9907" s="25"/>
      <c r="Q9907" s="25"/>
      <c r="R9907" s="25"/>
      <c r="S9907" s="25"/>
      <c r="T9907" s="141"/>
      <c r="U9907" s="28"/>
    </row>
    <row r="9908" ht="15.75" customHeight="1">
      <c r="P9908" s="25"/>
      <c r="Q9908" s="25"/>
      <c r="R9908" s="25"/>
      <c r="S9908" s="25"/>
      <c r="T9908" s="141"/>
      <c r="U9908" s="28"/>
    </row>
    <row r="9909" ht="15.75" customHeight="1">
      <c r="P9909" s="25"/>
      <c r="Q9909" s="25"/>
      <c r="R9909" s="25"/>
      <c r="S9909" s="25"/>
      <c r="T9909" s="141"/>
      <c r="U9909" s="28"/>
    </row>
    <row r="9910" ht="15.75" customHeight="1">
      <c r="P9910" s="25"/>
      <c r="Q9910" s="25"/>
      <c r="R9910" s="25"/>
      <c r="S9910" s="25"/>
      <c r="T9910" s="141"/>
      <c r="U9910" s="28"/>
    </row>
    <row r="9911" ht="15.75" customHeight="1">
      <c r="P9911" s="25"/>
      <c r="Q9911" s="25"/>
      <c r="R9911" s="25"/>
      <c r="S9911" s="25"/>
      <c r="T9911" s="141"/>
      <c r="U9911" s="28"/>
    </row>
    <row r="9912" ht="15.75" customHeight="1">
      <c r="P9912" s="25"/>
      <c r="Q9912" s="25"/>
      <c r="R9912" s="25"/>
      <c r="S9912" s="25"/>
      <c r="T9912" s="141"/>
      <c r="U9912" s="28"/>
    </row>
    <row r="9913" ht="15.75" customHeight="1">
      <c r="P9913" s="25"/>
      <c r="Q9913" s="25"/>
      <c r="R9913" s="25"/>
      <c r="S9913" s="25"/>
      <c r="T9913" s="141"/>
      <c r="U9913" s="28"/>
    </row>
    <row r="9914" ht="15.75" customHeight="1">
      <c r="P9914" s="25"/>
      <c r="Q9914" s="25"/>
      <c r="R9914" s="25"/>
      <c r="S9914" s="25"/>
      <c r="T9914" s="141"/>
      <c r="U9914" s="28"/>
    </row>
    <row r="9915" ht="15.75" customHeight="1">
      <c r="P9915" s="25"/>
      <c r="Q9915" s="25"/>
      <c r="R9915" s="25"/>
      <c r="S9915" s="25"/>
      <c r="T9915" s="141"/>
      <c r="U9915" s="28"/>
    </row>
    <row r="9916" ht="15.75" customHeight="1">
      <c r="P9916" s="25"/>
      <c r="Q9916" s="25"/>
      <c r="R9916" s="25"/>
      <c r="S9916" s="25"/>
      <c r="T9916" s="141"/>
      <c r="U9916" s="28"/>
    </row>
    <row r="9917" ht="15.75" customHeight="1">
      <c r="P9917" s="25"/>
      <c r="Q9917" s="25"/>
      <c r="R9917" s="25"/>
      <c r="S9917" s="25"/>
      <c r="T9917" s="141"/>
      <c r="U9917" s="28"/>
    </row>
    <row r="9918" ht="15.75" customHeight="1">
      <c r="P9918" s="25"/>
      <c r="Q9918" s="25"/>
      <c r="R9918" s="25"/>
      <c r="S9918" s="25"/>
      <c r="T9918" s="141"/>
      <c r="U9918" s="28"/>
    </row>
    <row r="9919" ht="15.75" customHeight="1">
      <c r="P9919" s="25"/>
      <c r="Q9919" s="25"/>
      <c r="R9919" s="25"/>
      <c r="S9919" s="25"/>
      <c r="T9919" s="141"/>
      <c r="U9919" s="28"/>
    </row>
    <row r="9920" ht="15.75" customHeight="1">
      <c r="P9920" s="25"/>
      <c r="Q9920" s="25"/>
      <c r="R9920" s="25"/>
      <c r="S9920" s="25"/>
      <c r="T9920" s="141"/>
      <c r="U9920" s="28"/>
    </row>
    <row r="9921" ht="15.75" customHeight="1">
      <c r="P9921" s="25"/>
      <c r="Q9921" s="25"/>
      <c r="R9921" s="25"/>
      <c r="S9921" s="25"/>
      <c r="T9921" s="141"/>
      <c r="U9921" s="28"/>
    </row>
    <row r="9922" ht="15.75" customHeight="1">
      <c r="P9922" s="25"/>
      <c r="Q9922" s="25"/>
      <c r="R9922" s="25"/>
      <c r="S9922" s="25"/>
      <c r="T9922" s="141"/>
      <c r="U9922" s="28"/>
    </row>
    <row r="9923" ht="15.75" customHeight="1">
      <c r="P9923" s="25"/>
      <c r="Q9923" s="25"/>
      <c r="R9923" s="25"/>
      <c r="S9923" s="25"/>
      <c r="T9923" s="141"/>
      <c r="U9923" s="28"/>
    </row>
    <row r="9924" ht="15.75" customHeight="1">
      <c r="P9924" s="25"/>
      <c r="Q9924" s="25"/>
      <c r="R9924" s="25"/>
      <c r="S9924" s="25"/>
      <c r="T9924" s="141"/>
      <c r="U9924" s="28"/>
    </row>
    <row r="9925" ht="15.75" customHeight="1">
      <c r="P9925" s="25"/>
      <c r="Q9925" s="25"/>
      <c r="R9925" s="25"/>
      <c r="S9925" s="25"/>
      <c r="T9925" s="141"/>
      <c r="U9925" s="28"/>
    </row>
    <row r="9926" ht="15.75" customHeight="1">
      <c r="P9926" s="25"/>
      <c r="Q9926" s="25"/>
      <c r="R9926" s="25"/>
      <c r="S9926" s="25"/>
      <c r="T9926" s="141"/>
      <c r="U9926" s="28"/>
    </row>
    <row r="9927" ht="15.75" customHeight="1">
      <c r="P9927" s="25"/>
      <c r="Q9927" s="25"/>
      <c r="R9927" s="25"/>
      <c r="S9927" s="25"/>
      <c r="T9927" s="141"/>
      <c r="U9927" s="28"/>
    </row>
    <row r="9928" ht="15.75" customHeight="1">
      <c r="P9928" s="25"/>
      <c r="Q9928" s="25"/>
      <c r="R9928" s="25"/>
      <c r="S9928" s="25"/>
      <c r="T9928" s="141"/>
      <c r="U9928" s="28"/>
    </row>
    <row r="9929" ht="15.75" customHeight="1">
      <c r="P9929" s="25"/>
      <c r="Q9929" s="25"/>
      <c r="R9929" s="25"/>
      <c r="S9929" s="25"/>
      <c r="T9929" s="141"/>
      <c r="U9929" s="28"/>
    </row>
    <row r="9930" ht="15.75" customHeight="1">
      <c r="P9930" s="25"/>
      <c r="Q9930" s="25"/>
      <c r="R9930" s="25"/>
      <c r="S9930" s="25"/>
      <c r="T9930" s="141"/>
      <c r="U9930" s="28"/>
    </row>
    <row r="9931" ht="15.75" customHeight="1">
      <c r="P9931" s="25"/>
      <c r="Q9931" s="25"/>
      <c r="R9931" s="25"/>
      <c r="S9931" s="25"/>
      <c r="T9931" s="141"/>
      <c r="U9931" s="28"/>
    </row>
    <row r="9932" ht="15.75" customHeight="1">
      <c r="P9932" s="25"/>
      <c r="Q9932" s="25"/>
      <c r="R9932" s="25"/>
      <c r="S9932" s="25"/>
      <c r="T9932" s="141"/>
      <c r="U9932" s="28"/>
    </row>
    <row r="9933" ht="15.75" customHeight="1">
      <c r="P9933" s="25"/>
      <c r="Q9933" s="25"/>
      <c r="R9933" s="25"/>
      <c r="S9933" s="25"/>
      <c r="T9933" s="141"/>
      <c r="U9933" s="28"/>
    </row>
    <row r="9934" ht="15.75" customHeight="1">
      <c r="P9934" s="25"/>
      <c r="Q9934" s="25"/>
      <c r="R9934" s="25"/>
      <c r="S9934" s="25"/>
      <c r="T9934" s="141"/>
      <c r="U9934" s="28"/>
    </row>
    <row r="9935" ht="15.75" customHeight="1">
      <c r="P9935" s="25"/>
      <c r="Q9935" s="25"/>
      <c r="R9935" s="25"/>
      <c r="S9935" s="25"/>
      <c r="T9935" s="141"/>
      <c r="U9935" s="28"/>
    </row>
    <row r="9936" ht="15.75" customHeight="1">
      <c r="P9936" s="25"/>
      <c r="Q9936" s="25"/>
      <c r="R9936" s="25"/>
      <c r="S9936" s="25"/>
      <c r="T9936" s="141"/>
      <c r="U9936" s="28"/>
    </row>
    <row r="9937" ht="15.75" customHeight="1">
      <c r="P9937" s="25"/>
      <c r="Q9937" s="25"/>
      <c r="R9937" s="25"/>
      <c r="S9937" s="25"/>
      <c r="T9937" s="141"/>
      <c r="U9937" s="28"/>
    </row>
    <row r="9938" ht="15.75" customHeight="1">
      <c r="P9938" s="25"/>
      <c r="Q9938" s="25"/>
      <c r="R9938" s="25"/>
      <c r="S9938" s="25"/>
      <c r="T9938" s="141"/>
      <c r="U9938" s="28"/>
    </row>
    <row r="9939" ht="15.75" customHeight="1">
      <c r="P9939" s="25"/>
      <c r="Q9939" s="25"/>
      <c r="R9939" s="25"/>
      <c r="S9939" s="25"/>
      <c r="T9939" s="141"/>
      <c r="U9939" s="28"/>
    </row>
    <row r="9940" ht="15.75" customHeight="1">
      <c r="P9940" s="25"/>
      <c r="Q9940" s="25"/>
      <c r="R9940" s="25"/>
      <c r="S9940" s="25"/>
      <c r="T9940" s="141"/>
      <c r="U9940" s="28"/>
    </row>
    <row r="9941" ht="15.75" customHeight="1">
      <c r="P9941" s="25"/>
      <c r="Q9941" s="25"/>
      <c r="R9941" s="25"/>
      <c r="S9941" s="25"/>
      <c r="T9941" s="141"/>
      <c r="U9941" s="28"/>
    </row>
    <row r="9942" ht="15.75" customHeight="1">
      <c r="P9942" s="25"/>
      <c r="Q9942" s="25"/>
      <c r="R9942" s="25"/>
      <c r="S9942" s="25"/>
      <c r="T9942" s="141"/>
      <c r="U9942" s="28"/>
    </row>
    <row r="9943" ht="15.75" customHeight="1">
      <c r="P9943" s="25"/>
      <c r="Q9943" s="25"/>
      <c r="R9943" s="25"/>
      <c r="S9943" s="25"/>
      <c r="T9943" s="141"/>
      <c r="U9943" s="28"/>
    </row>
    <row r="9944" ht="15.75" customHeight="1">
      <c r="P9944" s="25"/>
      <c r="Q9944" s="25"/>
      <c r="R9944" s="25"/>
      <c r="S9944" s="25"/>
      <c r="T9944" s="141"/>
      <c r="U9944" s="28"/>
    </row>
    <row r="9945" ht="15.75" customHeight="1">
      <c r="P9945" s="25"/>
      <c r="Q9945" s="25"/>
      <c r="R9945" s="25"/>
      <c r="S9945" s="25"/>
      <c r="T9945" s="141"/>
      <c r="U9945" s="28"/>
    </row>
    <row r="9946" ht="15.75" customHeight="1">
      <c r="P9946" s="25"/>
      <c r="Q9946" s="25"/>
      <c r="R9946" s="25"/>
      <c r="S9946" s="25"/>
      <c r="T9946" s="141"/>
      <c r="U9946" s="28"/>
    </row>
    <row r="9947" ht="15.75" customHeight="1">
      <c r="P9947" s="25"/>
      <c r="Q9947" s="25"/>
      <c r="R9947" s="25"/>
      <c r="S9947" s="25"/>
      <c r="T9947" s="141"/>
      <c r="U9947" s="28"/>
    </row>
    <row r="9948" ht="15.75" customHeight="1">
      <c r="P9948" s="25"/>
      <c r="Q9948" s="25"/>
      <c r="R9948" s="25"/>
      <c r="S9948" s="25"/>
      <c r="T9948" s="141"/>
      <c r="U9948" s="28"/>
    </row>
    <row r="9949" ht="15.75" customHeight="1">
      <c r="P9949" s="25"/>
      <c r="Q9949" s="25"/>
      <c r="R9949" s="25"/>
      <c r="S9949" s="25"/>
      <c r="T9949" s="141"/>
      <c r="U9949" s="28"/>
    </row>
    <row r="9950" ht="15.75" customHeight="1">
      <c r="P9950" s="25"/>
      <c r="Q9950" s="25"/>
      <c r="R9950" s="25"/>
      <c r="S9950" s="25"/>
      <c r="T9950" s="141"/>
      <c r="U9950" s="28"/>
    </row>
    <row r="9951" ht="15.75" customHeight="1">
      <c r="P9951" s="25"/>
      <c r="Q9951" s="25"/>
      <c r="R9951" s="25"/>
      <c r="S9951" s="25"/>
      <c r="T9951" s="141"/>
      <c r="U9951" s="28"/>
    </row>
    <row r="9952" ht="15.75" customHeight="1">
      <c r="P9952" s="25"/>
      <c r="Q9952" s="25"/>
      <c r="R9952" s="25"/>
      <c r="S9952" s="25"/>
      <c r="T9952" s="141"/>
      <c r="U9952" s="28"/>
    </row>
    <row r="9953" ht="15.75" customHeight="1">
      <c r="P9953" s="25"/>
      <c r="Q9953" s="25"/>
      <c r="R9953" s="25"/>
      <c r="S9953" s="25"/>
      <c r="T9953" s="141"/>
      <c r="U9953" s="28"/>
    </row>
    <row r="9954" ht="15.75" customHeight="1">
      <c r="P9954" s="25"/>
      <c r="Q9954" s="25"/>
      <c r="R9954" s="25"/>
      <c r="S9954" s="25"/>
      <c r="T9954" s="141"/>
      <c r="U9954" s="28"/>
    </row>
    <row r="9955" ht="15.75" customHeight="1">
      <c r="P9955" s="25"/>
      <c r="Q9955" s="25"/>
      <c r="R9955" s="25"/>
      <c r="S9955" s="25"/>
      <c r="T9955" s="141"/>
      <c r="U9955" s="28"/>
    </row>
    <row r="9956" ht="15.75" customHeight="1">
      <c r="P9956" s="25"/>
      <c r="Q9956" s="25"/>
      <c r="R9956" s="25"/>
      <c r="S9956" s="25"/>
      <c r="T9956" s="141"/>
      <c r="U9956" s="28"/>
    </row>
    <row r="9957" ht="15.75" customHeight="1">
      <c r="P9957" s="25"/>
      <c r="Q9957" s="25"/>
      <c r="R9957" s="25"/>
      <c r="S9957" s="25"/>
      <c r="T9957" s="141"/>
      <c r="U9957" s="28"/>
    </row>
    <row r="9958" ht="15.75" customHeight="1">
      <c r="P9958" s="25"/>
      <c r="Q9958" s="25"/>
      <c r="R9958" s="25"/>
      <c r="S9958" s="25"/>
      <c r="T9958" s="141"/>
      <c r="U9958" s="28"/>
    </row>
    <row r="9959" ht="15.75" customHeight="1">
      <c r="P9959" s="25"/>
      <c r="Q9959" s="25"/>
      <c r="R9959" s="25"/>
      <c r="S9959" s="25"/>
      <c r="T9959" s="141"/>
      <c r="U9959" s="28"/>
    </row>
    <row r="9960" ht="15.75" customHeight="1">
      <c r="P9960" s="25"/>
      <c r="Q9960" s="25"/>
      <c r="R9960" s="25"/>
      <c r="S9960" s="25"/>
      <c r="T9960" s="141"/>
      <c r="U9960" s="28"/>
    </row>
    <row r="9961" ht="15.75" customHeight="1">
      <c r="P9961" s="25"/>
      <c r="Q9961" s="25"/>
      <c r="R9961" s="25"/>
      <c r="S9961" s="25"/>
      <c r="T9961" s="141"/>
      <c r="U9961" s="28"/>
    </row>
    <row r="9962" ht="15.75" customHeight="1">
      <c r="P9962" s="25"/>
      <c r="Q9962" s="25"/>
      <c r="R9962" s="25"/>
      <c r="S9962" s="25"/>
      <c r="T9962" s="141"/>
      <c r="U9962" s="28"/>
    </row>
    <row r="9963" ht="15.75" customHeight="1">
      <c r="P9963" s="25"/>
      <c r="Q9963" s="25"/>
      <c r="R9963" s="25"/>
      <c r="S9963" s="25"/>
      <c r="T9963" s="141"/>
      <c r="U9963" s="28"/>
    </row>
    <row r="9964" ht="15.75" customHeight="1">
      <c r="P9964" s="25"/>
      <c r="Q9964" s="25"/>
      <c r="R9964" s="25"/>
      <c r="S9964" s="25"/>
      <c r="T9964" s="141"/>
      <c r="U9964" s="28"/>
    </row>
    <row r="9965" ht="15.75" customHeight="1">
      <c r="P9965" s="25"/>
      <c r="Q9965" s="25"/>
      <c r="R9965" s="25"/>
      <c r="S9965" s="25"/>
      <c r="T9965" s="141"/>
      <c r="U9965" s="28"/>
    </row>
    <row r="9966" ht="15.75" customHeight="1">
      <c r="P9966" s="25"/>
      <c r="Q9966" s="25"/>
      <c r="R9966" s="25"/>
      <c r="S9966" s="25"/>
      <c r="T9966" s="141"/>
      <c r="U9966" s="28"/>
    </row>
    <row r="9967" ht="15.75" customHeight="1">
      <c r="P9967" s="25"/>
      <c r="Q9967" s="25"/>
      <c r="R9967" s="25"/>
      <c r="S9967" s="25"/>
      <c r="T9967" s="141"/>
      <c r="U9967" s="28"/>
    </row>
    <row r="9968" ht="15.75" customHeight="1">
      <c r="P9968" s="25"/>
      <c r="Q9968" s="25"/>
      <c r="R9968" s="25"/>
      <c r="S9968" s="25"/>
      <c r="T9968" s="141"/>
      <c r="U9968" s="28"/>
    </row>
    <row r="9969" ht="15.75" customHeight="1">
      <c r="P9969" s="25"/>
      <c r="Q9969" s="25"/>
      <c r="R9969" s="25"/>
      <c r="S9969" s="25"/>
      <c r="T9969" s="141"/>
      <c r="U9969" s="28"/>
    </row>
    <row r="9970" ht="15.75" customHeight="1">
      <c r="P9970" s="25"/>
      <c r="Q9970" s="25"/>
      <c r="R9970" s="25"/>
      <c r="S9970" s="25"/>
      <c r="T9970" s="141"/>
      <c r="U9970" s="28"/>
    </row>
    <row r="9971" ht="15.75" customHeight="1">
      <c r="P9971" s="25"/>
      <c r="Q9971" s="25"/>
      <c r="R9971" s="25"/>
      <c r="S9971" s="25"/>
      <c r="T9971" s="141"/>
      <c r="U9971" s="28"/>
    </row>
    <row r="9972" ht="15.75" customHeight="1">
      <c r="P9972" s="25"/>
      <c r="Q9972" s="25"/>
      <c r="R9972" s="25"/>
      <c r="S9972" s="25"/>
      <c r="T9972" s="141"/>
      <c r="U9972" s="28"/>
    </row>
    <row r="9973" ht="15.75" customHeight="1">
      <c r="P9973" s="25"/>
      <c r="Q9973" s="25"/>
      <c r="R9973" s="25"/>
      <c r="S9973" s="25"/>
      <c r="T9973" s="141"/>
      <c r="U9973" s="28"/>
    </row>
    <row r="9974" ht="15.75" customHeight="1">
      <c r="P9974" s="25"/>
      <c r="Q9974" s="25"/>
      <c r="R9974" s="25"/>
      <c r="S9974" s="25"/>
      <c r="T9974" s="141"/>
      <c r="U9974" s="28"/>
    </row>
    <row r="9975" ht="15.75" customHeight="1">
      <c r="P9975" s="25"/>
      <c r="Q9975" s="25"/>
      <c r="R9975" s="25"/>
      <c r="S9975" s="25"/>
      <c r="T9975" s="141"/>
      <c r="U9975" s="28"/>
    </row>
    <row r="9976" ht="15.75" customHeight="1">
      <c r="P9976" s="25"/>
      <c r="Q9976" s="25"/>
      <c r="R9976" s="25"/>
      <c r="S9976" s="25"/>
      <c r="T9976" s="141"/>
      <c r="U9976" s="28"/>
    </row>
    <row r="9977" ht="15.75" customHeight="1">
      <c r="P9977" s="25"/>
      <c r="Q9977" s="25"/>
      <c r="R9977" s="25"/>
      <c r="S9977" s="25"/>
      <c r="T9977" s="141"/>
      <c r="U9977" s="28"/>
    </row>
    <row r="9978" ht="15.75" customHeight="1">
      <c r="P9978" s="25"/>
      <c r="Q9978" s="25"/>
      <c r="R9978" s="25"/>
      <c r="S9978" s="25"/>
      <c r="T9978" s="141"/>
      <c r="U9978" s="28"/>
    </row>
    <row r="9979" ht="15.75" customHeight="1">
      <c r="P9979" s="25"/>
      <c r="Q9979" s="25"/>
      <c r="R9979" s="25"/>
      <c r="S9979" s="25"/>
      <c r="T9979" s="141"/>
      <c r="U9979" s="28"/>
    </row>
    <row r="9980" ht="15.75" customHeight="1">
      <c r="P9980" s="25"/>
      <c r="Q9980" s="25"/>
      <c r="R9980" s="25"/>
      <c r="S9980" s="25"/>
      <c r="T9980" s="141"/>
      <c r="U9980" s="28"/>
    </row>
    <row r="9981" ht="15.75" customHeight="1">
      <c r="P9981" s="25"/>
      <c r="Q9981" s="25"/>
      <c r="R9981" s="25"/>
      <c r="S9981" s="25"/>
      <c r="T9981" s="141"/>
      <c r="U9981" s="28"/>
    </row>
    <row r="9982" ht="15.75" customHeight="1">
      <c r="P9982" s="25"/>
      <c r="Q9982" s="25"/>
      <c r="R9982" s="25"/>
      <c r="S9982" s="25"/>
      <c r="T9982" s="141"/>
      <c r="U9982" s="28"/>
    </row>
    <row r="9983" ht="15.75" customHeight="1">
      <c r="P9983" s="25"/>
      <c r="Q9983" s="25"/>
      <c r="R9983" s="25"/>
      <c r="S9983" s="25"/>
      <c r="T9983" s="141"/>
      <c r="U9983" s="28"/>
    </row>
    <row r="9984" ht="15.75" customHeight="1">
      <c r="P9984" s="25"/>
      <c r="Q9984" s="25"/>
      <c r="R9984" s="25"/>
      <c r="S9984" s="25"/>
      <c r="T9984" s="141"/>
      <c r="U9984" s="28"/>
    </row>
    <row r="9985" ht="15.75" customHeight="1">
      <c r="P9985" s="25"/>
      <c r="Q9985" s="25"/>
      <c r="R9985" s="25"/>
      <c r="S9985" s="25"/>
      <c r="T9985" s="141"/>
      <c r="U9985" s="28"/>
    </row>
    <row r="9986" ht="15.75" customHeight="1">
      <c r="P9986" s="25"/>
      <c r="Q9986" s="25"/>
      <c r="R9986" s="25"/>
      <c r="S9986" s="25"/>
      <c r="T9986" s="141"/>
      <c r="U9986" s="28"/>
    </row>
    <row r="9987" ht="15.75" customHeight="1">
      <c r="P9987" s="25"/>
      <c r="Q9987" s="25"/>
      <c r="R9987" s="25"/>
      <c r="S9987" s="25"/>
      <c r="T9987" s="141"/>
      <c r="U9987" s="28"/>
    </row>
    <row r="9988" ht="15.75" customHeight="1">
      <c r="P9988" s="25"/>
      <c r="Q9988" s="25"/>
      <c r="R9988" s="25"/>
      <c r="S9988" s="25"/>
      <c r="T9988" s="141"/>
      <c r="U9988" s="28"/>
    </row>
    <row r="9989" ht="15.75" customHeight="1">
      <c r="P9989" s="25"/>
      <c r="Q9989" s="25"/>
      <c r="R9989" s="25"/>
      <c r="S9989" s="25"/>
      <c r="T9989" s="141"/>
      <c r="U9989" s="28"/>
    </row>
    <row r="9990" ht="15.75" customHeight="1">
      <c r="P9990" s="25"/>
      <c r="Q9990" s="25"/>
      <c r="R9990" s="25"/>
      <c r="S9990" s="25"/>
      <c r="T9990" s="141"/>
      <c r="U9990" s="28"/>
    </row>
    <row r="9991" ht="15.75" customHeight="1">
      <c r="P9991" s="25"/>
      <c r="Q9991" s="25"/>
      <c r="R9991" s="25"/>
      <c r="S9991" s="25"/>
      <c r="T9991" s="141"/>
      <c r="U9991" s="28"/>
    </row>
    <row r="9992" ht="15.75" customHeight="1">
      <c r="P9992" s="25"/>
      <c r="Q9992" s="25"/>
      <c r="R9992" s="25"/>
      <c r="S9992" s="25"/>
      <c r="T9992" s="141"/>
      <c r="U9992" s="28"/>
    </row>
    <row r="9993" ht="15.75" customHeight="1">
      <c r="P9993" s="25"/>
      <c r="Q9993" s="25"/>
      <c r="R9993" s="25"/>
      <c r="S9993" s="25"/>
      <c r="T9993" s="141"/>
      <c r="U9993" s="28"/>
    </row>
    <row r="9994" ht="15.75" customHeight="1">
      <c r="P9994" s="25"/>
      <c r="Q9994" s="25"/>
      <c r="R9994" s="25"/>
      <c r="S9994" s="25"/>
      <c r="T9994" s="141"/>
      <c r="U9994" s="28"/>
    </row>
    <row r="9995" ht="15.75" customHeight="1">
      <c r="P9995" s="25"/>
      <c r="Q9995" s="25"/>
      <c r="R9995" s="25"/>
      <c r="S9995" s="25"/>
      <c r="T9995" s="141"/>
      <c r="U9995" s="28"/>
    </row>
    <row r="9996" ht="15.75" customHeight="1">
      <c r="P9996" s="25"/>
      <c r="Q9996" s="25"/>
      <c r="R9996" s="25"/>
      <c r="S9996" s="25"/>
      <c r="T9996" s="141"/>
      <c r="U9996" s="28"/>
    </row>
    <row r="9997" ht="15.75" customHeight="1">
      <c r="P9997" s="25"/>
      <c r="Q9997" s="25"/>
      <c r="R9997" s="25"/>
      <c r="S9997" s="25"/>
      <c r="T9997" s="141"/>
      <c r="U9997" s="28"/>
    </row>
    <row r="9998" ht="15.75" customHeight="1">
      <c r="P9998" s="25"/>
      <c r="Q9998" s="25"/>
      <c r="R9998" s="25"/>
      <c r="S9998" s="25"/>
      <c r="T9998" s="141"/>
      <c r="U9998" s="28"/>
    </row>
    <row r="9999" ht="15.75" customHeight="1">
      <c r="P9999" s="25"/>
      <c r="Q9999" s="25"/>
      <c r="R9999" s="25"/>
      <c r="S9999" s="25"/>
      <c r="T9999" s="141"/>
      <c r="U9999" s="28"/>
    </row>
    <row r="10000" ht="15.75" customHeight="1">
      <c r="P10000" s="25"/>
      <c r="Q10000" s="25"/>
      <c r="R10000" s="25"/>
      <c r="S10000" s="25"/>
      <c r="T10000" s="141"/>
      <c r="U10000" s="28"/>
    </row>
    <row r="10001" ht="15.75" customHeight="1">
      <c r="P10001" s="25"/>
      <c r="Q10001" s="25"/>
      <c r="R10001" s="25"/>
      <c r="S10001" s="25"/>
      <c r="T10001" s="141"/>
      <c r="U10001" s="28"/>
    </row>
    <row r="10002" ht="15.75" customHeight="1">
      <c r="P10002" s="25"/>
      <c r="Q10002" s="25"/>
      <c r="R10002" s="25"/>
      <c r="S10002" s="25"/>
      <c r="T10002" s="141"/>
      <c r="U10002" s="28"/>
    </row>
    <row r="10003" ht="15.75" customHeight="1">
      <c r="P10003" s="25"/>
      <c r="Q10003" s="25"/>
      <c r="R10003" s="25"/>
      <c r="S10003" s="25"/>
      <c r="T10003" s="141"/>
      <c r="U10003" s="28"/>
    </row>
    <row r="10004" ht="15.75" customHeight="1">
      <c r="P10004" s="25"/>
      <c r="Q10004" s="25"/>
      <c r="R10004" s="25"/>
      <c r="S10004" s="25"/>
      <c r="T10004" s="141"/>
      <c r="U10004" s="28"/>
    </row>
    <row r="10005" ht="15.75" customHeight="1">
      <c r="P10005" s="25"/>
      <c r="Q10005" s="25"/>
      <c r="R10005" s="25"/>
      <c r="S10005" s="25"/>
      <c r="T10005" s="141"/>
      <c r="U10005" s="28"/>
    </row>
    <row r="10006" ht="15.75" customHeight="1">
      <c r="P10006" s="25"/>
      <c r="Q10006" s="25"/>
      <c r="R10006" s="25"/>
      <c r="S10006" s="25"/>
      <c r="T10006" s="141"/>
      <c r="U10006" s="28"/>
    </row>
    <row r="10007" ht="15.75" customHeight="1">
      <c r="P10007" s="25"/>
      <c r="Q10007" s="25"/>
      <c r="R10007" s="25"/>
      <c r="S10007" s="25"/>
      <c r="T10007" s="141"/>
      <c r="U10007" s="28"/>
    </row>
    <row r="10008" ht="15.75" customHeight="1">
      <c r="P10008" s="25"/>
      <c r="Q10008" s="25"/>
      <c r="R10008" s="25"/>
      <c r="S10008" s="25"/>
      <c r="T10008" s="141"/>
      <c r="U10008" s="28"/>
    </row>
    <row r="10009" ht="15.75" customHeight="1">
      <c r="P10009" s="25"/>
      <c r="Q10009" s="25"/>
      <c r="R10009" s="25"/>
      <c r="S10009" s="25"/>
      <c r="T10009" s="141"/>
      <c r="U10009" s="28"/>
    </row>
    <row r="10010" ht="15.75" customHeight="1">
      <c r="P10010" s="25"/>
      <c r="Q10010" s="25"/>
      <c r="R10010" s="25"/>
      <c r="S10010" s="25"/>
      <c r="T10010" s="141"/>
      <c r="U10010" s="28"/>
    </row>
    <row r="10011" ht="15.75" customHeight="1">
      <c r="P10011" s="25"/>
      <c r="Q10011" s="25"/>
      <c r="R10011" s="25"/>
      <c r="S10011" s="25"/>
      <c r="T10011" s="141"/>
      <c r="U10011" s="28"/>
    </row>
    <row r="10012" ht="15.75" customHeight="1">
      <c r="P10012" s="25"/>
      <c r="Q10012" s="25"/>
      <c r="R10012" s="25"/>
      <c r="S10012" s="25"/>
      <c r="T10012" s="141"/>
      <c r="U10012" s="28"/>
    </row>
    <row r="10013" ht="15.75" customHeight="1">
      <c r="P10013" s="25"/>
      <c r="Q10013" s="25"/>
      <c r="R10013" s="25"/>
      <c r="S10013" s="25"/>
      <c r="T10013" s="141"/>
      <c r="U10013" s="28"/>
    </row>
    <row r="10014" ht="15.75" customHeight="1">
      <c r="P10014" s="25"/>
      <c r="Q10014" s="25"/>
      <c r="R10014" s="25"/>
      <c r="S10014" s="25"/>
      <c r="T10014" s="141"/>
      <c r="U10014" s="28"/>
    </row>
    <row r="10015" ht="15.75" customHeight="1">
      <c r="P10015" s="25"/>
      <c r="Q10015" s="25"/>
      <c r="R10015" s="25"/>
      <c r="S10015" s="25"/>
      <c r="T10015" s="141"/>
      <c r="U10015" s="28"/>
    </row>
    <row r="10016" ht="15.75" customHeight="1">
      <c r="P10016" s="25"/>
      <c r="Q10016" s="25"/>
      <c r="R10016" s="25"/>
      <c r="S10016" s="25"/>
      <c r="T10016" s="141"/>
      <c r="U10016" s="28"/>
    </row>
    <row r="10017" ht="15.75" customHeight="1">
      <c r="P10017" s="25"/>
      <c r="Q10017" s="25"/>
      <c r="R10017" s="25"/>
      <c r="S10017" s="25"/>
      <c r="T10017" s="141"/>
      <c r="U10017" s="28"/>
    </row>
    <row r="10018" ht="15.75" customHeight="1">
      <c r="P10018" s="25"/>
      <c r="Q10018" s="25"/>
      <c r="R10018" s="25"/>
      <c r="S10018" s="25"/>
      <c r="T10018" s="141"/>
      <c r="U10018" s="28"/>
    </row>
    <row r="10019" ht="15.75" customHeight="1">
      <c r="P10019" s="25"/>
      <c r="Q10019" s="25"/>
      <c r="R10019" s="25"/>
      <c r="S10019" s="25"/>
      <c r="T10019" s="141"/>
      <c r="U10019" s="28"/>
    </row>
    <row r="10020" ht="15.75" customHeight="1">
      <c r="P10020" s="25"/>
      <c r="Q10020" s="25"/>
      <c r="R10020" s="25"/>
      <c r="S10020" s="25"/>
      <c r="T10020" s="141"/>
      <c r="U10020" s="28"/>
    </row>
    <row r="10021" ht="15.75" customHeight="1">
      <c r="P10021" s="25"/>
      <c r="Q10021" s="25"/>
      <c r="R10021" s="25"/>
      <c r="S10021" s="25"/>
      <c r="T10021" s="141"/>
      <c r="U10021" s="28"/>
    </row>
    <row r="10022" ht="15.75" customHeight="1">
      <c r="P10022" s="25"/>
      <c r="Q10022" s="25"/>
      <c r="R10022" s="25"/>
      <c r="S10022" s="25"/>
      <c r="T10022" s="141"/>
      <c r="U10022" s="28"/>
    </row>
    <row r="10023" ht="15.75" customHeight="1">
      <c r="P10023" s="25"/>
      <c r="Q10023" s="25"/>
      <c r="R10023" s="25"/>
      <c r="S10023" s="25"/>
      <c r="T10023" s="141"/>
      <c r="U10023" s="28"/>
    </row>
    <row r="10024" ht="15.75" customHeight="1">
      <c r="P10024" s="25"/>
      <c r="Q10024" s="25"/>
      <c r="R10024" s="25"/>
      <c r="S10024" s="25"/>
      <c r="T10024" s="141"/>
      <c r="U10024" s="28"/>
    </row>
    <row r="10025" ht="15.75" customHeight="1">
      <c r="P10025" s="25"/>
      <c r="Q10025" s="25"/>
      <c r="R10025" s="25"/>
      <c r="S10025" s="25"/>
      <c r="T10025" s="141"/>
      <c r="U10025" s="28"/>
    </row>
    <row r="10026" ht="15.75" customHeight="1">
      <c r="P10026" s="25"/>
      <c r="Q10026" s="25"/>
      <c r="R10026" s="25"/>
      <c r="S10026" s="25"/>
      <c r="T10026" s="141"/>
      <c r="U10026" s="28"/>
    </row>
    <row r="10027" ht="15.75" customHeight="1">
      <c r="P10027" s="25"/>
      <c r="Q10027" s="25"/>
      <c r="R10027" s="25"/>
      <c r="S10027" s="25"/>
      <c r="T10027" s="141"/>
      <c r="U10027" s="28"/>
    </row>
    <row r="10028" ht="15.75" customHeight="1">
      <c r="P10028" s="25"/>
      <c r="Q10028" s="25"/>
      <c r="R10028" s="25"/>
      <c r="S10028" s="25"/>
      <c r="T10028" s="141"/>
      <c r="U10028" s="28"/>
    </row>
    <row r="10029" ht="15.75" customHeight="1">
      <c r="P10029" s="25"/>
      <c r="Q10029" s="25"/>
      <c r="R10029" s="25"/>
      <c r="S10029" s="25"/>
      <c r="T10029" s="141"/>
      <c r="U10029" s="28"/>
    </row>
    <row r="10030" ht="15.75" customHeight="1">
      <c r="P10030" s="25"/>
      <c r="Q10030" s="25"/>
      <c r="R10030" s="25"/>
      <c r="S10030" s="25"/>
      <c r="T10030" s="141"/>
      <c r="U10030" s="28"/>
    </row>
    <row r="10031" ht="15.75" customHeight="1">
      <c r="P10031" s="25"/>
      <c r="Q10031" s="25"/>
      <c r="R10031" s="25"/>
      <c r="S10031" s="25"/>
      <c r="T10031" s="141"/>
      <c r="U10031" s="28"/>
    </row>
    <row r="10032" ht="15.75" customHeight="1">
      <c r="P10032" s="25"/>
      <c r="Q10032" s="25"/>
      <c r="R10032" s="25"/>
      <c r="S10032" s="25"/>
      <c r="T10032" s="141"/>
      <c r="U10032" s="28"/>
    </row>
    <row r="10033" ht="15.75" customHeight="1">
      <c r="P10033" s="25"/>
      <c r="Q10033" s="25"/>
      <c r="R10033" s="25"/>
      <c r="S10033" s="25"/>
      <c r="T10033" s="141"/>
      <c r="U10033" s="28"/>
    </row>
    <row r="10034" ht="15.75" customHeight="1">
      <c r="P10034" s="25"/>
      <c r="Q10034" s="25"/>
      <c r="R10034" s="25"/>
      <c r="S10034" s="25"/>
      <c r="T10034" s="141"/>
      <c r="U10034" s="28"/>
    </row>
    <row r="10035" ht="15.75" customHeight="1">
      <c r="P10035" s="25"/>
      <c r="Q10035" s="25"/>
      <c r="R10035" s="25"/>
      <c r="S10035" s="25"/>
      <c r="T10035" s="141"/>
      <c r="U10035" s="28"/>
    </row>
    <row r="10036" ht="15.75" customHeight="1">
      <c r="P10036" s="25"/>
      <c r="Q10036" s="25"/>
      <c r="R10036" s="25"/>
      <c r="S10036" s="25"/>
      <c r="T10036" s="141"/>
      <c r="U10036" s="28"/>
    </row>
    <row r="10037" ht="15.75" customHeight="1">
      <c r="P10037" s="25"/>
      <c r="Q10037" s="25"/>
      <c r="R10037" s="25"/>
      <c r="S10037" s="25"/>
      <c r="T10037" s="141"/>
      <c r="U10037" s="28"/>
    </row>
  </sheetData>
  <conditionalFormatting sqref="Q1:Q10037">
    <cfRule type="notContainsBlanks" dxfId="0" priority="1">
      <formula>LEN(TRIM(Q1))&gt;0</formula>
    </cfRule>
  </conditionalFormatting>
  <conditionalFormatting sqref="P1:P10037">
    <cfRule type="notContainsBlanks" dxfId="0" priority="2">
      <formula>LEN(TRIM(P1))&gt;0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20.25"/>
    <col customWidth="1" min="3" max="3" width="21.63"/>
    <col customWidth="1" min="4" max="4" width="16.13"/>
    <col customWidth="1" hidden="1" min="5" max="5" width="20.63"/>
    <col customWidth="1" hidden="1" min="6" max="6" width="10.13"/>
    <col customWidth="1" hidden="1" min="7" max="7" width="17.0"/>
    <col customWidth="1" hidden="1" min="8" max="8" width="10.0"/>
    <col customWidth="1" hidden="1" min="9" max="9" width="17.75"/>
    <col customWidth="1" hidden="1" min="10" max="10" width="11.75"/>
    <col customWidth="1" hidden="1" min="11" max="11" width="23.5"/>
    <col customWidth="1" hidden="1" min="12" max="12" width="13.88"/>
    <col customWidth="1" min="13" max="13" width="13.38"/>
    <col customWidth="1" min="14" max="14" width="13.25"/>
    <col customWidth="1" min="15" max="15" width="11.0"/>
    <col customWidth="1" min="16" max="16" width="9.0"/>
    <col customWidth="1" min="17" max="17" width="7.0"/>
    <col customWidth="1" min="18" max="19" width="11.88"/>
    <col customWidth="1" min="20" max="20" width="8.38"/>
    <col customWidth="1" min="21" max="21" width="7.63"/>
    <col customWidth="1" min="22" max="22" width="12.13"/>
    <col customWidth="1" min="23" max="23" width="8.75"/>
    <col customWidth="1" min="24" max="24" width="7.0"/>
    <col customWidth="1" min="25" max="25" width="7.13"/>
    <col customWidth="1" min="26" max="26" width="9.63"/>
    <col customWidth="1" min="27" max="27" width="8.38"/>
    <col customWidth="1" min="28" max="28" width="7.25"/>
    <col customWidth="1" min="29" max="29" width="7.13"/>
    <col customWidth="1" min="30" max="30" width="10.5"/>
    <col customWidth="1" min="31" max="31" width="7.75"/>
    <col customWidth="1" min="32" max="32" width="7.38"/>
    <col customWidth="1" min="33" max="33" width="7.5"/>
  </cols>
  <sheetData>
    <row r="1" ht="15.75" customHeight="1">
      <c r="A1" s="6">
        <f>TODAY()</f>
        <v>46265</v>
      </c>
      <c r="B1" s="4"/>
      <c r="C1" s="4"/>
      <c r="D1" s="4"/>
      <c r="E1" s="10" t="s">
        <v>15</v>
      </c>
      <c r="F1" s="7"/>
      <c r="G1" s="7"/>
      <c r="H1" s="11"/>
      <c r="I1" s="17" t="s">
        <v>15</v>
      </c>
      <c r="J1" s="7"/>
      <c r="K1" s="7"/>
      <c r="L1" s="11"/>
      <c r="M1" s="20"/>
      <c r="N1" s="17" t="s">
        <v>15</v>
      </c>
      <c r="O1" s="7"/>
      <c r="P1" s="7"/>
      <c r="Q1" s="11"/>
      <c r="R1" s="17" t="s">
        <v>15</v>
      </c>
      <c r="S1" s="7"/>
      <c r="T1" s="7"/>
      <c r="U1" s="11"/>
      <c r="V1" s="24" t="s">
        <v>15</v>
      </c>
      <c r="W1" s="7"/>
      <c r="X1" s="7"/>
      <c r="Y1" s="11"/>
      <c r="Z1" s="17" t="s">
        <v>15</v>
      </c>
      <c r="AA1" s="7"/>
      <c r="AB1" s="7"/>
      <c r="AC1" s="11"/>
      <c r="AD1" s="24" t="s">
        <v>15</v>
      </c>
      <c r="AE1" s="7"/>
      <c r="AF1" s="7"/>
      <c r="AG1" s="11"/>
    </row>
    <row r="2" ht="15.75" customHeight="1">
      <c r="A2" s="27" t="s">
        <v>30</v>
      </c>
      <c r="B2" s="27" t="s">
        <v>33</v>
      </c>
      <c r="C2" s="29" t="s">
        <v>36</v>
      </c>
      <c r="D2" s="27" t="s">
        <v>40</v>
      </c>
      <c r="E2" s="17" t="s">
        <v>41</v>
      </c>
      <c r="F2" s="7"/>
      <c r="G2" s="7"/>
      <c r="H2" s="11"/>
      <c r="I2" s="17" t="s">
        <v>42</v>
      </c>
      <c r="J2" s="7"/>
      <c r="K2" s="7"/>
      <c r="L2" s="11"/>
      <c r="M2" s="20"/>
      <c r="N2" s="17" t="s">
        <v>45</v>
      </c>
      <c r="O2" s="7"/>
      <c r="P2" s="7"/>
      <c r="Q2" s="11"/>
      <c r="R2" s="17" t="s">
        <v>50</v>
      </c>
      <c r="S2" s="7"/>
      <c r="T2" s="7"/>
      <c r="U2" s="11"/>
      <c r="V2" s="17" t="s">
        <v>51</v>
      </c>
      <c r="W2" s="7"/>
      <c r="X2" s="7"/>
      <c r="Y2" s="11"/>
      <c r="Z2" s="17" t="s">
        <v>52</v>
      </c>
      <c r="AA2" s="7"/>
      <c r="AB2" s="7"/>
      <c r="AC2" s="11"/>
      <c r="AD2" s="17" t="s">
        <v>53</v>
      </c>
      <c r="AE2" s="7"/>
      <c r="AF2" s="7"/>
      <c r="AG2" s="11"/>
    </row>
    <row r="3" ht="15.75" customHeight="1">
      <c r="A3" s="34"/>
      <c r="B3" s="34"/>
      <c r="C3" s="34"/>
      <c r="D3" s="34"/>
      <c r="E3" s="35" t="s">
        <v>59</v>
      </c>
      <c r="F3" s="37" t="s">
        <v>60</v>
      </c>
      <c r="G3" s="39" t="s">
        <v>61</v>
      </c>
      <c r="H3" s="41" t="s">
        <v>62</v>
      </c>
      <c r="I3" s="35" t="s">
        <v>59</v>
      </c>
      <c r="J3" s="42" t="s">
        <v>60</v>
      </c>
      <c r="K3" s="43" t="s">
        <v>61</v>
      </c>
      <c r="L3" s="44" t="s">
        <v>66</v>
      </c>
      <c r="M3" s="45" t="s">
        <v>30</v>
      </c>
      <c r="N3" s="35" t="s">
        <v>59</v>
      </c>
      <c r="O3" s="42" t="s">
        <v>60</v>
      </c>
      <c r="P3" s="39" t="s">
        <v>61</v>
      </c>
      <c r="Q3" s="44" t="s">
        <v>62</v>
      </c>
      <c r="R3" s="35" t="s">
        <v>59</v>
      </c>
      <c r="S3" s="42" t="s">
        <v>60</v>
      </c>
      <c r="T3" s="39" t="s">
        <v>61</v>
      </c>
      <c r="U3" s="47" t="s">
        <v>62</v>
      </c>
      <c r="V3" s="35" t="s">
        <v>59</v>
      </c>
      <c r="W3" s="42" t="s">
        <v>60</v>
      </c>
      <c r="X3" s="39" t="s">
        <v>61</v>
      </c>
      <c r="Y3" s="44" t="s">
        <v>62</v>
      </c>
      <c r="Z3" s="35" t="s">
        <v>74</v>
      </c>
      <c r="AA3" s="41" t="s">
        <v>75</v>
      </c>
      <c r="AB3" s="39" t="s">
        <v>61</v>
      </c>
      <c r="AC3" s="44" t="s">
        <v>62</v>
      </c>
      <c r="AD3" s="48" t="s">
        <v>59</v>
      </c>
      <c r="AE3" s="49" t="s">
        <v>60</v>
      </c>
      <c r="AF3" s="50" t="s">
        <v>61</v>
      </c>
      <c r="AG3" s="51" t="s">
        <v>62</v>
      </c>
    </row>
    <row r="4" ht="15.75" customHeight="1">
      <c r="A4" s="52" t="s">
        <v>79</v>
      </c>
      <c r="B4" s="53"/>
      <c r="C4" s="53"/>
      <c r="D4" s="54"/>
      <c r="E4" s="52" t="s">
        <v>80</v>
      </c>
      <c r="F4" s="55" t="s">
        <v>80</v>
      </c>
      <c r="G4" s="55" t="s">
        <v>80</v>
      </c>
      <c r="H4" s="56"/>
      <c r="I4" s="52" t="s">
        <v>80</v>
      </c>
      <c r="J4" s="55" t="s">
        <v>80</v>
      </c>
      <c r="K4" s="55" t="s">
        <v>80</v>
      </c>
      <c r="L4" s="57"/>
      <c r="M4" s="58"/>
      <c r="N4" s="52" t="s">
        <v>80</v>
      </c>
      <c r="O4" s="55" t="s">
        <v>80</v>
      </c>
      <c r="P4" s="55" t="s">
        <v>80</v>
      </c>
      <c r="Q4" s="57"/>
      <c r="R4" s="52" t="s">
        <v>80</v>
      </c>
      <c r="S4" s="55" t="s">
        <v>80</v>
      </c>
      <c r="T4" s="55" t="s">
        <v>80</v>
      </c>
      <c r="U4" s="56"/>
      <c r="V4" s="52" t="s">
        <v>80</v>
      </c>
      <c r="W4" s="55" t="s">
        <v>80</v>
      </c>
      <c r="X4" s="55" t="s">
        <v>80</v>
      </c>
      <c r="Y4" s="57"/>
      <c r="Z4" s="52" t="s">
        <v>80</v>
      </c>
      <c r="AA4" s="55" t="s">
        <v>80</v>
      </c>
      <c r="AB4" s="55" t="s">
        <v>80</v>
      </c>
      <c r="AC4" s="57"/>
      <c r="AD4" s="52" t="s">
        <v>80</v>
      </c>
      <c r="AE4" s="55" t="s">
        <v>80</v>
      </c>
      <c r="AF4" s="56" t="s">
        <v>80</v>
      </c>
      <c r="AG4" s="59" t="s">
        <v>80</v>
      </c>
    </row>
    <row r="5" ht="15.75" customHeight="1">
      <c r="A5" s="60" t="s">
        <v>96</v>
      </c>
      <c r="B5" s="61"/>
      <c r="C5" s="61"/>
      <c r="D5" s="62"/>
      <c r="E5" s="60" t="s">
        <v>80</v>
      </c>
      <c r="F5" s="63" t="s">
        <v>80</v>
      </c>
      <c r="G5" s="63" t="s">
        <v>80</v>
      </c>
      <c r="H5" s="64"/>
      <c r="I5" s="60" t="s">
        <v>80</v>
      </c>
      <c r="J5" s="63" t="s">
        <v>80</v>
      </c>
      <c r="K5" s="63" t="s">
        <v>80</v>
      </c>
      <c r="L5" s="65"/>
      <c r="M5" s="66"/>
      <c r="N5" s="60" t="s">
        <v>80</v>
      </c>
      <c r="O5" s="63" t="s">
        <v>80</v>
      </c>
      <c r="P5" s="63" t="s">
        <v>80</v>
      </c>
      <c r="Q5" s="65"/>
      <c r="R5" s="60" t="s">
        <v>80</v>
      </c>
      <c r="S5" s="63" t="s">
        <v>80</v>
      </c>
      <c r="T5" s="63" t="s">
        <v>80</v>
      </c>
      <c r="U5" s="64"/>
      <c r="V5" s="60" t="s">
        <v>80</v>
      </c>
      <c r="W5" s="63" t="s">
        <v>80</v>
      </c>
      <c r="X5" s="63" t="s">
        <v>80</v>
      </c>
      <c r="Y5" s="65"/>
      <c r="Z5" s="60" t="s">
        <v>80</v>
      </c>
      <c r="AA5" s="63" t="s">
        <v>80</v>
      </c>
      <c r="AB5" s="63" t="s">
        <v>80</v>
      </c>
      <c r="AC5" s="65"/>
      <c r="AD5" s="60" t="s">
        <v>80</v>
      </c>
      <c r="AE5" s="63" t="s">
        <v>80</v>
      </c>
      <c r="AF5" s="63" t="s">
        <v>80</v>
      </c>
      <c r="AG5" s="67" t="s">
        <v>80</v>
      </c>
    </row>
    <row r="6" ht="15.75" customHeight="1">
      <c r="A6" s="68" t="s">
        <v>113</v>
      </c>
      <c r="B6" s="69"/>
      <c r="C6" s="69"/>
      <c r="D6" s="70"/>
      <c r="E6" s="68"/>
      <c r="F6" s="71"/>
      <c r="G6" s="71"/>
      <c r="H6" s="72"/>
      <c r="I6" s="68"/>
      <c r="J6" s="71"/>
      <c r="K6" s="71"/>
      <c r="L6" s="73"/>
      <c r="M6" s="74"/>
      <c r="N6" s="68"/>
      <c r="O6" s="71"/>
      <c r="P6" s="71"/>
      <c r="Q6" s="72"/>
      <c r="R6" s="68"/>
      <c r="S6" s="71"/>
      <c r="T6" s="71"/>
      <c r="U6" s="71"/>
      <c r="V6" s="68"/>
      <c r="W6" s="71"/>
      <c r="X6" s="71"/>
      <c r="Y6" s="72"/>
      <c r="Z6" s="68"/>
      <c r="AA6" s="71"/>
      <c r="AB6" s="71"/>
      <c r="AC6" s="72"/>
      <c r="AD6" s="75"/>
      <c r="AE6" s="76"/>
      <c r="AF6" s="76"/>
      <c r="AG6" s="73"/>
    </row>
    <row r="7" ht="15.75" customHeight="1">
      <c r="A7" s="77" t="s">
        <v>126</v>
      </c>
      <c r="B7" s="78"/>
      <c r="C7" s="78"/>
      <c r="D7" s="79"/>
      <c r="E7" s="80" t="str">
        <f>IFERROR(VLOOKUP(CONCATENATE("Onda 1"," - ",A7),'Dist expedição'!P:S,3,0),"")</f>
        <v/>
      </c>
      <c r="F7" s="81" t="str">
        <f>IFERROR(VLOOKUP(E7,'Dist expedição'!$C:$E,2,0),"")</f>
        <v/>
      </c>
      <c r="G7" s="81" t="str">
        <f>IFERROR(VLOOKUP(E7,'Dist expedição'!$C:$F,4,0),"")</f>
        <v/>
      </c>
      <c r="H7" s="82" t="str">
        <f>IF(E7="", "", IF(ISNUMBER(MATCH(SUBSTITUTE(E7, "_AM1", ""), 'Resumo Mapa'!A:A, 0)), "✅", "❌"))</f>
        <v/>
      </c>
      <c r="I7" s="80" t="str">
        <f>IFERROR(VLOOKUP(CONCATENATE("Onda 2"," - ",A7),'Dist expedição'!P:S,3,0),"")</f>
        <v/>
      </c>
      <c r="J7" s="81" t="str">
        <f>IFERROR(VLOOKUP(I7,'Dist expedição'!$C:$E,2,0),"")</f>
        <v/>
      </c>
      <c r="K7" s="81" t="str">
        <f>IFERROR(VLOOKUP(I7,'Dist expedição'!$C:$F,4,0),"")</f>
        <v/>
      </c>
      <c r="L7" s="83" t="str">
        <f>IF(I7="", "", IF(ISNUMBER(MATCH(SUBSTITUTE(I7, "_AM1", ""), 'Resumo Mapa'!A:A, 0)), "✅", "❌"))</f>
        <v/>
      </c>
      <c r="M7" s="84" t="s">
        <v>126</v>
      </c>
      <c r="N7" s="85" t="str">
        <f>IFERROR(VLOOKUP(CONCATENATE("Onda 3"," - ",A7),'Dist expedição'!P:S,3,0),"")</f>
        <v>VM9_AM1</v>
      </c>
      <c r="O7" s="81" t="str">
        <f>IFERROR(VLOOKUP(N7,'Dist expedição'!$C:$E,2,0),"")</f>
        <v>AM1_52</v>
      </c>
      <c r="P7" s="81" t="str">
        <f>IFERROR(VLOOKUP(N7,'Dist expedição'!$C:$F,4,0),"")</f>
        <v>PARCEIRO SPOT SOLUCOES</v>
      </c>
      <c r="Q7" s="82" t="str">
        <f>IF(N7="", "", IF(ISNUMBER(MATCH(SUBSTITUTE(N7, "_AM1", ""), 'Resumo Mapa'!A:A, 0)), "✅", "❌"))</f>
        <v>✅</v>
      </c>
      <c r="R7" s="80" t="str">
        <f>IFERROR(VLOOKUP(CONCATENATE("Onda 4"," - ",A7),'Dist expedição'!P:S,3,0),"")</f>
        <v>VM8_AM1</v>
      </c>
      <c r="S7" s="81" t="str">
        <f>IFERROR(VLOOKUP(R7,'Dist expedição'!$C:$E,2,0),"")</f>
        <v>AM1_63</v>
      </c>
      <c r="T7" s="81" t="str">
        <f>IFERROR(VLOOKUP(R7,'Dist expedição'!$C:$F,4,0),"")</f>
        <v>PARCEIRO SPOT SOLUCOES</v>
      </c>
      <c r="U7" s="81" t="str">
        <f>IF(R7="", "", IF(ISNUMBER(MATCH(SUBSTITUTE(R7, "_AM1", ""), 'Resumo Mapa'!A:A, 0)), "✅", "❌"))</f>
        <v>✅</v>
      </c>
      <c r="V7" s="80" t="str">
        <f>IFERROR(VLOOKUP(CONCATENATE("Onda 5"," - ",A7),'Dist expedição'!P:S,3,0),"")</f>
        <v/>
      </c>
      <c r="W7" s="81" t="str">
        <f>IFERROR(VLOOKUP(V7,'Dist expedição'!$C:$E,2,0),"")</f>
        <v/>
      </c>
      <c r="X7" s="81" t="str">
        <f>IFERROR(VLOOKUP(V7,'Dist expedição'!$C:$F,4,0),"")</f>
        <v/>
      </c>
      <c r="Y7" s="82" t="str">
        <f>IF(V7="", "", IF(ISNUMBER(MATCH(SUBSTITUTE(V7, "_AM1", ""), 'Resumo Mapa'!A:A, 0)), "✅", "❌"))</f>
        <v/>
      </c>
      <c r="Z7" s="80" t="str">
        <f>IFERROR(VLOOKUP(CONCATENATE("Onda 6"," - ",A7),'Dist expedição'!P:S,3,0),"")</f>
        <v>VM10_AM1</v>
      </c>
      <c r="AA7" s="81" t="str">
        <f>IFERROR(VLOOKUP(Z7,'Dist expedição'!$C:$E,2,0),"")</f>
        <v>AM1_13</v>
      </c>
      <c r="AB7" s="81" t="str">
        <f>IFERROR(VLOOKUP(Z7,'Dist expedição'!$C:$F,4,0),"")</f>
        <v>PARCEIRO SPOT SOLUCOES</v>
      </c>
      <c r="AC7" s="82" t="str">
        <f>IF(Z7="", "", IF(ISNUMBER(MATCH(SUBSTITUTE(Z7, "_AM1", ""), 'Resumo Mapa'!A:A, 0)), "✅", "❌"))</f>
        <v>✅</v>
      </c>
      <c r="AD7" s="80" t="str">
        <f>IFERROR(VLOOKUP(CONCATENATE("Onda 7"," - ",A7),'Dist expedição'!P:S,3,0),"")</f>
        <v/>
      </c>
      <c r="AE7" s="81" t="str">
        <f>IFERROR(VLOOKUP(AD7,'Dist expedição'!$C:$E,2,0),"")</f>
        <v/>
      </c>
      <c r="AF7" s="81" t="str">
        <f>IFERROR(VLOOKUP(AD7,'Dist expedição'!$C:$F,4,0),"")</f>
        <v/>
      </c>
      <c r="AG7" s="82" t="str">
        <f>IF(AD7="", "", IF(ISNUMBER(MATCH(SUBSTITUTE(AD7, "_AM1", ""), 'Resumo Mapa'!A:A, 0)), "✅", "❌"))</f>
        <v/>
      </c>
    </row>
    <row r="8" ht="15.75" customHeight="1">
      <c r="A8" s="75" t="s">
        <v>190</v>
      </c>
      <c r="B8" s="88"/>
      <c r="C8" s="88"/>
      <c r="D8" s="89"/>
      <c r="E8" s="90" t="str">
        <f>IFERROR(VLOOKUP(CONCATENATE("Onda 1"," - ",A8),'Dist expedição'!P:S,3,0),"")</f>
        <v/>
      </c>
      <c r="F8" s="91" t="str">
        <f>IFERROR(VLOOKUP(E8,'Dist expedição'!$C:$E,2,0),"")</f>
        <v/>
      </c>
      <c r="G8" s="91" t="str">
        <f>IFERROR(VLOOKUP(E8,'Dist expedição'!$C:$F,4,0),"")</f>
        <v/>
      </c>
      <c r="H8" s="92" t="str">
        <f>IF(E8="", "", IF(ISNUMBER(MATCH(SUBSTITUTE(E8, "_AM1", ""), 'Resumo Mapa'!A:A, 0)), "✅", "❌"))</f>
        <v/>
      </c>
      <c r="I8" s="90" t="str">
        <f>IFERROR(VLOOKUP(CONCATENATE("Onda 2"," - ",A8),'Dist expedição'!P:S,3,0),"")</f>
        <v/>
      </c>
      <c r="J8" s="91" t="str">
        <f>IFERROR(VLOOKUP(I8,'Dist expedição'!$C:$E,2,0),"")</f>
        <v/>
      </c>
      <c r="K8" s="91" t="str">
        <f>IFERROR(VLOOKUP(I8,'Dist expedição'!$C:$F,4,0),"")</f>
        <v/>
      </c>
      <c r="L8" s="93" t="str">
        <f>IF(I8="", "", IF(ISNUMBER(MATCH(SUBSTITUTE(I8, "_AM1", ""), 'Resumo Mapa'!A:A, 0)), "✅", "❌"))</f>
        <v/>
      </c>
      <c r="M8" s="94" t="s">
        <v>190</v>
      </c>
      <c r="N8" s="95" t="str">
        <f>IFERROR(VLOOKUP(CONCATENATE("Onda 3"," - ",A8),'Dist expedição'!P:S,3,0),"")</f>
        <v>VN7_AM1</v>
      </c>
      <c r="O8" s="91" t="str">
        <f>IFERROR(VLOOKUP(N8,'Dist expedição'!$C:$E,2,0),"")</f>
        <v>AM1_64</v>
      </c>
      <c r="P8" s="91" t="str">
        <f>IFERROR(VLOOKUP(N8,'Dist expedição'!$C:$F,4,0),"")</f>
        <v>PARCEIRO SPOT SOLUCOES</v>
      </c>
      <c r="Q8" s="92" t="str">
        <f>IF(N8="", "", IF(ISNUMBER(MATCH(SUBSTITUTE(N8, "_AM1", ""), 'Resumo Mapa'!A:A, 0)), "✅", "❌"))</f>
        <v>✅</v>
      </c>
      <c r="R8" s="90" t="str">
        <f>IFERROR(VLOOKUP(CONCATENATE("Onda 4"," - ",A8),'Dist expedição'!P:S,3,0),"")</f>
        <v>VN1_AM1</v>
      </c>
      <c r="S8" s="91" t="str">
        <f>IFERROR(VLOOKUP(R8,'Dist expedição'!$C:$E,2,0),"")</f>
        <v>AM1_62</v>
      </c>
      <c r="T8" s="91" t="str">
        <f>IFERROR(VLOOKUP(R8,'Dist expedição'!$C:$F,4,0),"")</f>
        <v>PARCEIRO SPOT SOLUCOES</v>
      </c>
      <c r="U8" s="91" t="str">
        <f>IF(R8="", "", IF(ISNUMBER(MATCH(SUBSTITUTE(R8, "_AM1", ""), 'Resumo Mapa'!A:A, 0)), "✅", "❌"))</f>
        <v>✅</v>
      </c>
      <c r="V8" s="90" t="str">
        <f>IFERROR(VLOOKUP(CONCATENATE("Onda 5"," - ",A8),'Dist expedição'!P:S,3,0),"")</f>
        <v/>
      </c>
      <c r="W8" s="91" t="str">
        <f>IFERROR(VLOOKUP(V8,'Dist expedição'!$C:$E,2,0),"")</f>
        <v/>
      </c>
      <c r="X8" s="91" t="str">
        <f>IFERROR(VLOOKUP(V8,'Dist expedição'!$C:$F,4,0),"")</f>
        <v/>
      </c>
      <c r="Y8" s="92" t="str">
        <f>IF(V8="", "", IF(ISNUMBER(MATCH(SUBSTITUTE(V8, "_AM1", ""), 'Resumo Mapa'!A:A, 0)), "✅", "❌"))</f>
        <v/>
      </c>
      <c r="Z8" s="90" t="str">
        <f>IFERROR(VLOOKUP(CONCATENATE("Onda 6"," - ",A8),'Dist expedição'!P:S,3,0),"")</f>
        <v>VM11_AM1</v>
      </c>
      <c r="AA8" s="91" t="str">
        <f>IFERROR(VLOOKUP(Z8,'Dist expedição'!$C:$E,2,0),"")</f>
        <v>AM1_20</v>
      </c>
      <c r="AB8" s="91" t="str">
        <f>IFERROR(VLOOKUP(Z8,'Dist expedição'!$C:$F,4,0),"")</f>
        <v>PARCEIRO SPOT SOLUCOES</v>
      </c>
      <c r="AC8" s="92" t="str">
        <f>IF(Z8="", "", IF(ISNUMBER(MATCH(SUBSTITUTE(Z8, "_AM1", ""), 'Resumo Mapa'!A:A, 0)), "✅", "❌"))</f>
        <v>✅</v>
      </c>
      <c r="AD8" s="90" t="str">
        <f>IFERROR(VLOOKUP(CONCATENATE("Onda 7"," - ",A8),'Dist expedição'!P:S,3,0),"")</f>
        <v/>
      </c>
      <c r="AE8" s="91" t="str">
        <f>IFERROR(VLOOKUP(AD8,'Dist expedição'!$C:$E,2,0),"")</f>
        <v/>
      </c>
      <c r="AF8" s="91" t="str">
        <f>IFERROR(VLOOKUP(AD8,'Dist expedição'!$C:$F,4,0),"")</f>
        <v/>
      </c>
      <c r="AG8" s="92" t="str">
        <f>IF(AD8="", "", IF(ISNUMBER(MATCH(SUBSTITUTE(AD8, "_AM1", ""), 'Resumo Mapa'!A:A, 0)), "✅", "❌"))</f>
        <v/>
      </c>
    </row>
    <row r="9" ht="15.75" customHeight="1">
      <c r="A9" s="60" t="s">
        <v>267</v>
      </c>
      <c r="B9" s="61"/>
      <c r="C9" s="61"/>
      <c r="D9" s="62"/>
      <c r="E9" s="104" t="str">
        <f>IFERROR(VLOOKUP(CONCATENATE("Onda 1"," - ",A9),'Dist expedição'!P:S,3,0),"")</f>
        <v/>
      </c>
      <c r="F9" s="105" t="str">
        <f>IFERROR(VLOOKUP(E9,'Dist expedição'!$C:$E,2,0),"")</f>
        <v/>
      </c>
      <c r="G9" s="105" t="str">
        <f>IFERROR(VLOOKUP(E9,'Dist expedição'!$C:$F,4,0),"")</f>
        <v/>
      </c>
      <c r="H9" s="106" t="str">
        <f>IF(E9="", "", IF(ISNUMBER(MATCH(SUBSTITUTE(E9, "_AM1", ""), 'Resumo Mapa'!A:A, 0)), "✅", "❌"))</f>
        <v/>
      </c>
      <c r="I9" s="104" t="str">
        <f>IFERROR(VLOOKUP(CONCATENATE("Onda 2"," - ",A9),'Dist expedição'!P:S,3,0),"")</f>
        <v/>
      </c>
      <c r="J9" s="105" t="str">
        <f>IFERROR(VLOOKUP(I9,'Dist expedição'!$C:$E,2,0),"")</f>
        <v/>
      </c>
      <c r="K9" s="105" t="str">
        <f>IFERROR(VLOOKUP(I9,'Dist expedição'!$C:$F,4,0),"")</f>
        <v/>
      </c>
      <c r="L9" s="107" t="str">
        <f>IF(I9="", "", IF(ISNUMBER(MATCH(SUBSTITUTE(I9, "_AM1", ""), 'Resumo Mapa'!A:A, 0)), "✅", "❌"))</f>
        <v/>
      </c>
      <c r="M9" s="66" t="s">
        <v>267</v>
      </c>
      <c r="N9" s="108" t="str">
        <f>IFERROR(VLOOKUP(CONCATENATE("Onda 3"," - ",A9),'Dist expedição'!P:S,3,0),"")</f>
        <v/>
      </c>
      <c r="O9" s="105" t="str">
        <f>IFERROR(VLOOKUP(N9,'Dist expedição'!$C:$E,2,0),"")</f>
        <v/>
      </c>
      <c r="P9" s="105" t="str">
        <f>IFERROR(VLOOKUP(N9,'Dist expedição'!$C:$F,4,0),"")</f>
        <v/>
      </c>
      <c r="Q9" s="106" t="str">
        <f>IF(N9="", "", IF(ISNUMBER(MATCH(SUBSTITUTE(N9, "_AM1", ""), 'Resumo Mapa'!A:A, 0)), "✅", "❌"))</f>
        <v/>
      </c>
      <c r="R9" s="104" t="str">
        <f>IFERROR(VLOOKUP(CONCATENATE("Onda 4"," - ",A9),'Dist expedição'!P:S,3,0),"")</f>
        <v/>
      </c>
      <c r="S9" s="105" t="str">
        <f>IFERROR(VLOOKUP(R9,'Dist expedição'!$C:$E,2,0),"")</f>
        <v/>
      </c>
      <c r="T9" s="105" t="str">
        <f>IFERROR(VLOOKUP(R9,'Dist expedição'!$C:$F,4,0),"")</f>
        <v/>
      </c>
      <c r="U9" s="105" t="str">
        <f>IF(R9="", "", IF(ISNUMBER(MATCH(SUBSTITUTE(R9, "_AM1", ""), 'Resumo Mapa'!A:A, 0)), "✅", "❌"))</f>
        <v/>
      </c>
      <c r="V9" s="104" t="str">
        <f>IFERROR(VLOOKUP(CONCATENATE("Onda 5"," - ",A9),'Dist expedição'!P:S,3,0),"")</f>
        <v/>
      </c>
      <c r="W9" s="105" t="str">
        <f>IFERROR(VLOOKUP(V9,'Dist expedição'!$C:$E,2,0),"")</f>
        <v/>
      </c>
      <c r="X9" s="105" t="str">
        <f>IFERROR(VLOOKUP(V9,'Dist expedição'!$C:$F,4,0),"")</f>
        <v/>
      </c>
      <c r="Y9" s="106" t="str">
        <f>IF(V9="", "", IF(ISNUMBER(MATCH(SUBSTITUTE(V9, "_AM1", ""), 'Resumo Mapa'!A:A, 0)), "✅", "❌"))</f>
        <v/>
      </c>
      <c r="Z9" s="104" t="str">
        <f>IFERROR(VLOOKUP(CONCATENATE("Onda 6"," - ",A9),'Dist expedição'!P:S,3,0),"")</f>
        <v/>
      </c>
      <c r="AA9" s="105" t="str">
        <f>IFERROR(VLOOKUP(Z9,'Dist expedição'!$C:$E,2,0),"")</f>
        <v/>
      </c>
      <c r="AB9" s="105" t="str">
        <f>IFERROR(VLOOKUP(Z9,'Dist expedição'!$C:$F,4,0),"")</f>
        <v/>
      </c>
      <c r="AC9" s="106" t="str">
        <f>IF(Z9="", "", IF(ISNUMBER(MATCH(SUBSTITUTE(Z9, "_AM1", ""), 'Resumo Mapa'!A:A, 0)), "✅", "❌"))</f>
        <v/>
      </c>
      <c r="AD9" s="104" t="str">
        <f>IFERROR(VLOOKUP(CONCATENATE("Onda 7"," - ",A9),'Dist expedição'!P:S,3,0),"")</f>
        <v/>
      </c>
      <c r="AE9" s="105" t="str">
        <f>IFERROR(VLOOKUP(AD9,'Dist expedição'!$C:$E,2,0),"")</f>
        <v/>
      </c>
      <c r="AF9" s="105" t="str">
        <f>IFERROR(VLOOKUP(AD9,'Dist expedição'!$C:$F,4,0),"")</f>
        <v/>
      </c>
      <c r="AG9" s="106" t="str">
        <f>IF(AD9="", "", IF(ISNUMBER(MATCH(SUBSTITUTE(AD9, "_AM1", ""), 'Resumo Mapa'!A:A, 0)), "✅", "❌"))</f>
        <v/>
      </c>
    </row>
    <row r="10" ht="15.75" customHeight="1">
      <c r="A10" s="52" t="s">
        <v>335</v>
      </c>
      <c r="B10" s="53"/>
      <c r="C10" s="53"/>
      <c r="D10" s="54"/>
      <c r="E10" s="123" t="str">
        <f>IFERROR(VLOOKUP(CONCATENATE("Onda 1"," - ",A10),'Dist expedição'!P:S,3,0),"")</f>
        <v/>
      </c>
      <c r="F10" s="125" t="str">
        <f>IFERROR(VLOOKUP(E10,'Dist expedição'!$C:$E,2,0),"")</f>
        <v/>
      </c>
      <c r="G10" s="125" t="str">
        <f>IFERROR(VLOOKUP(E10,'Dist expedição'!$C:$F,4,0),"")</f>
        <v/>
      </c>
      <c r="H10" s="126" t="str">
        <f>IF(E10="", "", IF(ISNUMBER(MATCH(SUBSTITUTE(E10, "_AM1", ""), 'Resumo Mapa'!A:A, 0)), "✅", "❌"))</f>
        <v/>
      </c>
      <c r="I10" s="123" t="str">
        <f>IFERROR(VLOOKUP(CONCATENATE("Onda 2"," - ",A10),'Dist expedição'!P:S,3,0),"")</f>
        <v/>
      </c>
      <c r="J10" s="125" t="str">
        <f>IFERROR(VLOOKUP(I10,'Dist expedição'!$C:$E,2,0),"")</f>
        <v/>
      </c>
      <c r="K10" s="125" t="str">
        <f>IFERROR(VLOOKUP(I10,'Dist expedição'!$C:$F,4,0),"")</f>
        <v/>
      </c>
      <c r="L10" s="127" t="str">
        <f>IF(I10="", "", IF(ISNUMBER(MATCH(SUBSTITUTE(I10, "_AM1", ""), 'Resumo Mapa'!A:A, 0)), "✅", "❌"))</f>
        <v/>
      </c>
      <c r="M10" s="58" t="s">
        <v>335</v>
      </c>
      <c r="N10" s="129" t="str">
        <f>IFERROR(VLOOKUP(CONCATENATE("Onda 3"," - ",A10),'Dist expedição'!P:S,3,0),"")</f>
        <v/>
      </c>
      <c r="O10" s="125" t="str">
        <f>IFERROR(VLOOKUP(N10,'Dist expedição'!$C:$E,2,0),"")</f>
        <v/>
      </c>
      <c r="P10" s="125" t="str">
        <f>IFERROR(VLOOKUP(N10,'Dist expedição'!$C:$F,4,0),"")</f>
        <v/>
      </c>
      <c r="Q10" s="126" t="str">
        <f>IF(N10="", "", IF(ISNUMBER(MATCH(SUBSTITUTE(N10, "_AM1", ""), 'Resumo Mapa'!A:A, 0)), "✅", "❌"))</f>
        <v/>
      </c>
      <c r="R10" s="123" t="str">
        <f>IFERROR(VLOOKUP(CONCATENATE("Onda 4"," - ",A10),'Dist expedição'!P:S,3,0),"")</f>
        <v/>
      </c>
      <c r="S10" s="125" t="str">
        <f>IFERROR(VLOOKUP(R10,'Dist expedição'!$C:$E,2,0),"")</f>
        <v/>
      </c>
      <c r="T10" s="125" t="str">
        <f>IFERROR(VLOOKUP(R10,'Dist expedição'!$C:$F,4,0),"")</f>
        <v/>
      </c>
      <c r="U10" s="125" t="str">
        <f>IF(R10="", "", IF(ISNUMBER(MATCH(SUBSTITUTE(R10, "_AM1", ""), 'Resumo Mapa'!A:A, 0)), "✅", "❌"))</f>
        <v/>
      </c>
      <c r="V10" s="123" t="str">
        <f>IFERROR(VLOOKUP(CONCATENATE("Onda 5"," - ",A10),'Dist expedição'!P:S,3,0),"")</f>
        <v/>
      </c>
      <c r="W10" s="125" t="str">
        <f>IFERROR(VLOOKUP(V10,'Dist expedição'!$C:$E,2,0),"")</f>
        <v/>
      </c>
      <c r="X10" s="125" t="str">
        <f>IFERROR(VLOOKUP(V10,'Dist expedição'!$C:$F,4,0),"")</f>
        <v/>
      </c>
      <c r="Y10" s="126" t="str">
        <f>IF(V10="", "", IF(ISNUMBER(MATCH(SUBSTITUTE(V10, "_AM1", ""), 'Resumo Mapa'!A:A, 0)), "✅", "❌"))</f>
        <v/>
      </c>
      <c r="Z10" s="123" t="str">
        <f>IFERROR(VLOOKUP(CONCATENATE("Onda 6"," - ",A10),'Dist expedição'!P:S,3,0),"")</f>
        <v/>
      </c>
      <c r="AA10" s="125" t="str">
        <f>IFERROR(VLOOKUP(Z10,'Dist expedição'!$C:$E,2,0),"")</f>
        <v/>
      </c>
      <c r="AB10" s="125" t="str">
        <f>IFERROR(VLOOKUP(Z10,'Dist expedição'!$C:$F,4,0),"")</f>
        <v/>
      </c>
      <c r="AC10" s="126" t="str">
        <f>IF(Z10="", "", IF(ISNUMBER(MATCH(SUBSTITUTE(Z10, "_AM1", ""), 'Resumo Mapa'!A:A, 0)), "✅", "❌"))</f>
        <v/>
      </c>
      <c r="AD10" s="123" t="str">
        <f>IFERROR(VLOOKUP(CONCATENATE("Onda 7"," - ",A10),'Dist expedição'!P:S,3,0),"")</f>
        <v/>
      </c>
      <c r="AE10" s="125" t="str">
        <f>IFERROR(VLOOKUP(AD10,'Dist expedição'!$C:$E,2,0),"")</f>
        <v/>
      </c>
      <c r="AF10" s="125" t="str">
        <f>IFERROR(VLOOKUP(AD10,'Dist expedição'!$C:$F,4,0),"")</f>
        <v/>
      </c>
      <c r="AG10" s="126" t="str">
        <f>IF(AD10="", "", IF(ISNUMBER(MATCH(SUBSTITUTE(AD10, "_AM1", ""), 'Resumo Mapa'!A:A, 0)), "✅", "❌"))</f>
        <v/>
      </c>
    </row>
    <row r="11" ht="15.75" customHeight="1">
      <c r="A11" s="60" t="s">
        <v>391</v>
      </c>
      <c r="B11" s="61"/>
      <c r="C11" s="61"/>
      <c r="D11" s="62"/>
      <c r="E11" s="104" t="str">
        <f>IFERROR(VLOOKUP(CONCATENATE("Onda 1"," - ",A11),'Dist expedição'!P:S,3,0),"")</f>
        <v/>
      </c>
      <c r="F11" s="105" t="str">
        <f>IFERROR(VLOOKUP(E11,'Dist expedição'!$C:$E,2,0),"")</f>
        <v/>
      </c>
      <c r="G11" s="105" t="str">
        <f>IFERROR(VLOOKUP(E11,'Dist expedição'!$C:$F,4,0),"")</f>
        <v/>
      </c>
      <c r="H11" s="106" t="str">
        <f>IF(E11="", "", IF(ISNUMBER(MATCH(SUBSTITUTE(E11, "_AM1", ""), 'Resumo Mapa'!A:A, 0)), "✅", "❌"))</f>
        <v/>
      </c>
      <c r="I11" s="104" t="str">
        <f>IFERROR(VLOOKUP(CONCATENATE("Onda 2"," - ",A11),'Dist expedição'!P:S,3,0),"")</f>
        <v/>
      </c>
      <c r="J11" s="105" t="str">
        <f>IFERROR(VLOOKUP(I11,'Dist expedição'!$C:$E,2,0),"")</f>
        <v/>
      </c>
      <c r="K11" s="105" t="str">
        <f>IFERROR(VLOOKUP(I11,'Dist expedição'!$C:$F,4,0),"")</f>
        <v/>
      </c>
      <c r="L11" s="107" t="str">
        <f>IF(I11="", "", IF(ISNUMBER(MATCH(SUBSTITUTE(I11, "_AM1", ""), 'Resumo Mapa'!A:A, 0)), "✅", "❌"))</f>
        <v/>
      </c>
      <c r="M11" s="66" t="s">
        <v>391</v>
      </c>
      <c r="N11" s="108" t="str">
        <f>IFERROR(VLOOKUP(CONCATENATE("Onda 3"," - ",A11),'Dist expedição'!P:S,3,0),"")</f>
        <v/>
      </c>
      <c r="O11" s="105" t="str">
        <f>IFERROR(VLOOKUP(N11,'Dist expedição'!$C:$E,2,0),"")</f>
        <v/>
      </c>
      <c r="P11" s="105" t="str">
        <f>IFERROR(VLOOKUP(N11,'Dist expedição'!$C:$F,4,0),"")</f>
        <v/>
      </c>
      <c r="Q11" s="106" t="str">
        <f>IF(N11="", "", IF(ISNUMBER(MATCH(SUBSTITUTE(N11, "_AM1", ""), 'Resumo Mapa'!A:A, 0)), "✅", "❌"))</f>
        <v/>
      </c>
      <c r="R11" s="104" t="str">
        <f>IFERROR(VLOOKUP(CONCATENATE("Onda 4"," - ",A11),'Dist expedição'!P:S,3,0),"")</f>
        <v/>
      </c>
      <c r="S11" s="105" t="str">
        <f>IFERROR(VLOOKUP(R11,'Dist expedição'!$C:$E,2,0),"")</f>
        <v/>
      </c>
      <c r="T11" s="105" t="str">
        <f>IFERROR(VLOOKUP(R11,'Dist expedição'!$C:$F,4,0),"")</f>
        <v/>
      </c>
      <c r="U11" s="105" t="str">
        <f>IF(R11="", "", IF(ISNUMBER(MATCH(SUBSTITUTE(R11, "_AM1", ""), 'Resumo Mapa'!A:A, 0)), "✅", "❌"))</f>
        <v/>
      </c>
      <c r="V11" s="104" t="str">
        <f>IFERROR(VLOOKUP(CONCATENATE("Onda 5"," - ",A11),'Dist expedição'!P:S,3,0),"")</f>
        <v/>
      </c>
      <c r="W11" s="105" t="str">
        <f>IFERROR(VLOOKUP(V11,'Dist expedição'!$C:$E,2,0),"")</f>
        <v/>
      </c>
      <c r="X11" s="105" t="str">
        <f>IFERROR(VLOOKUP(V11,'Dist expedição'!$C:$F,4,0),"")</f>
        <v/>
      </c>
      <c r="Y11" s="106" t="str">
        <f>IF(V11="", "", IF(ISNUMBER(MATCH(SUBSTITUTE(V11, "_AM1", ""), 'Resumo Mapa'!A:A, 0)), "✅", "❌"))</f>
        <v/>
      </c>
      <c r="Z11" s="104" t="str">
        <f>IFERROR(VLOOKUP(CONCATENATE("Onda 6"," - ",A11),'Dist expedição'!P:S,3,0),"")</f>
        <v/>
      </c>
      <c r="AA11" s="105" t="str">
        <f>IFERROR(VLOOKUP(Z11,'Dist expedição'!$C:$E,2,0),"")</f>
        <v/>
      </c>
      <c r="AB11" s="105" t="str">
        <f>IFERROR(VLOOKUP(Z11,'Dist expedição'!$C:$F,4,0),"")</f>
        <v/>
      </c>
      <c r="AC11" s="106" t="str">
        <f>IF(Z11="", "", IF(ISNUMBER(MATCH(SUBSTITUTE(Z11, "_AM1", ""), 'Resumo Mapa'!A:A, 0)), "✅", "❌"))</f>
        <v/>
      </c>
      <c r="AD11" s="104" t="str">
        <f>IFERROR(VLOOKUP(CONCATENATE("Onda 7"," - ",A11),'Dist expedição'!P:S,3,0),"")</f>
        <v/>
      </c>
      <c r="AE11" s="105" t="str">
        <f>IFERROR(VLOOKUP(AD11,'Dist expedição'!$C:$E,2,0),"")</f>
        <v/>
      </c>
      <c r="AF11" s="105" t="str">
        <f>IFERROR(VLOOKUP(AD11,'Dist expedição'!$C:$F,4,0),"")</f>
        <v/>
      </c>
      <c r="AG11" s="106" t="str">
        <f>IF(AD11="", "", IF(ISNUMBER(MATCH(SUBSTITUTE(AD11, "_AM1", ""), 'Resumo Mapa'!A:A, 0)), "✅", "❌"))</f>
        <v/>
      </c>
    </row>
    <row r="12" ht="15.75" customHeight="1">
      <c r="A12" s="52" t="s">
        <v>410</v>
      </c>
      <c r="B12" s="53"/>
      <c r="C12" s="53"/>
      <c r="D12" s="54"/>
      <c r="E12" s="123" t="str">
        <f>IFERROR(VLOOKUP(CONCATENATE("Onda 1"," - ",A12),'Dist expedição'!P:S,3,0),"")</f>
        <v/>
      </c>
      <c r="F12" s="125" t="str">
        <f>IFERROR(VLOOKUP(E12,'Dist expedição'!$C:$E,2,0),"")</f>
        <v/>
      </c>
      <c r="G12" s="125" t="str">
        <f>IFERROR(VLOOKUP(E12,'Dist expedição'!$C:$F,4,0),"")</f>
        <v/>
      </c>
      <c r="H12" s="126" t="str">
        <f>IF(E12="", "", IF(ISNUMBER(MATCH(SUBSTITUTE(E12, "_AM1", ""), 'Resumo Mapa'!A:A, 0)), "✅", "❌"))</f>
        <v/>
      </c>
      <c r="I12" s="123" t="str">
        <f>IFERROR(VLOOKUP(CONCATENATE("Onda 2"," - ",A12),'Dist expedição'!P:S,3,0),"")</f>
        <v/>
      </c>
      <c r="J12" s="125" t="str">
        <f>IFERROR(VLOOKUP(I12,'Dist expedição'!$C:$E,2,0),"")</f>
        <v/>
      </c>
      <c r="K12" s="125" t="str">
        <f>IFERROR(VLOOKUP(I12,'Dist expedição'!$C:$F,4,0),"")</f>
        <v/>
      </c>
      <c r="L12" s="127" t="str">
        <f>IF(I12="", "", IF(ISNUMBER(MATCH(SUBSTITUTE(I12, "_AM1", ""), 'Resumo Mapa'!A:A, 0)), "✅", "❌"))</f>
        <v/>
      </c>
      <c r="M12" s="58" t="s">
        <v>410</v>
      </c>
      <c r="N12" s="129" t="str">
        <f>IFERROR(VLOOKUP(CONCATENATE("Onda 3"," - ",A12),'Dist expedição'!P:S,3,0),"")</f>
        <v/>
      </c>
      <c r="O12" s="125" t="str">
        <f>IFERROR(VLOOKUP(N12,'Dist expedição'!$C:$E,2,0),"")</f>
        <v/>
      </c>
      <c r="P12" s="125" t="str">
        <f>IFERROR(VLOOKUP(N12,'Dist expedição'!$C:$F,4,0),"")</f>
        <v/>
      </c>
      <c r="Q12" s="126" t="str">
        <f>IF(N12="", "", IF(ISNUMBER(MATCH(SUBSTITUTE(N12, "_AM1", ""), 'Resumo Mapa'!A:A, 0)), "✅", "❌"))</f>
        <v/>
      </c>
      <c r="R12" s="123" t="str">
        <f>IFERROR(VLOOKUP(CONCATENATE("Onda 4"," - ",A12),'Dist expedição'!P:S,3,0),"")</f>
        <v/>
      </c>
      <c r="S12" s="125" t="str">
        <f>IFERROR(VLOOKUP(R12,'Dist expedição'!$C:$E,2,0),"")</f>
        <v/>
      </c>
      <c r="T12" s="125" t="str">
        <f>IFERROR(VLOOKUP(R12,'Dist expedição'!$C:$F,4,0),"")</f>
        <v/>
      </c>
      <c r="U12" s="125" t="str">
        <f>IF(R12="", "", IF(ISNUMBER(MATCH(SUBSTITUTE(R12, "_AM1", ""), 'Resumo Mapa'!A:A, 0)), "✅", "❌"))</f>
        <v/>
      </c>
      <c r="V12" s="123" t="str">
        <f>IFERROR(VLOOKUP(CONCATENATE("Onda 5"," - ",A12),'Dist expedição'!P:S,3,0),"")</f>
        <v/>
      </c>
      <c r="W12" s="125" t="str">
        <f>IFERROR(VLOOKUP(V12,'Dist expedição'!$C:$E,2,0),"")</f>
        <v/>
      </c>
      <c r="X12" s="125" t="str">
        <f>IFERROR(VLOOKUP(V12,'Dist expedição'!$C:$F,4,0),"")</f>
        <v/>
      </c>
      <c r="Y12" s="126" t="str">
        <f>IF(V12="", "", IF(ISNUMBER(MATCH(SUBSTITUTE(V12, "_AM1", ""), 'Resumo Mapa'!A:A, 0)), "✅", "❌"))</f>
        <v/>
      </c>
      <c r="Z12" s="123" t="str">
        <f>IFERROR(VLOOKUP(CONCATENATE("Onda 6"," - ",A12),'Dist expedição'!P:S,3,0),"")</f>
        <v/>
      </c>
      <c r="AA12" s="125" t="str">
        <f>IFERROR(VLOOKUP(Z12,'Dist expedição'!$C:$E,2,0),"")</f>
        <v/>
      </c>
      <c r="AB12" s="125" t="str">
        <f>IFERROR(VLOOKUP(Z12,'Dist expedição'!$C:$F,4,0),"")</f>
        <v/>
      </c>
      <c r="AC12" s="126" t="str">
        <f>IF(Z12="", "", IF(ISNUMBER(MATCH(SUBSTITUTE(Z12, "_AM1", ""), 'Resumo Mapa'!A:A, 0)), "✅", "❌"))</f>
        <v/>
      </c>
      <c r="AD12" s="123" t="str">
        <f>IFERROR(VLOOKUP(CONCATENATE("Onda 7"," - ",A12),'Dist expedição'!P:S,3,0),"")</f>
        <v/>
      </c>
      <c r="AE12" s="125" t="str">
        <f>IFERROR(VLOOKUP(AD12,'Dist expedição'!$C:$E,2,0),"")</f>
        <v/>
      </c>
      <c r="AF12" s="125" t="str">
        <f>IFERROR(VLOOKUP(AD12,'Dist expedição'!$C:$F,4,0),"")</f>
        <v/>
      </c>
      <c r="AG12" s="126" t="str">
        <f>IF(AD12="", "", IF(ISNUMBER(MATCH(SUBSTITUTE(AD12, "_AM1", ""), 'Resumo Mapa'!A:A, 0)), "✅", "❌"))</f>
        <v/>
      </c>
    </row>
    <row r="13" ht="15.75" customHeight="1">
      <c r="A13" s="60" t="s">
        <v>411</v>
      </c>
      <c r="B13" s="61"/>
      <c r="C13" s="61"/>
      <c r="D13" s="62"/>
      <c r="E13" s="104" t="str">
        <f>IFERROR(VLOOKUP(CONCATENATE("Onda 1"," - ",A13),'Dist expedição'!P:S,3,0),"")</f>
        <v/>
      </c>
      <c r="F13" s="105" t="str">
        <f>IFERROR(VLOOKUP(E13,'Dist expedição'!$C:$E,2,0),"")</f>
        <v/>
      </c>
      <c r="G13" s="105" t="str">
        <f>IFERROR(VLOOKUP(E13,'Dist expedição'!$C:$F,4,0),"")</f>
        <v/>
      </c>
      <c r="H13" s="106" t="str">
        <f>IF(E13="", "", IF(ISNUMBER(MATCH(SUBSTITUTE(E13, "_AM1", ""), 'Resumo Mapa'!A:A, 0)), "✅", "❌"))</f>
        <v/>
      </c>
      <c r="I13" s="104" t="str">
        <f>IFERROR(VLOOKUP(CONCATENATE("Onda 2"," - ",A13),'Dist expedição'!P:S,3,0),"")</f>
        <v/>
      </c>
      <c r="J13" s="105" t="str">
        <f>IFERROR(VLOOKUP(I13,'Dist expedição'!$C:$E,2,0),"")</f>
        <v/>
      </c>
      <c r="K13" s="105" t="str">
        <f>IFERROR(VLOOKUP(I13,'Dist expedição'!$C:$F,4,0),"")</f>
        <v/>
      </c>
      <c r="L13" s="107" t="str">
        <f>IF(I13="", "", IF(ISNUMBER(MATCH(SUBSTITUTE(I13, "_AM1", ""), 'Resumo Mapa'!A:A, 0)), "✅", "❌"))</f>
        <v/>
      </c>
      <c r="M13" s="66" t="s">
        <v>411</v>
      </c>
      <c r="N13" s="108" t="str">
        <f>IFERROR(VLOOKUP(CONCATENATE("Onda 3"," - ",A13),'Dist expedição'!P:S,3,0),"")</f>
        <v/>
      </c>
      <c r="O13" s="105" t="str">
        <f>IFERROR(VLOOKUP(N13,'Dist expedição'!$C:$E,2,0),"")</f>
        <v/>
      </c>
      <c r="P13" s="105" t="str">
        <f>IFERROR(VLOOKUP(N13,'Dist expedição'!$C:$F,4,0),"")</f>
        <v/>
      </c>
      <c r="Q13" s="106" t="str">
        <f>IF(N13="", "", IF(ISNUMBER(MATCH(SUBSTITUTE(N13, "_AM1", ""), 'Resumo Mapa'!A:A, 0)), "✅", "❌"))</f>
        <v/>
      </c>
      <c r="R13" s="104" t="str">
        <f>IFERROR(VLOOKUP(CONCATENATE("Onda 4"," - ",A13),'Dist expedição'!P:S,3,0),"")</f>
        <v/>
      </c>
      <c r="S13" s="105" t="str">
        <f>IFERROR(VLOOKUP(R13,'Dist expedição'!$C:$E,2,0),"")</f>
        <v/>
      </c>
      <c r="T13" s="105" t="str">
        <f>IFERROR(VLOOKUP(R13,'Dist expedição'!$C:$F,4,0),"")</f>
        <v/>
      </c>
      <c r="U13" s="105" t="str">
        <f>IF(R13="", "", IF(ISNUMBER(MATCH(SUBSTITUTE(R13, "_AM1", ""), 'Resumo Mapa'!A:A, 0)), "✅", "❌"))</f>
        <v/>
      </c>
      <c r="V13" s="104" t="str">
        <f>IFERROR(VLOOKUP(CONCATENATE("Onda 5"," - ",A13),'Dist expedição'!P:S,3,0),"")</f>
        <v/>
      </c>
      <c r="W13" s="105" t="str">
        <f>IFERROR(VLOOKUP(V13,'Dist expedição'!$C:$E,2,0),"")</f>
        <v/>
      </c>
      <c r="X13" s="105" t="str">
        <f>IFERROR(VLOOKUP(V13,'Dist expedição'!$C:$F,4,0),"")</f>
        <v/>
      </c>
      <c r="Y13" s="106" t="str">
        <f>IF(V13="", "", IF(ISNUMBER(MATCH(SUBSTITUTE(V13, "_AM1", ""), 'Resumo Mapa'!A:A, 0)), "✅", "❌"))</f>
        <v/>
      </c>
      <c r="Z13" s="104" t="str">
        <f>IFERROR(VLOOKUP(CONCATENATE("Onda 6"," - ",A13),'Dist expedição'!P:S,3,0),"")</f>
        <v/>
      </c>
      <c r="AA13" s="105" t="str">
        <f>IFERROR(VLOOKUP(Z13,'Dist expedição'!$C:$E,2,0),"")</f>
        <v/>
      </c>
      <c r="AB13" s="105" t="str">
        <f>IFERROR(VLOOKUP(Z13,'Dist expedição'!$C:$F,4,0),"")</f>
        <v/>
      </c>
      <c r="AC13" s="106" t="str">
        <f>IF(Z13="", "", IF(ISNUMBER(MATCH(SUBSTITUTE(Z13, "_AM1", ""), 'Resumo Mapa'!A:A, 0)), "✅", "❌"))</f>
        <v/>
      </c>
      <c r="AD13" s="104" t="str">
        <f>IFERROR(VLOOKUP(CONCATENATE("Onda 7"," - ",A13),'Dist expedição'!P:S,3,0),"")</f>
        <v/>
      </c>
      <c r="AE13" s="105" t="str">
        <f>IFERROR(VLOOKUP(AD13,'Dist expedição'!$C:$E,2,0),"")</f>
        <v/>
      </c>
      <c r="AF13" s="105" t="str">
        <f>IFERROR(VLOOKUP(AD13,'Dist expedição'!$C:$F,4,0),"")</f>
        <v/>
      </c>
      <c r="AG13" s="106" t="str">
        <f>IF(AD13="", "", IF(ISNUMBER(MATCH(SUBSTITUTE(AD13, "_AM1", ""), 'Resumo Mapa'!A:A, 0)), "✅", "❌"))</f>
        <v/>
      </c>
    </row>
    <row r="14" ht="15.75" customHeight="1">
      <c r="A14" s="52" t="s">
        <v>412</v>
      </c>
      <c r="B14" s="53"/>
      <c r="C14" s="53"/>
      <c r="D14" s="54"/>
      <c r="E14" s="123" t="str">
        <f>IFERROR(VLOOKUP(CONCATENATE("Onda 1"," - ",A14),'Dist expedição'!P:S,3,0),"")</f>
        <v/>
      </c>
      <c r="F14" s="125" t="str">
        <f>IFERROR(VLOOKUP(E14,'Dist expedição'!$C:$E,2,0),"")</f>
        <v/>
      </c>
      <c r="G14" s="125" t="str">
        <f>IFERROR(VLOOKUP(E14,'Dist expedição'!$C:$F,4,0),"")</f>
        <v/>
      </c>
      <c r="H14" s="126" t="str">
        <f>IF(E14="", "", IF(ISNUMBER(MATCH(SUBSTITUTE(E14, "_AM1", ""), 'Resumo Mapa'!A:A, 0)), "✅", "❌"))</f>
        <v/>
      </c>
      <c r="I14" s="123" t="str">
        <f>IFERROR(VLOOKUP(CONCATENATE("Onda 2"," - ",A14),'Dist expedição'!P:S,3,0),"")</f>
        <v/>
      </c>
      <c r="J14" s="125" t="str">
        <f>IFERROR(VLOOKUP(I14,'Dist expedição'!$C:$E,2,0),"")</f>
        <v/>
      </c>
      <c r="K14" s="125" t="str">
        <f>IFERROR(VLOOKUP(I14,'Dist expedição'!$C:$F,4,0),"")</f>
        <v/>
      </c>
      <c r="L14" s="127" t="str">
        <f>IF(I14="", "", IF(ISNUMBER(MATCH(SUBSTITUTE(I14, "_AM1", ""), 'Resumo Mapa'!A:A, 0)), "✅", "❌"))</f>
        <v/>
      </c>
      <c r="M14" s="58" t="s">
        <v>412</v>
      </c>
      <c r="N14" s="129" t="str">
        <f>IFERROR(VLOOKUP(CONCATENATE("Onda 3"," - ",A14),'Dist expedição'!P:S,3,0),"")</f>
        <v/>
      </c>
      <c r="O14" s="125" t="str">
        <f>IFERROR(VLOOKUP(N14,'Dist expedição'!$C:$E,2,0),"")</f>
        <v/>
      </c>
      <c r="P14" s="125" t="str">
        <f>IFERROR(VLOOKUP(N14,'Dist expedição'!$C:$F,4,0),"")</f>
        <v/>
      </c>
      <c r="Q14" s="126" t="str">
        <f>IF(N14="", "", IF(ISNUMBER(MATCH(SUBSTITUTE(N14, "_AM1", ""), 'Resumo Mapa'!A:A, 0)), "✅", "❌"))</f>
        <v/>
      </c>
      <c r="R14" s="123" t="str">
        <f>IFERROR(VLOOKUP(CONCATENATE("Onda 4"," - ",A14),'Dist expedição'!P:S,3,0),"")</f>
        <v/>
      </c>
      <c r="S14" s="125" t="str">
        <f>IFERROR(VLOOKUP(R14,'Dist expedição'!$C:$E,2,0),"")</f>
        <v/>
      </c>
      <c r="T14" s="125" t="str">
        <f>IFERROR(VLOOKUP(R14,'Dist expedição'!$C:$F,4,0),"")</f>
        <v/>
      </c>
      <c r="U14" s="125" t="str">
        <f>IF(R14="", "", IF(ISNUMBER(MATCH(SUBSTITUTE(R14, "_AM1", ""), 'Resumo Mapa'!A:A, 0)), "✅", "❌"))</f>
        <v/>
      </c>
      <c r="V14" s="123" t="str">
        <f>IFERROR(VLOOKUP(CONCATENATE("Onda 5"," - ",A14),'Dist expedição'!P:S,3,0),"")</f>
        <v/>
      </c>
      <c r="W14" s="125" t="str">
        <f>IFERROR(VLOOKUP(V14,'Dist expedição'!$C:$E,2,0),"")</f>
        <v/>
      </c>
      <c r="X14" s="125" t="str">
        <f>IFERROR(VLOOKUP(V14,'Dist expedição'!$C:$F,4,0),"")</f>
        <v/>
      </c>
      <c r="Y14" s="126" t="str">
        <f>IF(V14="", "", IF(ISNUMBER(MATCH(SUBSTITUTE(V14, "_AM1", ""), 'Resumo Mapa'!A:A, 0)), "✅", "❌"))</f>
        <v/>
      </c>
      <c r="Z14" s="123" t="str">
        <f>IFERROR(VLOOKUP(CONCATENATE("Onda 6"," - ",A14),'Dist expedição'!P:S,3,0),"")</f>
        <v/>
      </c>
      <c r="AA14" s="125" t="str">
        <f>IFERROR(VLOOKUP(Z14,'Dist expedição'!$C:$E,2,0),"")</f>
        <v/>
      </c>
      <c r="AB14" s="125" t="str">
        <f>IFERROR(VLOOKUP(Z14,'Dist expedição'!$C:$F,4,0),"")</f>
        <v/>
      </c>
      <c r="AC14" s="126" t="str">
        <f>IF(Z14="", "", IF(ISNUMBER(MATCH(SUBSTITUTE(Z14, "_AM1", ""), 'Resumo Mapa'!A:A, 0)), "✅", "❌"))</f>
        <v/>
      </c>
      <c r="AD14" s="123" t="str">
        <f>IFERROR(VLOOKUP(CONCATENATE("Onda 7"," - ",A14),'Dist expedição'!P:S,3,0),"")</f>
        <v/>
      </c>
      <c r="AE14" s="125" t="str">
        <f>IFERROR(VLOOKUP(AD14,'Dist expedição'!$C:$E,2,0),"")</f>
        <v/>
      </c>
      <c r="AF14" s="125" t="str">
        <f>IFERROR(VLOOKUP(AD14,'Dist expedição'!$C:$F,4,0),"")</f>
        <v/>
      </c>
      <c r="AG14" s="126" t="str">
        <f>IF(AD14="", "", IF(ISNUMBER(MATCH(SUBSTITUTE(AD14, "_AM1", ""), 'Resumo Mapa'!A:A, 0)), "✅", "❌"))</f>
        <v/>
      </c>
    </row>
    <row r="15" ht="15.75" customHeight="1">
      <c r="A15" s="60" t="s">
        <v>413</v>
      </c>
      <c r="B15" s="61"/>
      <c r="C15" s="61"/>
      <c r="D15" s="62"/>
      <c r="E15" s="104" t="str">
        <f>IFERROR(VLOOKUP(CONCATENATE("Onda 1"," - ",A15),'Dist expedição'!P:S,3,0),"")</f>
        <v/>
      </c>
      <c r="F15" s="105" t="str">
        <f>IFERROR(VLOOKUP(E15,'Dist expedição'!$C:$E,2,0),"")</f>
        <v/>
      </c>
      <c r="G15" s="105" t="str">
        <f>IFERROR(VLOOKUP(E15,'Dist expedição'!$C:$F,4,0),"")</f>
        <v/>
      </c>
      <c r="H15" s="106" t="str">
        <f>IF(E15="", "", IF(ISNUMBER(MATCH(SUBSTITUTE(E15, "_AM1", ""), 'Resumo Mapa'!A:A, 0)), "✅", "❌"))</f>
        <v/>
      </c>
      <c r="I15" s="104" t="str">
        <f>IFERROR(VLOOKUP(CONCATENATE("Onda 2"," - ",A15),'Dist expedição'!P:S,3,0),"")</f>
        <v/>
      </c>
      <c r="J15" s="105" t="str">
        <f>IFERROR(VLOOKUP(I15,'Dist expedição'!$C:$E,2,0),"")</f>
        <v/>
      </c>
      <c r="K15" s="105" t="str">
        <f>IFERROR(VLOOKUP(I15,'Dist expedição'!$C:$F,4,0),"")</f>
        <v/>
      </c>
      <c r="L15" s="107" t="str">
        <f>IF(I15="", "", IF(ISNUMBER(MATCH(SUBSTITUTE(I15, "_AM1", ""), 'Resumo Mapa'!A:A, 0)), "✅", "❌"))</f>
        <v/>
      </c>
      <c r="M15" s="66" t="s">
        <v>413</v>
      </c>
      <c r="N15" s="108" t="str">
        <f>IFERROR(VLOOKUP(CONCATENATE("Onda 3"," - ",A15),'Dist expedição'!P:S,3,0),"")</f>
        <v/>
      </c>
      <c r="O15" s="105" t="str">
        <f>IFERROR(VLOOKUP(N15,'Dist expedição'!$C:$E,2,0),"")</f>
        <v/>
      </c>
      <c r="P15" s="105" t="str">
        <f>IFERROR(VLOOKUP(N15,'Dist expedição'!$C:$F,4,0),"")</f>
        <v/>
      </c>
      <c r="Q15" s="106" t="str">
        <f>IF(N15="", "", IF(ISNUMBER(MATCH(SUBSTITUTE(N15, "_AM1", ""), 'Resumo Mapa'!A:A, 0)), "✅", "❌"))</f>
        <v/>
      </c>
      <c r="R15" s="104" t="str">
        <f>IFERROR(VLOOKUP(CONCATENATE("Onda 4"," - ",A15),'Dist expedição'!P:S,3,0),"")</f>
        <v/>
      </c>
      <c r="S15" s="105" t="str">
        <f>IFERROR(VLOOKUP(R15,'Dist expedição'!$C:$E,2,0),"")</f>
        <v/>
      </c>
      <c r="T15" s="105" t="str">
        <f>IFERROR(VLOOKUP(R15,'Dist expedição'!$C:$F,4,0),"")</f>
        <v/>
      </c>
      <c r="U15" s="105" t="str">
        <f>IF(R15="", "", IF(ISNUMBER(MATCH(SUBSTITUTE(R15, "_AM1", ""), 'Resumo Mapa'!A:A, 0)), "✅", "❌"))</f>
        <v/>
      </c>
      <c r="V15" s="104" t="str">
        <f>IFERROR(VLOOKUP(CONCATENATE("Onda 5"," - ",A15),'Dist expedição'!P:S,3,0),"")</f>
        <v/>
      </c>
      <c r="W15" s="105" t="str">
        <f>IFERROR(VLOOKUP(V15,'Dist expedição'!$C:$E,2,0),"")</f>
        <v/>
      </c>
      <c r="X15" s="105" t="str">
        <f>IFERROR(VLOOKUP(V15,'Dist expedição'!$C:$F,4,0),"")</f>
        <v/>
      </c>
      <c r="Y15" s="106" t="str">
        <f>IF(V15="", "", IF(ISNUMBER(MATCH(SUBSTITUTE(V15, "_AM1", ""), 'Resumo Mapa'!A:A, 0)), "✅", "❌"))</f>
        <v/>
      </c>
      <c r="Z15" s="104" t="str">
        <f>IFERROR(VLOOKUP(CONCATENATE("Onda 6"," - ",A15),'Dist expedição'!P:S,3,0),"")</f>
        <v/>
      </c>
      <c r="AA15" s="105" t="str">
        <f>IFERROR(VLOOKUP(Z15,'Dist expedição'!$C:$E,2,0),"")</f>
        <v/>
      </c>
      <c r="AB15" s="105" t="str">
        <f>IFERROR(VLOOKUP(Z15,'Dist expedição'!$C:$F,4,0),"")</f>
        <v/>
      </c>
      <c r="AC15" s="106" t="str">
        <f>IF(Z15="", "", IF(ISNUMBER(MATCH(SUBSTITUTE(Z15, "_AM1", ""), 'Resumo Mapa'!A:A, 0)), "✅", "❌"))</f>
        <v/>
      </c>
      <c r="AD15" s="104" t="str">
        <f>IFERROR(VLOOKUP(CONCATENATE("Onda 7"," - ",A15),'Dist expedição'!P:S,3,0),"")</f>
        <v/>
      </c>
      <c r="AE15" s="105" t="str">
        <f>IFERROR(VLOOKUP(AD15,'Dist expedição'!$C:$E,2,0),"")</f>
        <v/>
      </c>
      <c r="AF15" s="105" t="str">
        <f>IFERROR(VLOOKUP(AD15,'Dist expedição'!$C:$F,4,0),"")</f>
        <v/>
      </c>
      <c r="AG15" s="106" t="str">
        <f>IF(AD15="", "", IF(ISNUMBER(MATCH(SUBSTITUTE(AD15, "_AM1", ""), 'Resumo Mapa'!A:A, 0)), "✅", "❌"))</f>
        <v/>
      </c>
    </row>
    <row r="16" ht="15.75" customHeight="1">
      <c r="A16" s="52" t="s">
        <v>414</v>
      </c>
      <c r="B16" s="53"/>
      <c r="C16" s="53"/>
      <c r="D16" s="54"/>
      <c r="E16" s="123" t="str">
        <f>IFERROR(VLOOKUP(CONCATENATE("Onda 1"," - ",A16),'Dist expedição'!P:S,3,0),"")</f>
        <v/>
      </c>
      <c r="F16" s="125" t="str">
        <f>IFERROR(VLOOKUP(E16,'Dist expedição'!$C:$E,2,0),"")</f>
        <v/>
      </c>
      <c r="G16" s="125" t="str">
        <f>IFERROR(VLOOKUP(E16,'Dist expedição'!$C:$F,4,0),"")</f>
        <v/>
      </c>
      <c r="H16" s="126" t="str">
        <f>IF(E16="", "", IF(ISNUMBER(MATCH(SUBSTITUTE(E16, "_AM1", ""), 'Resumo Mapa'!A:A, 0)), "✅", "❌"))</f>
        <v/>
      </c>
      <c r="I16" s="123" t="str">
        <f>IFERROR(VLOOKUP(CONCATENATE("Onda 2"," - ",A16),'Dist expedição'!P:S,3,0),"")</f>
        <v/>
      </c>
      <c r="J16" s="125" t="str">
        <f>IFERROR(VLOOKUP(I16,'Dist expedição'!$C:$E,2,0),"")</f>
        <v/>
      </c>
      <c r="K16" s="125" t="str">
        <f>IFERROR(VLOOKUP(I16,'Dist expedição'!$C:$F,4,0),"")</f>
        <v/>
      </c>
      <c r="L16" s="127" t="str">
        <f>IF(I16="", "", IF(ISNUMBER(MATCH(SUBSTITUTE(I16, "_AM1", ""), 'Resumo Mapa'!A:A, 0)), "✅", "❌"))</f>
        <v/>
      </c>
      <c r="M16" s="58" t="s">
        <v>414</v>
      </c>
      <c r="N16" s="129" t="str">
        <f>IFERROR(VLOOKUP(CONCATENATE("Onda 3"," - ",A16),'Dist expedição'!P:S,3,0),"")</f>
        <v/>
      </c>
      <c r="O16" s="125" t="str">
        <f>IFERROR(VLOOKUP(N16,'Dist expedição'!$C:$E,2,0),"")</f>
        <v/>
      </c>
      <c r="P16" s="125" t="str">
        <f>IFERROR(VLOOKUP(N16,'Dist expedição'!$C:$F,4,0),"")</f>
        <v/>
      </c>
      <c r="Q16" s="126" t="str">
        <f>IF(N16="", "", IF(ISNUMBER(MATCH(SUBSTITUTE(N16, "_AM1", ""), 'Resumo Mapa'!A:A, 0)), "✅", "❌"))</f>
        <v/>
      </c>
      <c r="R16" s="123" t="str">
        <f>IFERROR(VLOOKUP(CONCATENATE("Onda 4"," - ",A16),'Dist expedição'!P:S,3,0),"")</f>
        <v/>
      </c>
      <c r="S16" s="125" t="str">
        <f>IFERROR(VLOOKUP(R16,'Dist expedição'!$C:$E,2,0),"")</f>
        <v/>
      </c>
      <c r="T16" s="125" t="str">
        <f>IFERROR(VLOOKUP(R16,'Dist expedição'!$C:$F,4,0),"")</f>
        <v/>
      </c>
      <c r="U16" s="125" t="str">
        <f>IF(R16="", "", IF(ISNUMBER(MATCH(SUBSTITUTE(R16, "_AM1", ""), 'Resumo Mapa'!A:A, 0)), "✅", "❌"))</f>
        <v/>
      </c>
      <c r="V16" s="123" t="str">
        <f>IFERROR(VLOOKUP(CONCATENATE("Onda 5"," - ",A16),'Dist expedição'!P:S,3,0),"")</f>
        <v/>
      </c>
      <c r="W16" s="125" t="str">
        <f>IFERROR(VLOOKUP(V16,'Dist expedição'!$C:$E,2,0),"")</f>
        <v/>
      </c>
      <c r="X16" s="125" t="str">
        <f>IFERROR(VLOOKUP(V16,'Dist expedição'!$C:$F,4,0),"")</f>
        <v/>
      </c>
      <c r="Y16" s="126" t="str">
        <f>IF(V16="", "", IF(ISNUMBER(MATCH(SUBSTITUTE(V16, "_AM1", ""), 'Resumo Mapa'!A:A, 0)), "✅", "❌"))</f>
        <v/>
      </c>
      <c r="Z16" s="123" t="str">
        <f>IFERROR(VLOOKUP(CONCATENATE("Onda 6"," - ",A16),'Dist expedição'!P:S,3,0),"")</f>
        <v/>
      </c>
      <c r="AA16" s="125" t="str">
        <f>IFERROR(VLOOKUP(Z16,'Dist expedição'!$C:$E,2,0),"")</f>
        <v/>
      </c>
      <c r="AB16" s="125" t="str">
        <f>IFERROR(VLOOKUP(Z16,'Dist expedição'!$C:$F,4,0),"")</f>
        <v/>
      </c>
      <c r="AC16" s="126" t="str">
        <f>IF(Z16="", "", IF(ISNUMBER(MATCH(SUBSTITUTE(Z16, "_AM1", ""), 'Resumo Mapa'!A:A, 0)), "✅", "❌"))</f>
        <v/>
      </c>
      <c r="AD16" s="123" t="str">
        <f>IFERROR(VLOOKUP(CONCATENATE("Onda 7"," - ",A16),'Dist expedição'!P:S,3,0),"")</f>
        <v/>
      </c>
      <c r="AE16" s="125" t="str">
        <f>IFERROR(VLOOKUP(AD16,'Dist expedição'!$C:$E,2,0),"")</f>
        <v/>
      </c>
      <c r="AF16" s="125" t="str">
        <f>IFERROR(VLOOKUP(AD16,'Dist expedição'!$C:$F,4,0),"")</f>
        <v/>
      </c>
      <c r="AG16" s="126" t="str">
        <f>IF(AD16="", "", IF(ISNUMBER(MATCH(SUBSTITUTE(AD16, "_AM1", ""), 'Resumo Mapa'!A:A, 0)), "✅", "❌"))</f>
        <v/>
      </c>
    </row>
    <row r="17" ht="15.75" customHeight="1">
      <c r="A17" s="60" t="s">
        <v>415</v>
      </c>
      <c r="B17" s="137" t="s">
        <v>416</v>
      </c>
      <c r="C17" s="137" t="s">
        <v>417</v>
      </c>
      <c r="D17" s="138" t="s">
        <v>418</v>
      </c>
      <c r="E17" s="104" t="str">
        <f>IFERROR(VLOOKUP(CONCATENATE("Onda 1"," - ",A17),'Dist expedição'!P:S,3,0),"")</f>
        <v/>
      </c>
      <c r="F17" s="105" t="str">
        <f>IFERROR(VLOOKUP(E17,'Dist expedição'!$C:$E,2,0),"")</f>
        <v/>
      </c>
      <c r="G17" s="105" t="str">
        <f>IFERROR(VLOOKUP(E17,'Dist expedição'!$C:$F,4,0),"")</f>
        <v/>
      </c>
      <c r="H17" s="106" t="str">
        <f>IF(E17="", "", IF(ISNUMBER(MATCH(SUBSTITUTE(E17, "_AM1", ""), 'Resumo Mapa'!A:A, 0)), "✅", "❌"))</f>
        <v/>
      </c>
      <c r="I17" s="104" t="str">
        <f>IFERROR(VLOOKUP(CONCATENATE("Onda 2"," - ",A17),'Dist expedição'!P:S,3,0),"")</f>
        <v/>
      </c>
      <c r="J17" s="105" t="str">
        <f>IFERROR(VLOOKUP(I17,'Dist expedição'!$C:$E,2,0),"")</f>
        <v/>
      </c>
      <c r="K17" s="105" t="str">
        <f>IFERROR(VLOOKUP(I17,'Dist expedição'!$C:$F,4,0),"")</f>
        <v/>
      </c>
      <c r="L17" s="107" t="str">
        <f>IF(I17="", "", IF(ISNUMBER(MATCH(SUBSTITUTE(I17, "_AM1", ""), 'Resumo Mapa'!A:A, 0)), "✅", "❌"))</f>
        <v/>
      </c>
      <c r="M17" s="66" t="s">
        <v>415</v>
      </c>
      <c r="N17" s="108" t="str">
        <f>IFERROR(VLOOKUP(CONCATENATE("Onda 3"," - ",A17),'Dist expedição'!P:S,3,0),"")</f>
        <v>Q11_AM1</v>
      </c>
      <c r="O17" s="105" t="str">
        <f>IFERROR(VLOOKUP(N17,'Dist expedição'!$C:$E,2,0),"")</f>
        <v>AM1_118</v>
      </c>
      <c r="P17" s="105" t="str">
        <f>IFERROR(VLOOKUP(N17,'Dist expedição'!$C:$F,4,0),"")</f>
        <v>PARCEIRO SPOT SOLUCOES</v>
      </c>
      <c r="Q17" s="106" t="str">
        <f>IF(N17="", "", IF(ISNUMBER(MATCH(SUBSTITUTE(N17, "_AM1", ""), 'Resumo Mapa'!A:A, 0)), "✅", "❌"))</f>
        <v>❌</v>
      </c>
      <c r="R17" s="104" t="str">
        <f>IFERROR(VLOOKUP(CONCATENATE("Onda 4"," - ",A17),'Dist expedição'!P:S,3,0),"")</f>
        <v>A7_AM1</v>
      </c>
      <c r="S17" s="105" t="str">
        <f>IFERROR(VLOOKUP(R17,'Dist expedição'!$C:$E,2,0),"")</f>
        <v>AM1_116</v>
      </c>
      <c r="T17" s="105" t="str">
        <f>IFERROR(VLOOKUP(R17,'Dist expedição'!$C:$F,4,0),"")</f>
        <v>PARCEIRO SPOT SOLUCOES</v>
      </c>
      <c r="U17" s="105" t="str">
        <f>IF(R17="", "", IF(ISNUMBER(MATCH(SUBSTITUTE(R17, "_AM1", ""), 'Resumo Mapa'!A:A, 0)), "✅", "❌"))</f>
        <v>❌</v>
      </c>
      <c r="V17" s="104" t="str">
        <f>IFERROR(VLOOKUP(CONCATENATE("Onda 5"," - ",A17),'Dist expedição'!P:S,3,0),"")</f>
        <v>D3_AM1</v>
      </c>
      <c r="W17" s="105" t="str">
        <f>IFERROR(VLOOKUP(V17,'Dist expedição'!$C:$E,2,0),"")</f>
        <v>AM1_51</v>
      </c>
      <c r="X17" s="105" t="str">
        <f>IFERROR(VLOOKUP(V17,'Dist expedição'!$C:$F,4,0),"")</f>
        <v>PARCEIRO SPOT SOLUCOES</v>
      </c>
      <c r="Y17" s="106" t="str">
        <f>IF(V17="", "", IF(ISNUMBER(MATCH(SUBSTITUTE(V17, "_AM1", ""), 'Resumo Mapa'!A:A, 0)), "✅", "❌"))</f>
        <v>❌</v>
      </c>
      <c r="Z17" s="104" t="str">
        <f>IFERROR(VLOOKUP(CONCATENATE("Onda 6"," - ",A17),'Dist expedição'!P:S,3,0),"")</f>
        <v>VN2_AM1</v>
      </c>
      <c r="AA17" s="105" t="str">
        <f>IFERROR(VLOOKUP(Z17,'Dist expedição'!$C:$E,2,0),"")</f>
        <v>AM1_96</v>
      </c>
      <c r="AB17" s="105" t="str">
        <f>IFERROR(VLOOKUP(Z17,'Dist expedição'!$C:$F,4,0),"")</f>
        <v>PARCEIRO SPOT SOLUCOES</v>
      </c>
      <c r="AC17" s="106" t="str">
        <f>IF(Z17="", "", IF(ISNUMBER(MATCH(SUBSTITUTE(Z17, "_AM1", ""), 'Resumo Mapa'!A:A, 0)), "✅", "❌"))</f>
        <v>✅</v>
      </c>
      <c r="AD17" s="104" t="str">
        <f>IFERROR(VLOOKUP(CONCATENATE("Onda 7"," - ",A17),'Dist expedição'!P:S,3,0),"")</f>
        <v/>
      </c>
      <c r="AE17" s="105" t="str">
        <f>IFERROR(VLOOKUP(AD17,'Dist expedição'!$C:$E,2,0),"")</f>
        <v/>
      </c>
      <c r="AF17" s="105" t="str">
        <f>IFERROR(VLOOKUP(AD17,'Dist expedição'!$C:$F,4,0),"")</f>
        <v/>
      </c>
      <c r="AG17" s="106" t="str">
        <f>IF(AD17="", "", IF(ISNUMBER(MATCH(SUBSTITUTE(AD17, "_AM1", ""), 'Resumo Mapa'!A:A, 0)), "✅", "❌"))</f>
        <v/>
      </c>
    </row>
    <row r="18" ht="15.75" customHeight="1">
      <c r="A18" s="52" t="s">
        <v>419</v>
      </c>
      <c r="B18" s="139" t="s">
        <v>420</v>
      </c>
      <c r="C18" s="139" t="s">
        <v>417</v>
      </c>
      <c r="D18" s="140" t="s">
        <v>418</v>
      </c>
      <c r="E18" s="123" t="str">
        <f>IFERROR(VLOOKUP(CONCATENATE("Onda 1"," - ",A18),'Dist expedição'!P:S,3,0),"")</f>
        <v/>
      </c>
      <c r="F18" s="125" t="str">
        <f>IFERROR(VLOOKUP(E18,'Dist expedição'!$C:$E,2,0),"")</f>
        <v/>
      </c>
      <c r="G18" s="125" t="str">
        <f>IFERROR(VLOOKUP(E18,'Dist expedição'!$C:$F,4,0),"")</f>
        <v/>
      </c>
      <c r="H18" s="126" t="str">
        <f>IF(E18="", "", IF(ISNUMBER(MATCH(SUBSTITUTE(E18, "_AM1", ""), 'Resumo Mapa'!A:A, 0)), "✅", "❌"))</f>
        <v/>
      </c>
      <c r="I18" s="123" t="str">
        <f>IFERROR(VLOOKUP(CONCATENATE("Onda 2"," - ",A18),'Dist expedição'!P:S,3,0),"")</f>
        <v/>
      </c>
      <c r="J18" s="125" t="str">
        <f>IFERROR(VLOOKUP(I18,'Dist expedição'!$C:$E,2,0),"")</f>
        <v/>
      </c>
      <c r="K18" s="125" t="str">
        <f>IFERROR(VLOOKUP(I18,'Dist expedição'!$C:$F,4,0),"")</f>
        <v/>
      </c>
      <c r="L18" s="127" t="str">
        <f>IF(I18="", "", IF(ISNUMBER(MATCH(SUBSTITUTE(I18, "_AM1", ""), 'Resumo Mapa'!A:A, 0)), "✅", "❌"))</f>
        <v/>
      </c>
      <c r="M18" s="58" t="s">
        <v>419</v>
      </c>
      <c r="N18" s="129" t="str">
        <f>IFERROR(VLOOKUP(CONCATENATE("Onda 3"," - ",A18),'Dist expedição'!P:S,3,0),"")</f>
        <v>P11_AM1</v>
      </c>
      <c r="O18" s="125" t="str">
        <f>IFERROR(VLOOKUP(N18,'Dist expedição'!$C:$E,2,0),"")</f>
        <v>AM1_56</v>
      </c>
      <c r="P18" s="125" t="str">
        <f>IFERROR(VLOOKUP(N18,'Dist expedição'!$C:$F,4,0),"")</f>
        <v>RodaCoop</v>
      </c>
      <c r="Q18" s="126" t="str">
        <f>IF(N18="", "", IF(ISNUMBER(MATCH(SUBSTITUTE(N18, "_AM1", ""), 'Resumo Mapa'!A:A, 0)), "✅", "❌"))</f>
        <v>❌</v>
      </c>
      <c r="R18" s="123" t="str">
        <f>IFERROR(VLOOKUP(CONCATENATE("Onda 4"," - ",A18),'Dist expedição'!P:S,3,0),"")</f>
        <v>Q3_AM1</v>
      </c>
      <c r="S18" s="125" t="str">
        <f>IFERROR(VLOOKUP(R18,'Dist expedição'!$C:$E,2,0),"")</f>
        <v>AM1_68</v>
      </c>
      <c r="T18" s="125" t="str">
        <f>IFERROR(VLOOKUP(R18,'Dist expedição'!$C:$F,4,0),"")</f>
        <v>Hawk Transportes</v>
      </c>
      <c r="U18" s="125" t="str">
        <f>IF(R18="", "", IF(ISNUMBER(MATCH(SUBSTITUTE(R18, "_AM1", ""), 'Resumo Mapa'!A:A, 0)), "✅", "❌"))</f>
        <v>❌</v>
      </c>
      <c r="V18" s="123" t="str">
        <f>IFERROR(VLOOKUP(CONCATENATE("Onda 5"," - ",A18),'Dist expedição'!P:S,3,0),"")</f>
        <v>D2_AM1</v>
      </c>
      <c r="W18" s="125" t="str">
        <f>IFERROR(VLOOKUP(V18,'Dist expedição'!$C:$E,2,0),"")</f>
        <v>AM1_47</v>
      </c>
      <c r="X18" s="125" t="str">
        <f>IFERROR(VLOOKUP(V18,'Dist expedição'!$C:$F,4,0),"")</f>
        <v>PARCEIRO SPOT SOLUCOES</v>
      </c>
      <c r="Y18" s="126" t="str">
        <f>IF(V18="", "", IF(ISNUMBER(MATCH(SUBSTITUTE(V18, "_AM1", ""), 'Resumo Mapa'!A:A, 0)), "✅", "❌"))</f>
        <v>❌</v>
      </c>
      <c r="Z18" s="123" t="str">
        <f>IFERROR(VLOOKUP(CONCATENATE("Onda 6"," - ",A18),'Dist expedição'!P:S,3,0),"")</f>
        <v>H1_AM1</v>
      </c>
      <c r="AA18" s="125" t="str">
        <f>IFERROR(VLOOKUP(Z18,'Dist expedição'!$C:$E,2,0),"")</f>
        <v>AM1_21</v>
      </c>
      <c r="AB18" s="125" t="str">
        <f>IFERROR(VLOOKUP(Z18,'Dist expedição'!$C:$F,4,0),"")</f>
        <v>Hawk Transportes</v>
      </c>
      <c r="AC18" s="126" t="str">
        <f>IF(Z18="", "", IF(ISNUMBER(MATCH(SUBSTITUTE(Z18, "_AM1", ""), 'Resumo Mapa'!A:A, 0)), "✅", "❌"))</f>
        <v>❌</v>
      </c>
      <c r="AD18" s="123" t="str">
        <f>IFERROR(VLOOKUP(CONCATENATE("Onda 7"," - ",A18),'Dist expedição'!P:S,3,0),"")</f>
        <v/>
      </c>
      <c r="AE18" s="125" t="str">
        <f>IFERROR(VLOOKUP(AD18,'Dist expedição'!$C:$E,2,0),"")</f>
        <v/>
      </c>
      <c r="AF18" s="125" t="str">
        <f>IFERROR(VLOOKUP(AD18,'Dist expedição'!$C:$F,4,0),"")</f>
        <v/>
      </c>
      <c r="AG18" s="126" t="str">
        <f>IF(AD18="", "", IF(ISNUMBER(MATCH(SUBSTITUTE(AD18, "_AM1", ""), 'Resumo Mapa'!A:A, 0)), "✅", "❌"))</f>
        <v/>
      </c>
    </row>
    <row r="19" ht="15.75" customHeight="1">
      <c r="A19" s="60" t="s">
        <v>421</v>
      </c>
      <c r="B19" s="137" t="s">
        <v>422</v>
      </c>
      <c r="C19" s="137" t="s">
        <v>423</v>
      </c>
      <c r="D19" s="138" t="s">
        <v>418</v>
      </c>
      <c r="E19" s="104" t="str">
        <f>IFERROR(VLOOKUP(CONCATENATE("Onda 1"," - ",A19),'Dist expedição'!P:S,3,0),"")</f>
        <v/>
      </c>
      <c r="F19" s="105" t="str">
        <f>IFERROR(VLOOKUP(E19,'Dist expedição'!$C:$E,2,0),"")</f>
        <v/>
      </c>
      <c r="G19" s="105" t="str">
        <f>IFERROR(VLOOKUP(E19,'Dist expedição'!$C:$F,4,0),"")</f>
        <v/>
      </c>
      <c r="H19" s="106" t="str">
        <f>IF(E19="", "", IF(ISNUMBER(MATCH(SUBSTITUTE(E19, "_AM1", ""), 'Resumo Mapa'!A:A, 0)), "✅", "❌"))</f>
        <v/>
      </c>
      <c r="I19" s="104" t="str">
        <f>IFERROR(VLOOKUP(CONCATENATE("Onda 2"," - ",A19),'Dist expedição'!P:S,3,0),"")</f>
        <v/>
      </c>
      <c r="J19" s="105" t="str">
        <f>IFERROR(VLOOKUP(I19,'Dist expedição'!$C:$E,2,0),"")</f>
        <v/>
      </c>
      <c r="K19" s="105" t="str">
        <f>IFERROR(VLOOKUP(I19,'Dist expedição'!$C:$F,4,0),"")</f>
        <v/>
      </c>
      <c r="L19" s="107" t="str">
        <f>IF(I19="", "", IF(ISNUMBER(MATCH(SUBSTITUTE(I19, "_AM1", ""), 'Resumo Mapa'!A:A, 0)), "✅", "❌"))</f>
        <v/>
      </c>
      <c r="M19" s="66" t="s">
        <v>421</v>
      </c>
      <c r="N19" s="108" t="str">
        <f>IFERROR(VLOOKUP(CONCATENATE("Onda 3"," - ",A19),'Dist expedição'!P:S,3,0),"")</f>
        <v>P1_AM1</v>
      </c>
      <c r="O19" s="105" t="str">
        <f>IFERROR(VLOOKUP(N19,'Dist expedição'!$C:$E,2,0),"")</f>
        <v>AM1_71</v>
      </c>
      <c r="P19" s="105" t="str">
        <f>IFERROR(VLOOKUP(N19,'Dist expedição'!$C:$F,4,0),"")</f>
        <v>HELP ME SOLUCOES</v>
      </c>
      <c r="Q19" s="106" t="str">
        <f>IF(N19="", "", IF(ISNUMBER(MATCH(SUBSTITUTE(N19, "_AM1", ""), 'Resumo Mapa'!A:A, 0)), "✅", "❌"))</f>
        <v>❌</v>
      </c>
      <c r="R19" s="104" t="str">
        <f>IFERROR(VLOOKUP(CONCATENATE("Onda 4"," - ",A19),'Dist expedição'!P:S,3,0),"")</f>
        <v>H11_AM1</v>
      </c>
      <c r="S19" s="105" t="str">
        <f>IFERROR(VLOOKUP(R19,'Dist expedição'!$C:$E,2,0),"")</f>
        <v>AM1_22</v>
      </c>
      <c r="T19" s="105" t="str">
        <f>IFERROR(VLOOKUP(R19,'Dist expedição'!$C:$F,4,0),"")</f>
        <v>Hawk Transportes</v>
      </c>
      <c r="U19" s="105" t="str">
        <f>IF(R19="", "", IF(ISNUMBER(MATCH(SUBSTITUTE(R19, "_AM1", ""), 'Resumo Mapa'!A:A, 0)), "✅", "❌"))</f>
        <v>❌</v>
      </c>
      <c r="V19" s="104" t="str">
        <f>IFERROR(VLOOKUP(CONCATENATE("Onda 5"," - ",A19),'Dist expedição'!P:S,3,0),"")</f>
        <v>C4_AM1</v>
      </c>
      <c r="W19" s="105" t="str">
        <f>IFERROR(VLOOKUP(V19,'Dist expedição'!$C:$E,2,0),"")</f>
        <v>AM1_98</v>
      </c>
      <c r="X19" s="105" t="str">
        <f>IFERROR(VLOOKUP(V19,'Dist expedição'!$C:$F,4,0),"")</f>
        <v>PARCEIRO SPOT SOLUCOES</v>
      </c>
      <c r="Y19" s="106" t="str">
        <f>IF(V19="", "", IF(ISNUMBER(MATCH(SUBSTITUTE(V19, "_AM1", ""), 'Resumo Mapa'!A:A, 0)), "✅", "❌"))</f>
        <v>❌</v>
      </c>
      <c r="Z19" s="104" t="str">
        <f>IFERROR(VLOOKUP(CONCATENATE("Onda 6"," - ",A19),'Dist expedição'!P:S,3,0),"")</f>
        <v>H6_AM1</v>
      </c>
      <c r="AA19" s="105" t="str">
        <f>IFERROR(VLOOKUP(Z19,'Dist expedição'!$C:$E,2,0),"")</f>
        <v>AM1_48</v>
      </c>
      <c r="AB19" s="105" t="str">
        <f>IFERROR(VLOOKUP(Z19,'Dist expedição'!$C:$F,4,0),"")</f>
        <v>Hawk Transportes</v>
      </c>
      <c r="AC19" s="106" t="str">
        <f>IF(Z19="", "", IF(ISNUMBER(MATCH(SUBSTITUTE(Z19, "_AM1", ""), 'Resumo Mapa'!A:A, 0)), "✅", "❌"))</f>
        <v>❌</v>
      </c>
      <c r="AD19" s="104" t="str">
        <f>IFERROR(VLOOKUP(CONCATENATE("Onda 7"," - ",A19),'Dist expedição'!P:S,3,0),"")</f>
        <v/>
      </c>
      <c r="AE19" s="105" t="str">
        <f>IFERROR(VLOOKUP(AD19,'Dist expedição'!$C:$E,2,0),"")</f>
        <v/>
      </c>
      <c r="AF19" s="105" t="str">
        <f>IFERROR(VLOOKUP(AD19,'Dist expedição'!$C:$F,4,0),"")</f>
        <v/>
      </c>
      <c r="AG19" s="106" t="str">
        <f>IF(AD19="", "", IF(ISNUMBER(MATCH(SUBSTITUTE(AD19, "_AM1", ""), 'Resumo Mapa'!A:A, 0)), "✅", "❌"))</f>
        <v/>
      </c>
    </row>
    <row r="20" ht="15.75" customHeight="1">
      <c r="A20" s="52" t="s">
        <v>424</v>
      </c>
      <c r="B20" s="139" t="s">
        <v>425</v>
      </c>
      <c r="C20" s="139" t="s">
        <v>423</v>
      </c>
      <c r="D20" s="140" t="s">
        <v>418</v>
      </c>
      <c r="E20" s="123" t="str">
        <f>IFERROR(VLOOKUP(CONCATENATE("Onda 1"," - ",A20),'Dist expedição'!P:S,3,0),"")</f>
        <v/>
      </c>
      <c r="F20" s="125" t="str">
        <f>IFERROR(VLOOKUP(E20,'Dist expedição'!$C:$E,2,0),"")</f>
        <v/>
      </c>
      <c r="G20" s="125" t="str">
        <f>IFERROR(VLOOKUP(E20,'Dist expedição'!$C:$F,4,0),"")</f>
        <v/>
      </c>
      <c r="H20" s="126" t="str">
        <f>IF(E20="", "", IF(ISNUMBER(MATCH(SUBSTITUTE(E20, "_AM1", ""), 'Resumo Mapa'!A:A, 0)), "✅", "❌"))</f>
        <v/>
      </c>
      <c r="I20" s="123" t="str">
        <f>IFERROR(VLOOKUP(CONCATENATE("Onda 2"," - ",A20),'Dist expedição'!P:S,3,0),"")</f>
        <v/>
      </c>
      <c r="J20" s="125" t="str">
        <f>IFERROR(VLOOKUP(I20,'Dist expedição'!$C:$E,2,0),"")</f>
        <v/>
      </c>
      <c r="K20" s="125" t="str">
        <f>IFERROR(VLOOKUP(I20,'Dist expedição'!$C:$F,4,0),"")</f>
        <v/>
      </c>
      <c r="L20" s="127" t="str">
        <f>IF(I20="", "", IF(ISNUMBER(MATCH(SUBSTITUTE(I20, "_AM1", ""), 'Resumo Mapa'!A:A, 0)), "✅", "❌"))</f>
        <v/>
      </c>
      <c r="M20" s="58" t="s">
        <v>424</v>
      </c>
      <c r="N20" s="129" t="str">
        <f>IFERROR(VLOOKUP(CONCATENATE("Onda 3"," - ",A20),'Dist expedição'!P:S,3,0),"")</f>
        <v>Q2_AM1</v>
      </c>
      <c r="O20" s="125" t="str">
        <f>IFERROR(VLOOKUP(N20,'Dist expedição'!$C:$E,2,0),"")</f>
        <v>AM1_16</v>
      </c>
      <c r="P20" s="125" t="str">
        <f>IFERROR(VLOOKUP(N20,'Dist expedição'!$C:$F,4,0),"")</f>
        <v>Hawk Transportes</v>
      </c>
      <c r="Q20" s="126" t="str">
        <f>IF(N20="", "", IF(ISNUMBER(MATCH(SUBSTITUTE(N20, "_AM1", ""), 'Resumo Mapa'!A:A, 0)), "✅", "❌"))</f>
        <v>❌</v>
      </c>
      <c r="R20" s="123" t="str">
        <f>IFERROR(VLOOKUP(CONCATENATE("Onda 4"," - ",A20),'Dist expedição'!P:S,3,0),"")</f>
        <v>I8_AM1</v>
      </c>
      <c r="S20" s="125" t="str">
        <f>IFERROR(VLOOKUP(R20,'Dist expedição'!$C:$E,2,0),"")</f>
        <v>AM1_57</v>
      </c>
      <c r="T20" s="125" t="str">
        <f>IFERROR(VLOOKUP(R20,'Dist expedição'!$C:$F,4,0),"")</f>
        <v>Hawk Transportes</v>
      </c>
      <c r="U20" s="125" t="str">
        <f>IF(R20="", "", IF(ISNUMBER(MATCH(SUBSTITUTE(R20, "_AM1", ""), 'Resumo Mapa'!A:A, 0)), "✅", "❌"))</f>
        <v>❌</v>
      </c>
      <c r="V20" s="123" t="str">
        <f>IFERROR(VLOOKUP(CONCATENATE("Onda 5"," - ",A20),'Dist expedição'!P:S,3,0),"")</f>
        <v>VN3_AM1</v>
      </c>
      <c r="W20" s="125" t="str">
        <f>IFERROR(VLOOKUP(V20,'Dist expedição'!$C:$E,2,0),"")</f>
        <v>AM1_50</v>
      </c>
      <c r="X20" s="125" t="str">
        <f>IFERROR(VLOOKUP(V20,'Dist expedição'!$C:$F,4,0),"")</f>
        <v>PARCEIRO SPOT SOLUCOES</v>
      </c>
      <c r="Y20" s="126" t="str">
        <f>IF(V20="", "", IF(ISNUMBER(MATCH(SUBSTITUTE(V20, "_AM1", ""), 'Resumo Mapa'!A:A, 0)), "✅", "❌"))</f>
        <v>✅</v>
      </c>
      <c r="Z20" s="123" t="str">
        <f>IFERROR(VLOOKUP(CONCATENATE("Onda 6"," - ",A20),'Dist expedição'!P:S,3,0),"")</f>
        <v>G1_AM1</v>
      </c>
      <c r="AA20" s="125" t="str">
        <f>IFERROR(VLOOKUP(Z20,'Dist expedição'!$C:$E,2,0),"")</f>
        <v>AM1_1</v>
      </c>
      <c r="AB20" s="125" t="str">
        <f>IFERROR(VLOOKUP(Z20,'Dist expedição'!$C:$F,4,0),"")</f>
        <v>Hawk Transportes</v>
      </c>
      <c r="AC20" s="126" t="str">
        <f>IF(Z20="", "", IF(ISNUMBER(MATCH(SUBSTITUTE(Z20, "_AM1", ""), 'Resumo Mapa'!A:A, 0)), "✅", "❌"))</f>
        <v>❌</v>
      </c>
      <c r="AD20" s="123" t="str">
        <f>IFERROR(VLOOKUP(CONCATENATE("Onda 7"," - ",A20),'Dist expedição'!P:S,3,0),"")</f>
        <v/>
      </c>
      <c r="AE20" s="125" t="str">
        <f>IFERROR(VLOOKUP(AD20,'Dist expedição'!$C:$E,2,0),"")</f>
        <v/>
      </c>
      <c r="AF20" s="125" t="str">
        <f>IFERROR(VLOOKUP(AD20,'Dist expedição'!$C:$F,4,0),"")</f>
        <v/>
      </c>
      <c r="AG20" s="126" t="str">
        <f>IF(AD20="", "", IF(ISNUMBER(MATCH(SUBSTITUTE(AD20, "_AM1", ""), 'Resumo Mapa'!A:A, 0)), "✅", "❌"))</f>
        <v/>
      </c>
    </row>
    <row r="21" ht="15.75" customHeight="1">
      <c r="A21" s="60" t="s">
        <v>426</v>
      </c>
      <c r="B21" s="137" t="s">
        <v>427</v>
      </c>
      <c r="C21" s="137" t="s">
        <v>428</v>
      </c>
      <c r="D21" s="138" t="s">
        <v>418</v>
      </c>
      <c r="E21" s="104" t="str">
        <f>IFERROR(VLOOKUP(CONCATENATE("Onda 1"," - ",A21),'Dist expedição'!P:S,3,0),"")</f>
        <v/>
      </c>
      <c r="F21" s="105" t="str">
        <f>IFERROR(VLOOKUP(E21,'Dist expedição'!$C:$E,2,0),"")</f>
        <v/>
      </c>
      <c r="G21" s="105" t="str">
        <f>IFERROR(VLOOKUP(E21,'Dist expedição'!$C:$F,4,0),"")</f>
        <v/>
      </c>
      <c r="H21" s="106" t="str">
        <f>IF(E21="", "", IF(ISNUMBER(MATCH(SUBSTITUTE(E21, "_AM1", ""), 'Resumo Mapa'!A:A, 0)), "✅", "❌"))</f>
        <v/>
      </c>
      <c r="I21" s="104" t="str">
        <f>IFERROR(VLOOKUP(CONCATENATE("Onda 2"," - ",A21),'Dist expedição'!P:S,3,0),"")</f>
        <v/>
      </c>
      <c r="J21" s="105" t="str">
        <f>IFERROR(VLOOKUP(I21,'Dist expedição'!$C:$E,2,0),"")</f>
        <v/>
      </c>
      <c r="K21" s="105" t="str">
        <f>IFERROR(VLOOKUP(I21,'Dist expedição'!$C:$F,4,0),"")</f>
        <v/>
      </c>
      <c r="L21" s="107" t="str">
        <f>IF(I21="", "", IF(ISNUMBER(MATCH(SUBSTITUTE(I21, "_AM1", ""), 'Resumo Mapa'!A:A, 0)), "✅", "❌"))</f>
        <v/>
      </c>
      <c r="M21" s="66" t="s">
        <v>426</v>
      </c>
      <c r="N21" s="108" t="str">
        <f>IFERROR(VLOOKUP(CONCATENATE("Onda 3"," - ",A21),'Dist expedição'!P:S,3,0),"")</f>
        <v>P10_AM1</v>
      </c>
      <c r="O21" s="105" t="str">
        <f>IFERROR(VLOOKUP(N21,'Dist expedição'!$C:$E,2,0),"")</f>
        <v>AM1_66</v>
      </c>
      <c r="P21" s="105" t="str">
        <f>IFERROR(VLOOKUP(N21,'Dist expedição'!$C:$F,4,0),"")</f>
        <v>Hawk Transportes</v>
      </c>
      <c r="Q21" s="106" t="str">
        <f>IF(N21="", "", IF(ISNUMBER(MATCH(SUBSTITUTE(N21, "_AM1", ""), 'Resumo Mapa'!A:A, 0)), "✅", "❌"))</f>
        <v>❌</v>
      </c>
      <c r="R21" s="104" t="str">
        <f>IFERROR(VLOOKUP(CONCATENATE("Onda 4"," - ",A21),'Dist expedição'!P:S,3,0),"")</f>
        <v>A8_AM1</v>
      </c>
      <c r="S21" s="105" t="str">
        <f>IFERROR(VLOOKUP(R21,'Dist expedição'!$C:$E,2,0),"")</f>
        <v>AM1_120</v>
      </c>
      <c r="T21" s="105" t="str">
        <f>IFERROR(VLOOKUP(R21,'Dist expedição'!$C:$F,4,0),"")</f>
        <v>Hawk Transportes</v>
      </c>
      <c r="U21" s="105" t="str">
        <f>IF(R21="", "", IF(ISNUMBER(MATCH(SUBSTITUTE(R21, "_AM1", ""), 'Resumo Mapa'!A:A, 0)), "✅", "❌"))</f>
        <v>❌</v>
      </c>
      <c r="V21" s="104" t="str">
        <f>IFERROR(VLOOKUP(CONCATENATE("Onda 5"," - ",A21),'Dist expedição'!P:S,3,0),"")</f>
        <v>B9_AM1</v>
      </c>
      <c r="W21" s="105" t="str">
        <f>IFERROR(VLOOKUP(V21,'Dist expedição'!$C:$E,2,0),"")</f>
        <v>AM1_99</v>
      </c>
      <c r="X21" s="105" t="str">
        <f>IFERROR(VLOOKUP(V21,'Dist expedição'!$C:$F,4,0),"")</f>
        <v>HELP ME SOLUCOES</v>
      </c>
      <c r="Y21" s="106" t="str">
        <f>IF(V21="", "", IF(ISNUMBER(MATCH(SUBSTITUTE(V21, "_AM1", ""), 'Resumo Mapa'!A:A, 0)), "✅", "❌"))</f>
        <v>❌</v>
      </c>
      <c r="Z21" s="104" t="str">
        <f>IFERROR(VLOOKUP(CONCATENATE("Onda 6"," - ",A21),'Dist expedição'!P:S,3,0),"")</f>
        <v>H9_AM1</v>
      </c>
      <c r="AA21" s="105" t="str">
        <f>IFERROR(VLOOKUP(Z21,'Dist expedição'!$C:$E,2,0),"")</f>
        <v>AM1_54</v>
      </c>
      <c r="AB21" s="105" t="str">
        <f>IFERROR(VLOOKUP(Z21,'Dist expedição'!$C:$F,4,0),"")</f>
        <v>Hawk Transportes</v>
      </c>
      <c r="AC21" s="106" t="str">
        <f>IF(Z21="", "", IF(ISNUMBER(MATCH(SUBSTITUTE(Z21, "_AM1", ""), 'Resumo Mapa'!A:A, 0)), "✅", "❌"))</f>
        <v>❌</v>
      </c>
      <c r="AD21" s="104" t="str">
        <f>IFERROR(VLOOKUP(CONCATENATE("Onda 7"," - ",A21),'Dist expedição'!P:S,3,0),"")</f>
        <v/>
      </c>
      <c r="AE21" s="105" t="str">
        <f>IFERROR(VLOOKUP(AD21,'Dist expedição'!$C:$E,2,0),"")</f>
        <v/>
      </c>
      <c r="AF21" s="105" t="str">
        <f>IFERROR(VLOOKUP(AD21,'Dist expedição'!$C:$F,4,0),"")</f>
        <v/>
      </c>
      <c r="AG21" s="106" t="str">
        <f>IF(AD21="", "", IF(ISNUMBER(MATCH(SUBSTITUTE(AD21, "_AM1", ""), 'Resumo Mapa'!A:A, 0)), "✅", "❌"))</f>
        <v/>
      </c>
    </row>
    <row r="22" ht="15.75" customHeight="1">
      <c r="A22" s="52" t="s">
        <v>429</v>
      </c>
      <c r="B22" s="139" t="s">
        <v>430</v>
      </c>
      <c r="C22" s="139" t="s">
        <v>428</v>
      </c>
      <c r="D22" s="140" t="s">
        <v>418</v>
      </c>
      <c r="E22" s="123" t="str">
        <f>IFERROR(VLOOKUP(CONCATENATE("Onda 1"," - ",A22),'Dist expedição'!P:S,3,0),"")</f>
        <v/>
      </c>
      <c r="F22" s="125" t="str">
        <f>IFERROR(VLOOKUP(E22,'Dist expedição'!$C:$E,2,0),"")</f>
        <v/>
      </c>
      <c r="G22" s="125" t="str">
        <f>IFERROR(VLOOKUP(E22,'Dist expedição'!$C:$F,4,0),"")</f>
        <v/>
      </c>
      <c r="H22" s="126" t="str">
        <f>IF(E22="", "", IF(ISNUMBER(MATCH(SUBSTITUTE(E22, "_AM1", ""), 'Resumo Mapa'!A:A, 0)), "✅", "❌"))</f>
        <v/>
      </c>
      <c r="I22" s="123" t="str">
        <f>IFERROR(VLOOKUP(CONCATENATE("Onda 2"," - ",A22),'Dist expedição'!P:S,3,0),"")</f>
        <v/>
      </c>
      <c r="J22" s="125" t="str">
        <f>IFERROR(VLOOKUP(I22,'Dist expedição'!$C:$E,2,0),"")</f>
        <v/>
      </c>
      <c r="K22" s="125" t="str">
        <f>IFERROR(VLOOKUP(I22,'Dist expedição'!$C:$F,4,0),"")</f>
        <v/>
      </c>
      <c r="L22" s="127" t="str">
        <f>IF(I22="", "", IF(ISNUMBER(MATCH(SUBSTITUTE(I22, "_AM1", ""), 'Resumo Mapa'!A:A, 0)), "✅", "❌"))</f>
        <v/>
      </c>
      <c r="M22" s="58" t="s">
        <v>429</v>
      </c>
      <c r="N22" s="129" t="str">
        <f>IFERROR(VLOOKUP(CONCATENATE("Onda 3"," - ",A22),'Dist expedição'!P:S,3,0),"")</f>
        <v>P12_AM1</v>
      </c>
      <c r="O22" s="125" t="str">
        <f>IFERROR(VLOOKUP(N22,'Dist expedição'!$C:$E,2,0),"")</f>
        <v>AM1_42</v>
      </c>
      <c r="P22" s="125" t="str">
        <f>IFERROR(VLOOKUP(N22,'Dist expedição'!$C:$F,4,0),"")</f>
        <v>Hawk Transportes</v>
      </c>
      <c r="Q22" s="126" t="str">
        <f>IF(N22="", "", IF(ISNUMBER(MATCH(SUBSTITUTE(N22, "_AM1", ""), 'Resumo Mapa'!A:A, 0)), "✅", "❌"))</f>
        <v>❌</v>
      </c>
      <c r="R22" s="123" t="str">
        <f>IFERROR(VLOOKUP(CONCATENATE("Onda 4"," - ",A22),'Dist expedição'!P:S,3,0),"")</f>
        <v>B3_AM1</v>
      </c>
      <c r="S22" s="125" t="str">
        <f>IFERROR(VLOOKUP(R22,'Dist expedição'!$C:$E,2,0),"")</f>
        <v>AM1_111</v>
      </c>
      <c r="T22" s="125" t="str">
        <f>IFERROR(VLOOKUP(R22,'Dist expedição'!$C:$F,4,0),"")</f>
        <v>Hawk Transportes</v>
      </c>
      <c r="U22" s="125" t="str">
        <f>IF(R22="", "", IF(ISNUMBER(MATCH(SUBSTITUTE(R22, "_AM1", ""), 'Resumo Mapa'!A:A, 0)), "✅", "❌"))</f>
        <v>❌</v>
      </c>
      <c r="V22" s="123" t="str">
        <f>IFERROR(VLOOKUP(CONCATENATE("Onda 5"," - ",A22),'Dist expedição'!P:S,3,0),"")</f>
        <v>B6_AM1</v>
      </c>
      <c r="W22" s="125" t="str">
        <f>IFERROR(VLOOKUP(V22,'Dist expedição'!$C:$E,2,0),"")</f>
        <v>AM1_100</v>
      </c>
      <c r="X22" s="125" t="str">
        <f>IFERROR(VLOOKUP(V22,'Dist expedição'!$C:$F,4,0),"")</f>
        <v>HELP ME SOLUCOES</v>
      </c>
      <c r="Y22" s="126" t="str">
        <f>IF(V22="", "", IF(ISNUMBER(MATCH(SUBSTITUTE(V22, "_AM1", ""), 'Resumo Mapa'!A:A, 0)), "✅", "❌"))</f>
        <v>❌</v>
      </c>
      <c r="Z22" s="123" t="str">
        <f>IFERROR(VLOOKUP(CONCATENATE("Onda 6"," - ",A22),'Dist expedição'!P:S,3,0),"")</f>
        <v>H12_AM1</v>
      </c>
      <c r="AA22" s="125" t="str">
        <f>IFERROR(VLOOKUP(Z22,'Dist expedição'!$C:$E,2,0),"")</f>
        <v>AM1_55</v>
      </c>
      <c r="AB22" s="125" t="str">
        <f>IFERROR(VLOOKUP(Z22,'Dist expedição'!$C:$F,4,0),"")</f>
        <v>Hawk Transportes</v>
      </c>
      <c r="AC22" s="126" t="str">
        <f>IF(Z22="", "", IF(ISNUMBER(MATCH(SUBSTITUTE(Z22, "_AM1", ""), 'Resumo Mapa'!A:A, 0)), "✅", "❌"))</f>
        <v>❌</v>
      </c>
      <c r="AD22" s="123" t="str">
        <f>IFERROR(VLOOKUP(CONCATENATE("Onda 7"," - ",A22),'Dist expedição'!P:S,3,0),"")</f>
        <v/>
      </c>
      <c r="AE22" s="125" t="str">
        <f>IFERROR(VLOOKUP(AD22,'Dist expedição'!$C:$E,2,0),"")</f>
        <v/>
      </c>
      <c r="AF22" s="125" t="str">
        <f>IFERROR(VLOOKUP(AD22,'Dist expedição'!$C:$F,4,0),"")</f>
        <v/>
      </c>
      <c r="AG22" s="126" t="str">
        <f>IF(AD22="", "", IF(ISNUMBER(MATCH(SUBSTITUTE(AD22, "_AM1", ""), 'Resumo Mapa'!A:A, 0)), "✅", "❌"))</f>
        <v/>
      </c>
    </row>
    <row r="23" ht="15.75" customHeight="1">
      <c r="A23" s="60" t="s">
        <v>431</v>
      </c>
      <c r="B23" s="137" t="s">
        <v>432</v>
      </c>
      <c r="C23" s="137" t="s">
        <v>433</v>
      </c>
      <c r="D23" s="138" t="s">
        <v>418</v>
      </c>
      <c r="E23" s="104" t="str">
        <f>IFERROR(VLOOKUP(CONCATENATE("Onda 1"," - ",A23),'Dist expedição'!P:S,3,0),"")</f>
        <v/>
      </c>
      <c r="F23" s="105" t="str">
        <f>IFERROR(VLOOKUP(E23,'Dist expedição'!$C:$E,2,0),"")</f>
        <v/>
      </c>
      <c r="G23" s="105" t="str">
        <f>IFERROR(VLOOKUP(E23,'Dist expedição'!$C:$F,4,0),"")</f>
        <v/>
      </c>
      <c r="H23" s="106" t="str">
        <f>IF(E23="", "", IF(ISNUMBER(MATCH(SUBSTITUTE(E23, "_AM1", ""), 'Resumo Mapa'!A:A, 0)), "✅", "❌"))</f>
        <v/>
      </c>
      <c r="I23" s="104" t="str">
        <f>IFERROR(VLOOKUP(CONCATENATE("Onda 2"," - ",A23),'Dist expedição'!P:S,3,0),"")</f>
        <v/>
      </c>
      <c r="J23" s="105" t="str">
        <f>IFERROR(VLOOKUP(I23,'Dist expedição'!$C:$E,2,0),"")</f>
        <v/>
      </c>
      <c r="K23" s="105" t="str">
        <f>IFERROR(VLOOKUP(I23,'Dist expedição'!$C:$F,4,0),"")</f>
        <v/>
      </c>
      <c r="L23" s="107" t="str">
        <f>IF(I23="", "", IF(ISNUMBER(MATCH(SUBSTITUTE(I23, "_AM1", ""), 'Resumo Mapa'!A:A, 0)), "✅", "❌"))</f>
        <v/>
      </c>
      <c r="M23" s="66" t="s">
        <v>431</v>
      </c>
      <c r="N23" s="108" t="str">
        <f>IFERROR(VLOOKUP(CONCATENATE("Onda 3"," - ",A23),'Dist expedição'!P:S,3,0),"")</f>
        <v>Q1_AM1</v>
      </c>
      <c r="O23" s="105" t="str">
        <f>IFERROR(VLOOKUP(N23,'Dist expedição'!$C:$E,2,0),"")</f>
        <v>AM1_4</v>
      </c>
      <c r="P23" s="105" t="str">
        <f>IFERROR(VLOOKUP(N23,'Dist expedição'!$C:$F,4,0),"")</f>
        <v>FLASHLOG</v>
      </c>
      <c r="Q23" s="106" t="str">
        <f>IF(N23="", "", IF(ISNUMBER(MATCH(SUBSTITUTE(N23, "_AM1", ""), 'Resumo Mapa'!A:A, 0)), "✅", "❌"))</f>
        <v>❌</v>
      </c>
      <c r="R23" s="104" t="str">
        <f>IFERROR(VLOOKUP(CONCATENATE("Onda 4"," - ",A23),'Dist expedição'!P:S,3,0),"")</f>
        <v>B1_AM1</v>
      </c>
      <c r="S23" s="105" t="str">
        <f>IFERROR(VLOOKUP(R23,'Dist expedição'!$C:$E,2,0),"")</f>
        <v>AM1_115</v>
      </c>
      <c r="T23" s="105" t="str">
        <f>IFERROR(VLOOKUP(R23,'Dist expedição'!$C:$F,4,0),"")</f>
        <v>PARCEIRO SPOT SOLUCOES</v>
      </c>
      <c r="U23" s="105" t="str">
        <f>IF(R23="", "", IF(ISNUMBER(MATCH(SUBSTITUTE(R23, "_AM1", ""), 'Resumo Mapa'!A:A, 0)), "✅", "❌"))</f>
        <v>❌</v>
      </c>
      <c r="V23" s="104" t="str">
        <f>IFERROR(VLOOKUP(CONCATENATE("Onda 5"," - ",A23),'Dist expedição'!P:S,3,0),"")</f>
        <v>F1_AM1</v>
      </c>
      <c r="W23" s="105" t="str">
        <f>IFERROR(VLOOKUP(V23,'Dist expedição'!$C:$E,2,0),"")</f>
        <v>AM1_2</v>
      </c>
      <c r="X23" s="105" t="str">
        <f>IFERROR(VLOOKUP(V23,'Dist expedição'!$C:$F,4,0),"")</f>
        <v>PARCEIRO SPOT SOLUCOES</v>
      </c>
      <c r="Y23" s="106" t="str">
        <f>IF(V23="", "", IF(ISNUMBER(MATCH(SUBSTITUTE(V23, "_AM1", ""), 'Resumo Mapa'!A:A, 0)), "✅", "❌"))</f>
        <v>❌</v>
      </c>
      <c r="Z23" s="104" t="str">
        <f>IFERROR(VLOOKUP(CONCATENATE("Onda 6"," - ",A23),'Dist expedição'!P:S,3,0),"")</f>
        <v>VN4_AM1</v>
      </c>
      <c r="AA23" s="105" t="str">
        <f>IFERROR(VLOOKUP(Z23,'Dist expedição'!$C:$E,2,0),"")</f>
        <v>AM1_108</v>
      </c>
      <c r="AB23" s="105" t="str">
        <f>IFERROR(VLOOKUP(Z23,'Dist expedição'!$C:$F,4,0),"")</f>
        <v>PARCEIRO SPOT SOLUCOES</v>
      </c>
      <c r="AC23" s="106" t="str">
        <f>IF(Z23="", "", IF(ISNUMBER(MATCH(SUBSTITUTE(Z23, "_AM1", ""), 'Resumo Mapa'!A:A, 0)), "✅", "❌"))</f>
        <v>✅</v>
      </c>
      <c r="AD23" s="104" t="str">
        <f>IFERROR(VLOOKUP(CONCATENATE("Onda 7"," - ",A23),'Dist expedição'!P:S,3,0),"")</f>
        <v/>
      </c>
      <c r="AE23" s="105" t="str">
        <f>IFERROR(VLOOKUP(AD23,'Dist expedição'!$C:$E,2,0),"")</f>
        <v/>
      </c>
      <c r="AF23" s="105" t="str">
        <f>IFERROR(VLOOKUP(AD23,'Dist expedição'!$C:$F,4,0),"")</f>
        <v/>
      </c>
      <c r="AG23" s="106" t="str">
        <f>IF(AD23="", "", IF(ISNUMBER(MATCH(SUBSTITUTE(AD23, "_AM1", ""), 'Resumo Mapa'!A:A, 0)), "✅", "❌"))</f>
        <v/>
      </c>
    </row>
    <row r="24" ht="15.75" customHeight="1">
      <c r="A24" s="52" t="s">
        <v>434</v>
      </c>
      <c r="B24" s="139" t="s">
        <v>435</v>
      </c>
      <c r="C24" s="139" t="s">
        <v>433</v>
      </c>
      <c r="D24" s="140" t="s">
        <v>436</v>
      </c>
      <c r="E24" s="123" t="str">
        <f>IFERROR(VLOOKUP(CONCATENATE("Onda 1"," - ",A24),'Dist expedição'!P:S,3,0),"")</f>
        <v/>
      </c>
      <c r="F24" s="125" t="str">
        <f>IFERROR(VLOOKUP(E24,'Dist expedição'!$C:$E,2,0),"")</f>
        <v/>
      </c>
      <c r="G24" s="125" t="str">
        <f>IFERROR(VLOOKUP(E24,'Dist expedição'!$C:$F,4,0),"")</f>
        <v/>
      </c>
      <c r="H24" s="126" t="str">
        <f>IF(E24="", "", IF(ISNUMBER(MATCH(SUBSTITUTE(E24, "_AM1", ""), 'Resumo Mapa'!A:A, 0)), "✅", "❌"))</f>
        <v/>
      </c>
      <c r="I24" s="123" t="str">
        <f>IFERROR(VLOOKUP(CONCATENATE("Onda 2"," - ",A24),'Dist expedição'!P:S,3,0),"")</f>
        <v/>
      </c>
      <c r="J24" s="125" t="str">
        <f>IFERROR(VLOOKUP(I24,'Dist expedição'!$C:$E,2,0),"")</f>
        <v/>
      </c>
      <c r="K24" s="125" t="str">
        <f>IFERROR(VLOOKUP(I24,'Dist expedição'!$C:$F,4,0),"")</f>
        <v/>
      </c>
      <c r="L24" s="127" t="str">
        <f>IF(I24="", "", IF(ISNUMBER(MATCH(SUBSTITUTE(I24, "_AM1", ""), 'Resumo Mapa'!A:A, 0)), "✅", "❌"))</f>
        <v/>
      </c>
      <c r="M24" s="58" t="s">
        <v>434</v>
      </c>
      <c r="N24" s="129" t="str">
        <f>IFERROR(VLOOKUP(CONCATENATE("Onda 3"," - ",A24),'Dist expedição'!P:S,3,0),"")</f>
        <v>Q10_AM1</v>
      </c>
      <c r="O24" s="125" t="str">
        <f>IFERROR(VLOOKUP(N24,'Dist expedição'!$C:$E,2,0),"")</f>
        <v>AM1_8</v>
      </c>
      <c r="P24" s="125" t="str">
        <f>IFERROR(VLOOKUP(N24,'Dist expedição'!$C:$F,4,0),"")</f>
        <v>FLASHLOG</v>
      </c>
      <c r="Q24" s="126" t="str">
        <f>IF(N24="", "", IF(ISNUMBER(MATCH(SUBSTITUTE(N24, "_AM1", ""), 'Resumo Mapa'!A:A, 0)), "✅", "❌"))</f>
        <v>❌</v>
      </c>
      <c r="R24" s="123" t="str">
        <f>IFERROR(VLOOKUP(CONCATENATE("Onda 4"," - ",A24),'Dist expedição'!P:S,3,0),"")</f>
        <v>Q7_AM1</v>
      </c>
      <c r="S24" s="125" t="str">
        <f>IFERROR(VLOOKUP(R24,'Dist expedição'!$C:$E,2,0),"")</f>
        <v>AM1_59</v>
      </c>
      <c r="T24" s="125" t="str">
        <f>IFERROR(VLOOKUP(R24,'Dist expedição'!$C:$F,4,0),"")</f>
        <v>PARCEIRO SPOT SOLUCOES</v>
      </c>
      <c r="U24" s="125" t="str">
        <f>IF(R24="", "", IF(ISNUMBER(MATCH(SUBSTITUTE(R24, "_AM1", ""), 'Resumo Mapa'!A:A, 0)), "✅", "❌"))</f>
        <v>❌</v>
      </c>
      <c r="V24" s="123" t="str">
        <f>IFERROR(VLOOKUP(CONCATENATE("Onda 5"," - ",A24),'Dist expedição'!P:S,3,0),"")</f>
        <v>B8_AM1</v>
      </c>
      <c r="W24" s="125" t="str">
        <f>IFERROR(VLOOKUP(V24,'Dist expedição'!$C:$E,2,0),"")</f>
        <v>AM1_95</v>
      </c>
      <c r="X24" s="125" t="str">
        <f>IFERROR(VLOOKUP(V24,'Dist expedição'!$C:$F,4,0),"")</f>
        <v>PARCEIRO SPOT SOLUCOES</v>
      </c>
      <c r="Y24" s="126" t="str">
        <f>IF(V24="", "", IF(ISNUMBER(MATCH(SUBSTITUTE(V24, "_AM1", ""), 'Resumo Mapa'!A:A, 0)), "✅", "❌"))</f>
        <v>❌</v>
      </c>
      <c r="Z24" s="123" t="str">
        <f>IFERROR(VLOOKUP(CONCATENATE("Onda 6"," - ",A24),'Dist expedição'!P:S,3,0),"")</f>
        <v>H10_AM1</v>
      </c>
      <c r="AA24" s="125" t="str">
        <f>IFERROR(VLOOKUP(Z24,'Dist expedição'!$C:$E,2,0),"")</f>
        <v>AM1_53</v>
      </c>
      <c r="AB24" s="125" t="str">
        <f>IFERROR(VLOOKUP(Z24,'Dist expedição'!$C:$F,4,0),"")</f>
        <v>A L C TRANSPORTES</v>
      </c>
      <c r="AC24" s="126" t="str">
        <f>IF(Z24="", "", IF(ISNUMBER(MATCH(SUBSTITUTE(Z24, "_AM1", ""), 'Resumo Mapa'!A:A, 0)), "✅", "❌"))</f>
        <v>❌</v>
      </c>
      <c r="AD24" s="123" t="str">
        <f>IFERROR(VLOOKUP(CONCATENATE("Onda 7"," - ",A24),'Dist expedição'!P:S,3,0),"")</f>
        <v/>
      </c>
      <c r="AE24" s="125" t="str">
        <f>IFERROR(VLOOKUP(AD24,'Dist expedição'!$C:$E,2,0),"")</f>
        <v/>
      </c>
      <c r="AF24" s="125" t="str">
        <f>IFERROR(VLOOKUP(AD24,'Dist expedição'!$C:$F,4,0),"")</f>
        <v/>
      </c>
      <c r="AG24" s="126" t="str">
        <f>IF(AD24="", "", IF(ISNUMBER(MATCH(SUBSTITUTE(AD24, "_AM1", ""), 'Resumo Mapa'!A:A, 0)), "✅", "❌"))</f>
        <v/>
      </c>
    </row>
    <row r="25" ht="15.75" customHeight="1">
      <c r="A25" s="60" t="s">
        <v>437</v>
      </c>
      <c r="B25" s="137" t="s">
        <v>438</v>
      </c>
      <c r="C25" s="137" t="s">
        <v>439</v>
      </c>
      <c r="D25" s="138" t="s">
        <v>436</v>
      </c>
      <c r="E25" s="104" t="str">
        <f>IFERROR(VLOOKUP(CONCATENATE("Onda 1"," - ",A25),'Dist expedição'!P:S,3,0),"")</f>
        <v/>
      </c>
      <c r="F25" s="105" t="str">
        <f>IFERROR(VLOOKUP(E25,'Dist expedição'!$C:$E,2,0),"")</f>
        <v/>
      </c>
      <c r="G25" s="105" t="str">
        <f>IFERROR(VLOOKUP(E25,'Dist expedição'!$C:$F,4,0),"")</f>
        <v/>
      </c>
      <c r="H25" s="106" t="str">
        <f>IF(E25="", "", IF(ISNUMBER(MATCH(SUBSTITUTE(E25, "_AM1", ""), 'Resumo Mapa'!A:A, 0)), "✅", "❌"))</f>
        <v/>
      </c>
      <c r="I25" s="104" t="str">
        <f>IFERROR(VLOOKUP(CONCATENATE("Onda 2"," - ",A25),'Dist expedição'!P:S,3,0),"")</f>
        <v/>
      </c>
      <c r="J25" s="105" t="str">
        <f>IFERROR(VLOOKUP(I25,'Dist expedição'!$C:$E,2,0),"")</f>
        <v/>
      </c>
      <c r="K25" s="105" t="str">
        <f>IFERROR(VLOOKUP(I25,'Dist expedição'!$C:$F,4,0),"")</f>
        <v/>
      </c>
      <c r="L25" s="107" t="str">
        <f>IF(I25="", "", IF(ISNUMBER(MATCH(SUBSTITUTE(I25, "_AM1", ""), 'Resumo Mapa'!A:A, 0)), "✅", "❌"))</f>
        <v/>
      </c>
      <c r="M25" s="66" t="s">
        <v>437</v>
      </c>
      <c r="N25" s="108" t="str">
        <f>IFERROR(VLOOKUP(CONCATENATE("Onda 3"," - ",A25),'Dist expedição'!P:S,3,0),"")</f>
        <v>P5_AM1</v>
      </c>
      <c r="O25" s="105" t="str">
        <f>IFERROR(VLOOKUP(N25,'Dist expedição'!$C:$E,2,0),"")</f>
        <v>AM1_9</v>
      </c>
      <c r="P25" s="105" t="str">
        <f>IFERROR(VLOOKUP(N25,'Dist expedição'!$C:$F,4,0),"")</f>
        <v>FLASHLOG</v>
      </c>
      <c r="Q25" s="106" t="str">
        <f>IF(N25="", "", IF(ISNUMBER(MATCH(SUBSTITUTE(N25, "_AM1", ""), 'Resumo Mapa'!A:A, 0)), "✅", "❌"))</f>
        <v>❌</v>
      </c>
      <c r="R25" s="104" t="str">
        <f>IFERROR(VLOOKUP(CONCATENATE("Onda 4"," - ",A25),'Dist expedição'!P:S,3,0),"")</f>
        <v>A9_AM1</v>
      </c>
      <c r="S25" s="105" t="str">
        <f>IFERROR(VLOOKUP(R25,'Dist expedição'!$C:$E,2,0),"")</f>
        <v>AM1_119</v>
      </c>
      <c r="T25" s="105" t="str">
        <f>IFERROR(VLOOKUP(R25,'Dist expedição'!$C:$F,4,0),"")</f>
        <v>PARCEIRO SPOT SOLUCOES</v>
      </c>
      <c r="U25" s="105" t="str">
        <f>IF(R25="", "", IF(ISNUMBER(MATCH(SUBSTITUTE(R25, "_AM1", ""), 'Resumo Mapa'!A:A, 0)), "✅", "❌"))</f>
        <v>❌</v>
      </c>
      <c r="V25" s="104" t="str">
        <f>IFERROR(VLOOKUP(CONCATENATE("Onda 5"," - ",A25),'Dist expedição'!P:S,3,0),"")</f>
        <v>C10_AM1</v>
      </c>
      <c r="W25" s="105" t="str">
        <f>IFERROR(VLOOKUP(V25,'Dist expedição'!$C:$E,2,0),"")</f>
        <v>AM1_117</v>
      </c>
      <c r="X25" s="105" t="str">
        <f>IFERROR(VLOOKUP(V25,'Dist expedição'!$C:$F,4,0),"")</f>
        <v>RodaCoop</v>
      </c>
      <c r="Y25" s="106" t="str">
        <f>IF(V25="", "", IF(ISNUMBER(MATCH(SUBSTITUTE(V25, "_AM1", ""), 'Resumo Mapa'!A:A, 0)), "✅", "❌"))</f>
        <v>❌</v>
      </c>
      <c r="Z25" s="104" t="str">
        <f>IFERROR(VLOOKUP(CONCATENATE("Onda 6"," - ",A25),'Dist expedição'!P:S,3,0),"")</f>
        <v>I2_AM1</v>
      </c>
      <c r="AA25" s="105" t="str">
        <f>IFERROR(VLOOKUP(Z25,'Dist expedição'!$C:$E,2,0),"")</f>
        <v>AM1_18</v>
      </c>
      <c r="AB25" s="105" t="str">
        <f>IFERROR(VLOOKUP(Z25,'Dist expedição'!$C:$F,4,0),"")</f>
        <v>A L C TRANSPORTES</v>
      </c>
      <c r="AC25" s="106" t="str">
        <f>IF(Z25="", "", IF(ISNUMBER(MATCH(SUBSTITUTE(Z25, "_AM1", ""), 'Resumo Mapa'!A:A, 0)), "✅", "❌"))</f>
        <v>❌</v>
      </c>
      <c r="AD25" s="104" t="str">
        <f>IFERROR(VLOOKUP(CONCATENATE("Onda 7"," - ",A25),'Dist expedição'!P:S,3,0),"")</f>
        <v/>
      </c>
      <c r="AE25" s="105" t="str">
        <f>IFERROR(VLOOKUP(AD25,'Dist expedição'!$C:$E,2,0),"")</f>
        <v/>
      </c>
      <c r="AF25" s="105" t="str">
        <f>IFERROR(VLOOKUP(AD25,'Dist expedição'!$C:$F,4,0),"")</f>
        <v/>
      </c>
      <c r="AG25" s="106" t="str">
        <f>IF(AD25="", "", IF(ISNUMBER(MATCH(SUBSTITUTE(AD25, "_AM1", ""), 'Resumo Mapa'!A:A, 0)), "✅", "❌"))</f>
        <v/>
      </c>
    </row>
    <row r="26" ht="15.75" customHeight="1">
      <c r="A26" s="52" t="s">
        <v>440</v>
      </c>
      <c r="B26" s="139" t="s">
        <v>441</v>
      </c>
      <c r="C26" s="139" t="s">
        <v>439</v>
      </c>
      <c r="D26" s="140" t="s">
        <v>436</v>
      </c>
      <c r="E26" s="123" t="str">
        <f>IFERROR(VLOOKUP(CONCATENATE("Onda 1"," - ",A26),'Dist expedição'!P:S,3,0),"")</f>
        <v/>
      </c>
      <c r="F26" s="125" t="str">
        <f>IFERROR(VLOOKUP(E26,'Dist expedição'!$C:$E,2,0),"")</f>
        <v/>
      </c>
      <c r="G26" s="125" t="str">
        <f>IFERROR(VLOOKUP(E26,'Dist expedição'!$C:$F,4,0),"")</f>
        <v/>
      </c>
      <c r="H26" s="126" t="str">
        <f>IF(E26="", "", IF(ISNUMBER(MATCH(SUBSTITUTE(E26, "_AM1", ""), 'Resumo Mapa'!A:A, 0)), "✅", "❌"))</f>
        <v/>
      </c>
      <c r="I26" s="123" t="str">
        <f>IFERROR(VLOOKUP(CONCATENATE("Onda 2"," - ",A26),'Dist expedição'!P:S,3,0),"")</f>
        <v/>
      </c>
      <c r="J26" s="125" t="str">
        <f>IFERROR(VLOOKUP(I26,'Dist expedição'!$C:$E,2,0),"")</f>
        <v/>
      </c>
      <c r="K26" s="125" t="str">
        <f>IFERROR(VLOOKUP(I26,'Dist expedição'!$C:$F,4,0),"")</f>
        <v/>
      </c>
      <c r="L26" s="127" t="str">
        <f>IF(I26="", "", IF(ISNUMBER(MATCH(SUBSTITUTE(I26, "_AM1", ""), 'Resumo Mapa'!A:A, 0)), "✅", "❌"))</f>
        <v/>
      </c>
      <c r="M26" s="58" t="s">
        <v>440</v>
      </c>
      <c r="N26" s="129" t="str">
        <f>IFERROR(VLOOKUP(CONCATENATE("Onda 3"," - ",A26),'Dist expedição'!P:S,3,0),"")</f>
        <v>P7_AM1</v>
      </c>
      <c r="O26" s="125" t="str">
        <f>IFERROR(VLOOKUP(N26,'Dist expedição'!$C:$E,2,0),"")</f>
        <v>AM1_19</v>
      </c>
      <c r="P26" s="125" t="str">
        <f>IFERROR(VLOOKUP(N26,'Dist expedição'!$C:$F,4,0),"")</f>
        <v>PARCEIRO SPOT SOLUCOES</v>
      </c>
      <c r="Q26" s="126" t="str">
        <f>IF(N26="", "", IF(ISNUMBER(MATCH(SUBSTITUTE(N26, "_AM1", ""), 'Resumo Mapa'!A:A, 0)), "✅", "❌"))</f>
        <v>❌</v>
      </c>
      <c r="R26" s="123" t="str">
        <f>IFERROR(VLOOKUP(CONCATENATE("Onda 4"," - ",A26),'Dist expedição'!P:S,3,0),"")</f>
        <v>D1_AM1</v>
      </c>
      <c r="S26" s="125" t="str">
        <f>IFERROR(VLOOKUP(R26,'Dist expedição'!$C:$E,2,0),"")</f>
        <v>AM1_15</v>
      </c>
      <c r="T26" s="125" t="str">
        <f>IFERROR(VLOOKUP(R26,'Dist expedição'!$C:$F,4,0),"")</f>
        <v>Hawk Transportes</v>
      </c>
      <c r="U26" s="125" t="str">
        <f>IF(R26="", "", IF(ISNUMBER(MATCH(SUBSTITUTE(R26, "_AM1", ""), 'Resumo Mapa'!A:A, 0)), "✅", "❌"))</f>
        <v>✅</v>
      </c>
      <c r="V26" s="123" t="str">
        <f>IFERROR(VLOOKUP(CONCATENATE("Onda 5"," - ",A26),'Dist expedição'!P:S,3,0),"")</f>
        <v>C1_AM1</v>
      </c>
      <c r="W26" s="125" t="str">
        <f>IFERROR(VLOOKUP(V26,'Dist expedição'!$C:$E,2,0),"")</f>
        <v>AM1_103</v>
      </c>
      <c r="X26" s="125" t="str">
        <f>IFERROR(VLOOKUP(V26,'Dist expedição'!$C:$F,4,0),"")</f>
        <v>RodaCoop</v>
      </c>
      <c r="Y26" s="126" t="str">
        <f>IF(V26="", "", IF(ISNUMBER(MATCH(SUBSTITUTE(V26, "_AM1", ""), 'Resumo Mapa'!A:A, 0)), "✅", "❌"))</f>
        <v>❌</v>
      </c>
      <c r="Z26" s="123" t="str">
        <f>IFERROR(VLOOKUP(CONCATENATE("Onda 6"," - ",A26),'Dist expedição'!P:S,3,0),"")</f>
        <v>C2_AM1</v>
      </c>
      <c r="AA26" s="125" t="str">
        <f>IFERROR(VLOOKUP(Z26,'Dist expedição'!$C:$E,2,0),"")</f>
        <v>AM1_102</v>
      </c>
      <c r="AB26" s="125" t="str">
        <f>IFERROR(VLOOKUP(Z26,'Dist expedição'!$C:$F,4,0),"")</f>
        <v>Envios Extra</v>
      </c>
      <c r="AC26" s="126" t="str">
        <f>IF(Z26="", "", IF(ISNUMBER(MATCH(SUBSTITUTE(Z26, "_AM1", ""), 'Resumo Mapa'!A:A, 0)), "✅", "❌"))</f>
        <v>❌</v>
      </c>
      <c r="AD26" s="123" t="str">
        <f>IFERROR(VLOOKUP(CONCATENATE("Onda 7"," - ",A26),'Dist expedição'!P:S,3,0),"")</f>
        <v/>
      </c>
      <c r="AE26" s="125" t="str">
        <f>IFERROR(VLOOKUP(AD26,'Dist expedição'!$C:$E,2,0),"")</f>
        <v/>
      </c>
      <c r="AF26" s="125" t="str">
        <f>IFERROR(VLOOKUP(AD26,'Dist expedição'!$C:$F,4,0),"")</f>
        <v/>
      </c>
      <c r="AG26" s="126" t="str">
        <f>IF(AD26="", "", IF(ISNUMBER(MATCH(SUBSTITUTE(AD26, "_AM1", ""), 'Resumo Mapa'!A:A, 0)), "✅", "❌"))</f>
        <v/>
      </c>
    </row>
    <row r="27" ht="15.75" customHeight="1">
      <c r="A27" s="60" t="s">
        <v>442</v>
      </c>
      <c r="B27" s="137" t="s">
        <v>443</v>
      </c>
      <c r="C27" s="137" t="s">
        <v>444</v>
      </c>
      <c r="D27" s="138" t="s">
        <v>436</v>
      </c>
      <c r="E27" s="104" t="str">
        <f>IFERROR(VLOOKUP(CONCATENATE("Onda 1"," - ",A27),'Dist expedição'!P:S,3,0),"")</f>
        <v/>
      </c>
      <c r="F27" s="105" t="str">
        <f>IFERROR(VLOOKUP(E27,'Dist expedição'!$C:$E,2,0),"")</f>
        <v/>
      </c>
      <c r="G27" s="105" t="str">
        <f>IFERROR(VLOOKUP(E27,'Dist expedição'!$C:$F,4,0),"")</f>
        <v/>
      </c>
      <c r="H27" s="106" t="str">
        <f>IF(E27="", "", IF(ISNUMBER(MATCH(SUBSTITUTE(E27, "_AM1", ""), 'Resumo Mapa'!A:A, 0)), "✅", "❌"))</f>
        <v/>
      </c>
      <c r="I27" s="104" t="str">
        <f>IFERROR(VLOOKUP(CONCATENATE("Onda 2"," - ",A27),'Dist expedição'!P:S,3,0),"")</f>
        <v/>
      </c>
      <c r="J27" s="105" t="str">
        <f>IFERROR(VLOOKUP(I27,'Dist expedição'!$C:$E,2,0),"")</f>
        <v/>
      </c>
      <c r="K27" s="105" t="str">
        <f>IFERROR(VLOOKUP(I27,'Dist expedição'!$C:$F,4,0),"")</f>
        <v/>
      </c>
      <c r="L27" s="107" t="str">
        <f>IF(I27="", "", IF(ISNUMBER(MATCH(SUBSTITUTE(I27, "_AM1", ""), 'Resumo Mapa'!A:A, 0)), "✅", "❌"))</f>
        <v/>
      </c>
      <c r="M27" s="66" t="s">
        <v>442</v>
      </c>
      <c r="N27" s="108" t="str">
        <f>IFERROR(VLOOKUP(CONCATENATE("Onda 3"," - ",A27),'Dist expedição'!P:S,3,0),"")</f>
        <v>VN6_AM1</v>
      </c>
      <c r="O27" s="105" t="str">
        <f>IFERROR(VLOOKUP(N27,'Dist expedição'!$C:$E,2,0),"")</f>
        <v>AM1_3</v>
      </c>
      <c r="P27" s="105" t="str">
        <f>IFERROR(VLOOKUP(N27,'Dist expedição'!$C:$F,4,0),"")</f>
        <v>PARCEIRO SPOT SOLUCOES</v>
      </c>
      <c r="Q27" s="106" t="str">
        <f>IF(N27="", "", IF(ISNUMBER(MATCH(SUBSTITUTE(N27, "_AM1", ""), 'Resumo Mapa'!A:A, 0)), "✅", "❌"))</f>
        <v>❌</v>
      </c>
      <c r="R27" s="104" t="str">
        <f>IFERROR(VLOOKUP(CONCATENATE("Onda 4"," - ",A27),'Dist expedição'!P:S,3,0),"")</f>
        <v>I1_AM1</v>
      </c>
      <c r="S27" s="105" t="str">
        <f>IFERROR(VLOOKUP(R27,'Dist expedição'!$C:$E,2,0),"")</f>
        <v>AM1_60</v>
      </c>
      <c r="T27" s="105" t="str">
        <f>IFERROR(VLOOKUP(R27,'Dist expedição'!$C:$F,4,0),"")</f>
        <v>PARCEIRO SPOT SOLUCOES</v>
      </c>
      <c r="U27" s="105" t="str">
        <f>IF(R27="", "", IF(ISNUMBER(MATCH(SUBSTITUTE(R27, "_AM1", ""), 'Resumo Mapa'!A:A, 0)), "✅", "❌"))</f>
        <v>✅</v>
      </c>
      <c r="V27" s="104" t="str">
        <f>IFERROR(VLOOKUP(CONCATENATE("Onda 5"," - ",A27),'Dist expedição'!P:S,3,0),"")</f>
        <v>C3_AM1</v>
      </c>
      <c r="W27" s="105" t="str">
        <f>IFERROR(VLOOKUP(V27,'Dist expedição'!$C:$E,2,0),"")</f>
        <v>AM1_106</v>
      </c>
      <c r="X27" s="105" t="str">
        <f>IFERROR(VLOOKUP(V27,'Dist expedição'!$C:$F,4,0),"")</f>
        <v>PARCEIRO SPOT SOLUCOES</v>
      </c>
      <c r="Y27" s="106" t="str">
        <f>IF(V27="", "", IF(ISNUMBER(MATCH(SUBSTITUTE(V27, "_AM1", ""), 'Resumo Mapa'!A:A, 0)), "✅", "❌"))</f>
        <v>✅</v>
      </c>
      <c r="Z27" s="104" t="str">
        <f>IFERROR(VLOOKUP(CONCATENATE("Onda 6"," - ",A27),'Dist expedição'!P:S,3,0),"")</f>
        <v>H7_AM1</v>
      </c>
      <c r="AA27" s="105" t="str">
        <f>IFERROR(VLOOKUP(Z27,'Dist expedição'!$C:$E,2,0),"")</f>
        <v>AM1_46</v>
      </c>
      <c r="AB27" s="105" t="str">
        <f>IFERROR(VLOOKUP(Z27,'Dist expedição'!$C:$F,4,0),"")</f>
        <v>Kangu Logistics</v>
      </c>
      <c r="AC27" s="106" t="str">
        <f>IF(Z27="", "", IF(ISNUMBER(MATCH(SUBSTITUTE(Z27, "_AM1", ""), 'Resumo Mapa'!A:A, 0)), "✅", "❌"))</f>
        <v>❌</v>
      </c>
      <c r="AD27" s="104" t="str">
        <f>IFERROR(VLOOKUP(CONCATENATE("Onda 7"," - ",A27),'Dist expedição'!P:S,3,0),"")</f>
        <v/>
      </c>
      <c r="AE27" s="105" t="str">
        <f>IFERROR(VLOOKUP(AD27,'Dist expedição'!$C:$E,2,0),"")</f>
        <v/>
      </c>
      <c r="AF27" s="105" t="str">
        <f>IFERROR(VLOOKUP(AD27,'Dist expedição'!$C:$F,4,0),"")</f>
        <v/>
      </c>
      <c r="AG27" s="106" t="str">
        <f>IF(AD27="", "", IF(ISNUMBER(MATCH(SUBSTITUTE(AD27, "_AM1", ""), 'Resumo Mapa'!A:A, 0)), "✅", "❌"))</f>
        <v/>
      </c>
    </row>
    <row r="28" ht="15.75" customHeight="1">
      <c r="A28" s="52" t="s">
        <v>445</v>
      </c>
      <c r="B28" s="139" t="s">
        <v>446</v>
      </c>
      <c r="C28" s="139" t="s">
        <v>444</v>
      </c>
      <c r="D28" s="140" t="s">
        <v>436</v>
      </c>
      <c r="E28" s="123" t="str">
        <f>IFERROR(VLOOKUP(CONCATENATE("Onda 1"," - ",A28),'Dist expedição'!P:S,3,0),"")</f>
        <v/>
      </c>
      <c r="F28" s="125" t="str">
        <f>IFERROR(VLOOKUP(E28,'Dist expedição'!$C:$E,2,0),"")</f>
        <v/>
      </c>
      <c r="G28" s="125" t="str">
        <f>IFERROR(VLOOKUP(E28,'Dist expedição'!$C:$F,4,0),"")</f>
        <v/>
      </c>
      <c r="H28" s="126" t="str">
        <f>IF(E28="", "", IF(ISNUMBER(MATCH(SUBSTITUTE(E28, "_AM1", ""), 'Resumo Mapa'!A:A, 0)), "✅", "❌"))</f>
        <v/>
      </c>
      <c r="I28" s="123" t="str">
        <f>IFERROR(VLOOKUP(CONCATENATE("Onda 2"," - ",A28),'Dist expedição'!P:S,3,0),"")</f>
        <v/>
      </c>
      <c r="J28" s="125" t="str">
        <f>IFERROR(VLOOKUP(I28,'Dist expedição'!$C:$E,2,0),"")</f>
        <v/>
      </c>
      <c r="K28" s="125" t="str">
        <f>IFERROR(VLOOKUP(I28,'Dist expedição'!$C:$F,4,0),"")</f>
        <v/>
      </c>
      <c r="L28" s="127" t="str">
        <f>IF(I28="", "", IF(ISNUMBER(MATCH(SUBSTITUTE(I28, "_AM1", ""), 'Resumo Mapa'!A:A, 0)), "✅", "❌"))</f>
        <v/>
      </c>
      <c r="M28" s="58" t="s">
        <v>445</v>
      </c>
      <c r="N28" s="129" t="str">
        <f>IFERROR(VLOOKUP(CONCATENATE("Onda 3"," - ",A28),'Dist expedição'!P:S,3,0),"")</f>
        <v>Q5_AM1</v>
      </c>
      <c r="O28" s="125" t="str">
        <f>IFERROR(VLOOKUP(N28,'Dist expedição'!$C:$E,2,0),"")</f>
        <v>AM1_5</v>
      </c>
      <c r="P28" s="125" t="str">
        <f>IFERROR(VLOOKUP(N28,'Dist expedição'!$C:$F,4,0),"")</f>
        <v>PARCEIRO SPOT SOLUCOES</v>
      </c>
      <c r="Q28" s="126" t="str">
        <f>IF(N28="", "", IF(ISNUMBER(MATCH(SUBSTITUTE(N28, "_AM1", ""), 'Resumo Mapa'!A:A, 0)), "✅", "❌"))</f>
        <v>❌</v>
      </c>
      <c r="R28" s="123" t="str">
        <f>IFERROR(VLOOKUP(CONCATENATE("Onda 4"," - ",A28),'Dist expedição'!P:S,3,0),"")</f>
        <v>B2_AM1</v>
      </c>
      <c r="S28" s="125" t="str">
        <f>IFERROR(VLOOKUP(R28,'Dist expedição'!$C:$E,2,0),"")</f>
        <v>AM1_110</v>
      </c>
      <c r="T28" s="125" t="str">
        <f>IFERROR(VLOOKUP(R28,'Dist expedição'!$C:$F,4,0),"")</f>
        <v>PARCEIRO SPOT SOLUCOES</v>
      </c>
      <c r="U28" s="125" t="str">
        <f>IF(R28="", "", IF(ISNUMBER(MATCH(SUBSTITUTE(R28, "_AM1", ""), 'Resumo Mapa'!A:A, 0)), "✅", "❌"))</f>
        <v>❌</v>
      </c>
      <c r="V28" s="123" t="str">
        <f>IFERROR(VLOOKUP(CONCATENATE("Onda 5"," - ",A28),'Dist expedição'!P:S,3,0),"")</f>
        <v>C9_AM1</v>
      </c>
      <c r="W28" s="125" t="str">
        <f>IFERROR(VLOOKUP(V28,'Dist expedição'!$C:$E,2,0),"")</f>
        <v>AM1_114</v>
      </c>
      <c r="X28" s="125" t="str">
        <f>IFERROR(VLOOKUP(V28,'Dist expedição'!$C:$F,4,0),"")</f>
        <v>Kangu Logistics</v>
      </c>
      <c r="Y28" s="126" t="str">
        <f>IF(V28="", "", IF(ISNUMBER(MATCH(SUBSTITUTE(V28, "_AM1", ""), 'Resumo Mapa'!A:A, 0)), "✅", "❌"))</f>
        <v>❌</v>
      </c>
      <c r="Z28" s="123" t="str">
        <f>IFERROR(VLOOKUP(CONCATENATE("Onda 6"," - ",A28),'Dist expedição'!P:S,3,0),"")</f>
        <v>I6_AM1</v>
      </c>
      <c r="AA28" s="125" t="str">
        <f>IFERROR(VLOOKUP(Z28,'Dist expedição'!$C:$E,2,0),"")</f>
        <v>AM1_49</v>
      </c>
      <c r="AB28" s="125" t="str">
        <f>IFERROR(VLOOKUP(Z28,'Dist expedição'!$C:$F,4,0),"")</f>
        <v>PARCEIRO SPOT SOLUCOES</v>
      </c>
      <c r="AC28" s="126" t="str">
        <f>IF(Z28="", "", IF(ISNUMBER(MATCH(SUBSTITUTE(Z28, "_AM1", ""), 'Resumo Mapa'!A:A, 0)), "✅", "❌"))</f>
        <v>❌</v>
      </c>
      <c r="AD28" s="123" t="str">
        <f>IFERROR(VLOOKUP(CONCATENATE("Onda 7"," - ",A28),'Dist expedição'!P:S,3,0),"")</f>
        <v/>
      </c>
      <c r="AE28" s="125" t="str">
        <f>IFERROR(VLOOKUP(AD28,'Dist expedição'!$C:$E,2,0),"")</f>
        <v/>
      </c>
      <c r="AF28" s="125" t="str">
        <f>IFERROR(VLOOKUP(AD28,'Dist expedição'!$C:$F,4,0),"")</f>
        <v/>
      </c>
      <c r="AG28" s="126" t="str">
        <f>IF(AD28="", "", IF(ISNUMBER(MATCH(SUBSTITUTE(AD28, "_AM1", ""), 'Resumo Mapa'!A:A, 0)), "✅", "❌"))</f>
        <v/>
      </c>
    </row>
    <row r="29" ht="15.75" customHeight="1">
      <c r="A29" s="60" t="s">
        <v>447</v>
      </c>
      <c r="B29" s="137" t="s">
        <v>448</v>
      </c>
      <c r="C29" s="137" t="s">
        <v>449</v>
      </c>
      <c r="D29" s="138" t="s">
        <v>436</v>
      </c>
      <c r="E29" s="104" t="str">
        <f>IFERROR(VLOOKUP(CONCATENATE("Onda 1"," - ",A29),'Dist expedição'!P:S,3,0),"")</f>
        <v/>
      </c>
      <c r="F29" s="105" t="str">
        <f>IFERROR(VLOOKUP(E29,'Dist expedição'!$C:$E,2,0),"")</f>
        <v/>
      </c>
      <c r="G29" s="105" t="str">
        <f>IFERROR(VLOOKUP(E29,'Dist expedição'!$C:$F,4,0),"")</f>
        <v/>
      </c>
      <c r="H29" s="106" t="str">
        <f>IF(E29="", "", IF(ISNUMBER(MATCH(SUBSTITUTE(E29, "_AM1", ""), 'Resumo Mapa'!A:A, 0)), "✅", "❌"))</f>
        <v/>
      </c>
      <c r="I29" s="104" t="str">
        <f>IFERROR(VLOOKUP(CONCATENATE("Onda 2"," - ",A29),'Dist expedição'!P:S,3,0),"")</f>
        <v/>
      </c>
      <c r="J29" s="105" t="str">
        <f>IFERROR(VLOOKUP(I29,'Dist expedição'!$C:$E,2,0),"")</f>
        <v/>
      </c>
      <c r="K29" s="105" t="str">
        <f>IFERROR(VLOOKUP(I29,'Dist expedição'!$C:$F,4,0),"")</f>
        <v/>
      </c>
      <c r="L29" s="107" t="str">
        <f>IF(I29="", "", IF(ISNUMBER(MATCH(SUBSTITUTE(I29, "_AM1", ""), 'Resumo Mapa'!A:A, 0)), "✅", "❌"))</f>
        <v/>
      </c>
      <c r="M29" s="66" t="s">
        <v>447</v>
      </c>
      <c r="N29" s="108" t="str">
        <f>IFERROR(VLOOKUP(CONCATENATE("Onda 3"," - ",A29),'Dist expedição'!P:S,3,0),"")</f>
        <v>P4_AM1</v>
      </c>
      <c r="O29" s="105" t="str">
        <f>IFERROR(VLOOKUP(N29,'Dist expedição'!$C:$E,2,0),"")</f>
        <v>AM1_65</v>
      </c>
      <c r="P29" s="105" t="str">
        <f>IFERROR(VLOOKUP(N29,'Dist expedição'!$C:$F,4,0),"")</f>
        <v>A L C TRANSPORTES</v>
      </c>
      <c r="Q29" s="106" t="str">
        <f>IF(N29="", "", IF(ISNUMBER(MATCH(SUBSTITUTE(N29, "_AM1", ""), 'Resumo Mapa'!A:A, 0)), "✅", "❌"))</f>
        <v>❌</v>
      </c>
      <c r="R29" s="104" t="str">
        <f>IFERROR(VLOOKUP(CONCATENATE("Onda 4"," - ",A29),'Dist expedição'!P:S,3,0),"")</f>
        <v>A4_AM1</v>
      </c>
      <c r="S29" s="105" t="str">
        <f>IFERROR(VLOOKUP(R29,'Dist expedição'!$C:$E,2,0),"")</f>
        <v>AM1_124</v>
      </c>
      <c r="T29" s="105" t="str">
        <f>IFERROR(VLOOKUP(R29,'Dist expedição'!$C:$F,4,0),"")</f>
        <v>A L C TRANSPORTES</v>
      </c>
      <c r="U29" s="105" t="str">
        <f>IF(R29="", "", IF(ISNUMBER(MATCH(SUBSTITUTE(R29, "_AM1", ""), 'Resumo Mapa'!A:A, 0)), "✅", "❌"))</f>
        <v>❌</v>
      </c>
      <c r="V29" s="104" t="str">
        <f>IFERROR(VLOOKUP(CONCATENATE("Onda 5"," - ",A29),'Dist expedição'!P:S,3,0),"")</f>
        <v>C8_AM1</v>
      </c>
      <c r="W29" s="105" t="str">
        <f>IFERROR(VLOOKUP(V29,'Dist expedição'!$C:$E,2,0),"")</f>
        <v>AM1_109</v>
      </c>
      <c r="X29" s="105" t="str">
        <f>IFERROR(VLOOKUP(V29,'Dist expedição'!$C:$F,4,0),"")</f>
        <v>Kangu Logistics</v>
      </c>
      <c r="Y29" s="106" t="str">
        <f>IF(V29="", "", IF(ISNUMBER(MATCH(SUBSTITUTE(V29, "_AM1", ""), 'Resumo Mapa'!A:A, 0)), "✅", "❌"))</f>
        <v>❌</v>
      </c>
      <c r="Z29" s="104" t="str">
        <f>IFERROR(VLOOKUP(CONCATENATE("Onda 6"," - ",A29),'Dist expedição'!P:S,3,0),"")</f>
        <v>H4_AM1</v>
      </c>
      <c r="AA29" s="105" t="str">
        <f>IFERROR(VLOOKUP(Z29,'Dist expedição'!$C:$E,2,0),"")</f>
        <v>AM1_17</v>
      </c>
      <c r="AB29" s="105" t="str">
        <f>IFERROR(VLOOKUP(Z29,'Dist expedição'!$C:$F,4,0),"")</f>
        <v>Hawk Transportes</v>
      </c>
      <c r="AC29" s="106" t="str">
        <f>IF(Z29="", "", IF(ISNUMBER(MATCH(SUBSTITUTE(Z29, "_AM1", ""), 'Resumo Mapa'!A:A, 0)), "✅", "❌"))</f>
        <v>❌</v>
      </c>
      <c r="AD29" s="104" t="str">
        <f>IFERROR(VLOOKUP(CONCATENATE("Onda 7"," - ",A29),'Dist expedição'!P:S,3,0),"")</f>
        <v/>
      </c>
      <c r="AE29" s="105" t="str">
        <f>IFERROR(VLOOKUP(AD29,'Dist expedição'!$C:$E,2,0),"")</f>
        <v/>
      </c>
      <c r="AF29" s="105" t="str">
        <f>IFERROR(VLOOKUP(AD29,'Dist expedição'!$C:$F,4,0),"")</f>
        <v/>
      </c>
      <c r="AG29" s="106" t="str">
        <f>IF(AD29="", "", IF(ISNUMBER(MATCH(SUBSTITUTE(AD29, "_AM1", ""), 'Resumo Mapa'!A:A, 0)), "✅", "❌"))</f>
        <v/>
      </c>
    </row>
    <row r="30" ht="15.75" customHeight="1">
      <c r="A30" s="52" t="s">
        <v>450</v>
      </c>
      <c r="B30" s="139" t="s">
        <v>451</v>
      </c>
      <c r="C30" s="139" t="s">
        <v>449</v>
      </c>
      <c r="D30" s="140" t="s">
        <v>436</v>
      </c>
      <c r="E30" s="123" t="str">
        <f>IFERROR(VLOOKUP(CONCATENATE("Onda 1"," - ",A30),'Dist expedição'!P:S,3,0),"")</f>
        <v/>
      </c>
      <c r="F30" s="125" t="str">
        <f>IFERROR(VLOOKUP(E30,'Dist expedição'!$C:$E,2,0),"")</f>
        <v/>
      </c>
      <c r="G30" s="125" t="str">
        <f>IFERROR(VLOOKUP(E30,'Dist expedição'!$C:$F,4,0),"")</f>
        <v/>
      </c>
      <c r="H30" s="126" t="str">
        <f>IF(E30="", "", IF(ISNUMBER(MATCH(SUBSTITUTE(E30, "_AM1", ""), 'Resumo Mapa'!A:A, 0)), "✅", "❌"))</f>
        <v/>
      </c>
      <c r="I30" s="123" t="str">
        <f>IFERROR(VLOOKUP(CONCATENATE("Onda 2"," - ",A30),'Dist expedição'!P:S,3,0),"")</f>
        <v/>
      </c>
      <c r="J30" s="125" t="str">
        <f>IFERROR(VLOOKUP(I30,'Dist expedição'!$C:$E,2,0),"")</f>
        <v/>
      </c>
      <c r="K30" s="125" t="str">
        <f>IFERROR(VLOOKUP(I30,'Dist expedição'!$C:$F,4,0),"")</f>
        <v/>
      </c>
      <c r="L30" s="127" t="str">
        <f>IF(I30="", "", IF(ISNUMBER(MATCH(SUBSTITUTE(I30, "_AM1", ""), 'Resumo Mapa'!A:A, 0)), "✅", "❌"))</f>
        <v/>
      </c>
      <c r="M30" s="58" t="s">
        <v>450</v>
      </c>
      <c r="N30" s="129" t="str">
        <f>IFERROR(VLOOKUP(CONCATENATE("Onda 3"," - ",A30),'Dist expedição'!P:S,3,0),"")</f>
        <v>P8_AM1</v>
      </c>
      <c r="O30" s="125" t="str">
        <f>IFERROR(VLOOKUP(N30,'Dist expedição'!$C:$E,2,0),"")</f>
        <v>AM1_43</v>
      </c>
      <c r="P30" s="125" t="str">
        <f>IFERROR(VLOOKUP(N30,'Dist expedição'!$C:$F,4,0),"")</f>
        <v>A L C TRANSPORTES</v>
      </c>
      <c r="Q30" s="126" t="str">
        <f>IF(N30="", "", IF(ISNUMBER(MATCH(SUBSTITUTE(N30, "_AM1", ""), 'Resumo Mapa'!A:A, 0)), "✅", "❌"))</f>
        <v>❌</v>
      </c>
      <c r="R30" s="123" t="str">
        <f>IFERROR(VLOOKUP(CONCATENATE("Onda 4"," - ",A30),'Dist expedição'!P:S,3,0),"")</f>
        <v>A5_AM1</v>
      </c>
      <c r="S30" s="125" t="str">
        <f>IFERROR(VLOOKUP(R30,'Dist expedição'!$C:$E,2,0),"")</f>
        <v>AM1_123</v>
      </c>
      <c r="T30" s="125" t="str">
        <f>IFERROR(VLOOKUP(R30,'Dist expedição'!$C:$F,4,0),"")</f>
        <v>A L C TRANSPORTES</v>
      </c>
      <c r="U30" s="125" t="str">
        <f>IF(R30="", "", IF(ISNUMBER(MATCH(SUBSTITUTE(R30, "_AM1", ""), 'Resumo Mapa'!A:A, 0)), "✅", "❌"))</f>
        <v>❌</v>
      </c>
      <c r="V30" s="123" t="str">
        <f>IFERROR(VLOOKUP(CONCATENATE("Onda 5"," - ",A30),'Dist expedição'!P:S,3,0),"")</f>
        <v>D5_AM1</v>
      </c>
      <c r="W30" s="125" t="str">
        <f>IFERROR(VLOOKUP(V30,'Dist expedição'!$C:$E,2,0),"")</f>
        <v>AM1_107</v>
      </c>
      <c r="X30" s="125" t="str">
        <f>IFERROR(VLOOKUP(V30,'Dist expedição'!$C:$F,4,0),"")</f>
        <v>Kangu Logistics</v>
      </c>
      <c r="Y30" s="126" t="str">
        <f>IF(V30="", "", IF(ISNUMBER(MATCH(SUBSTITUTE(V30, "_AM1", ""), 'Resumo Mapa'!A:A, 0)), "✅", "❌"))</f>
        <v>❌</v>
      </c>
      <c r="Z30" s="123" t="str">
        <f>IFERROR(VLOOKUP(CONCATENATE("Onda 6"," - ",A30),'Dist expedição'!P:S,3,0),"")</f>
        <v>H2_AM1</v>
      </c>
      <c r="AA30" s="125" t="str">
        <f>IFERROR(VLOOKUP(Z30,'Dist expedição'!$C:$E,2,0),"")</f>
        <v>AM1_39</v>
      </c>
      <c r="AB30" s="125" t="str">
        <f>IFERROR(VLOOKUP(Z30,'Dist expedição'!$C:$F,4,0),"")</f>
        <v>Hawk Transportes</v>
      </c>
      <c r="AC30" s="126" t="str">
        <f>IF(Z30="", "", IF(ISNUMBER(MATCH(SUBSTITUTE(Z30, "_AM1", ""), 'Resumo Mapa'!A:A, 0)), "✅", "❌"))</f>
        <v>❌</v>
      </c>
      <c r="AD30" s="123" t="str">
        <f>IFERROR(VLOOKUP(CONCATENATE("Onda 7"," - ",A30),'Dist expedição'!P:S,3,0),"")</f>
        <v/>
      </c>
      <c r="AE30" s="125" t="str">
        <f>IFERROR(VLOOKUP(AD30,'Dist expedição'!$C:$E,2,0),"")</f>
        <v/>
      </c>
      <c r="AF30" s="125" t="str">
        <f>IFERROR(VLOOKUP(AD30,'Dist expedição'!$C:$F,4,0),"")</f>
        <v/>
      </c>
      <c r="AG30" s="126" t="str">
        <f>IF(AD30="", "", IF(ISNUMBER(MATCH(SUBSTITUTE(AD30, "_AM1", ""), 'Resumo Mapa'!A:A, 0)), "✅", "❌"))</f>
        <v/>
      </c>
    </row>
    <row r="31" ht="15.75" customHeight="1">
      <c r="A31" s="60" t="s">
        <v>452</v>
      </c>
      <c r="B31" s="137" t="s">
        <v>453</v>
      </c>
      <c r="C31" s="137" t="s">
        <v>454</v>
      </c>
      <c r="D31" s="138" t="s">
        <v>455</v>
      </c>
      <c r="E31" s="104" t="str">
        <f>IFERROR(VLOOKUP(CONCATENATE("Onda 1"," - ",A31),'Dist expedição'!P:S,3,0),"")</f>
        <v/>
      </c>
      <c r="F31" s="105" t="str">
        <f>IFERROR(VLOOKUP(E31,'Dist expedição'!$C:$E,2,0),"")</f>
        <v/>
      </c>
      <c r="G31" s="105" t="str">
        <f>IFERROR(VLOOKUP(E31,'Dist expedição'!$C:$F,4,0),"")</f>
        <v/>
      </c>
      <c r="H31" s="106" t="str">
        <f>IF(E31="", "", IF(ISNUMBER(MATCH(SUBSTITUTE(E31, "_AM1", ""), 'Resumo Mapa'!A:A, 0)), "✅", "❌"))</f>
        <v/>
      </c>
      <c r="I31" s="104" t="str">
        <f>IFERROR(VLOOKUP(CONCATENATE("Onda 2"," - ",A31),'Dist expedição'!P:S,3,0),"")</f>
        <v/>
      </c>
      <c r="J31" s="105" t="str">
        <f>IFERROR(VLOOKUP(I31,'Dist expedição'!$C:$E,2,0),"")</f>
        <v/>
      </c>
      <c r="K31" s="105" t="str">
        <f>IFERROR(VLOOKUP(I31,'Dist expedição'!$C:$F,4,0),"")</f>
        <v/>
      </c>
      <c r="L31" s="107" t="str">
        <f>IF(I31="", "", IF(ISNUMBER(MATCH(SUBSTITUTE(I31, "_AM1", ""), 'Resumo Mapa'!A:A, 0)), "✅", "❌"))</f>
        <v/>
      </c>
      <c r="M31" s="66" t="s">
        <v>452</v>
      </c>
      <c r="N31" s="108" t="str">
        <f>IFERROR(VLOOKUP(CONCATENATE("Onda 3"," - ",A31),'Dist expedição'!P:S,3,0),"")</f>
        <v>Q8_AM1</v>
      </c>
      <c r="O31" s="105" t="str">
        <f>IFERROR(VLOOKUP(N31,'Dist expedição'!$C:$E,2,0),"")</f>
        <v>AM1_58</v>
      </c>
      <c r="P31" s="105" t="str">
        <f>IFERROR(VLOOKUP(N31,'Dist expedição'!$C:$F,4,0),"")</f>
        <v>A L C TRANSPORTES</v>
      </c>
      <c r="Q31" s="106" t="str">
        <f>IF(N31="", "", IF(ISNUMBER(MATCH(SUBSTITUTE(N31, "_AM1", ""), 'Resumo Mapa'!A:A, 0)), "✅", "❌"))</f>
        <v>❌</v>
      </c>
      <c r="R31" s="104" t="str">
        <f>IFERROR(VLOOKUP(CONCATENATE("Onda 4"," - ",A31),'Dist expedição'!P:S,3,0),"")</f>
        <v>A6_AM1</v>
      </c>
      <c r="S31" s="105" t="str">
        <f>IFERROR(VLOOKUP(R31,'Dist expedição'!$C:$E,2,0),"")</f>
        <v>AM1_121</v>
      </c>
      <c r="T31" s="105" t="str">
        <f>IFERROR(VLOOKUP(R31,'Dist expedição'!$C:$F,4,0),"")</f>
        <v>HELP ME SOLUCOES</v>
      </c>
      <c r="U31" s="105" t="str">
        <f>IF(R31="", "", IF(ISNUMBER(MATCH(SUBSTITUTE(R31, "_AM1", ""), 'Resumo Mapa'!A:A, 0)), "✅", "❌"))</f>
        <v>❌</v>
      </c>
      <c r="V31" s="104" t="str">
        <f>IFERROR(VLOOKUP(CONCATENATE("Onda 5"," - ",A31),'Dist expedição'!P:S,3,0),"")</f>
        <v>C5_AM1</v>
      </c>
      <c r="W31" s="105" t="str">
        <f>IFERROR(VLOOKUP(V31,'Dist expedição'!$C:$E,2,0),"")</f>
        <v>AM1_112</v>
      </c>
      <c r="X31" s="105" t="str">
        <f>IFERROR(VLOOKUP(V31,'Dist expedição'!$C:$F,4,0),"")</f>
        <v>Hawk Transportes</v>
      </c>
      <c r="Y31" s="106" t="str">
        <f>IF(V31="", "", IF(ISNUMBER(MATCH(SUBSTITUTE(V31, "_AM1", ""), 'Resumo Mapa'!A:A, 0)), "✅", "❌"))</f>
        <v>❌</v>
      </c>
      <c r="Z31" s="104" t="str">
        <f>IFERROR(VLOOKUP(CONCATENATE("Onda 6"," - ",A31),'Dist expedição'!P:S,3,0),"")</f>
        <v>I5_AM1</v>
      </c>
      <c r="AA31" s="105" t="str">
        <f>IFERROR(VLOOKUP(Z31,'Dist expedição'!$C:$E,2,0),"")</f>
        <v>AM1_41</v>
      </c>
      <c r="AB31" s="105" t="str">
        <f>IFERROR(VLOOKUP(Z31,'Dist expedição'!$C:$F,4,0),"")</f>
        <v>Hawk Transportes</v>
      </c>
      <c r="AC31" s="106" t="str">
        <f>IF(Z31="", "", IF(ISNUMBER(MATCH(SUBSTITUTE(Z31, "_AM1", ""), 'Resumo Mapa'!A:A, 0)), "✅", "❌"))</f>
        <v>❌</v>
      </c>
      <c r="AD31" s="104" t="str">
        <f>IFERROR(VLOOKUP(CONCATENATE("Onda 7"," - ",A31),'Dist expedição'!P:S,3,0),"")</f>
        <v/>
      </c>
      <c r="AE31" s="105" t="str">
        <f>IFERROR(VLOOKUP(AD31,'Dist expedição'!$C:$E,2,0),"")</f>
        <v/>
      </c>
      <c r="AF31" s="105" t="str">
        <f>IFERROR(VLOOKUP(AD31,'Dist expedição'!$C:$F,4,0),"")</f>
        <v/>
      </c>
      <c r="AG31" s="106" t="str">
        <f>IF(AD31="", "", IF(ISNUMBER(MATCH(SUBSTITUTE(AD31, "_AM1", ""), 'Resumo Mapa'!A:A, 0)), "✅", "❌"))</f>
        <v/>
      </c>
    </row>
    <row r="32" ht="15.75" customHeight="1">
      <c r="A32" s="52" t="s">
        <v>456</v>
      </c>
      <c r="B32" s="139" t="s">
        <v>457</v>
      </c>
      <c r="C32" s="139" t="s">
        <v>454</v>
      </c>
      <c r="D32" s="140" t="s">
        <v>455</v>
      </c>
      <c r="E32" s="123" t="str">
        <f>IFERROR(VLOOKUP(CONCATENATE("Onda 1"," - ",A32),'Dist expedição'!P:S,3,0),"")</f>
        <v/>
      </c>
      <c r="F32" s="125" t="str">
        <f>IFERROR(VLOOKUP(E32,'Dist expedição'!$C:$E,2,0),"")</f>
        <v/>
      </c>
      <c r="G32" s="125" t="str">
        <f>IFERROR(VLOOKUP(E32,'Dist expedição'!$C:$F,4,0),"")</f>
        <v/>
      </c>
      <c r="H32" s="126" t="str">
        <f>IF(E32="", "", IF(ISNUMBER(MATCH(SUBSTITUTE(E32, "_AM1", ""), 'Resumo Mapa'!A:A, 0)), "✅", "❌"))</f>
        <v/>
      </c>
      <c r="I32" s="123" t="str">
        <f>IFERROR(VLOOKUP(CONCATENATE("Onda 2"," - ",A32),'Dist expedição'!P:S,3,0),"")</f>
        <v/>
      </c>
      <c r="J32" s="125" t="str">
        <f>IFERROR(VLOOKUP(I32,'Dist expedição'!$C:$E,2,0),"")</f>
        <v/>
      </c>
      <c r="K32" s="125" t="str">
        <f>IFERROR(VLOOKUP(I32,'Dist expedição'!$C:$F,4,0),"")</f>
        <v/>
      </c>
      <c r="L32" s="127" t="str">
        <f>IF(I32="", "", IF(ISNUMBER(MATCH(SUBSTITUTE(I32, "_AM1", ""), 'Resumo Mapa'!A:A, 0)), "✅", "❌"))</f>
        <v/>
      </c>
      <c r="M32" s="58" t="s">
        <v>456</v>
      </c>
      <c r="N32" s="129" t="str">
        <f>IFERROR(VLOOKUP(CONCATENATE("Onda 3"," - ",A32),'Dist expedição'!P:S,3,0),"")</f>
        <v>P2_AM1</v>
      </c>
      <c r="O32" s="125" t="str">
        <f>IFERROR(VLOOKUP(N32,'Dist expedição'!$C:$E,2,0),"")</f>
        <v>AM1_70</v>
      </c>
      <c r="P32" s="125" t="str">
        <f>IFERROR(VLOOKUP(N32,'Dist expedição'!$C:$F,4,0),"")</f>
        <v>HELP ME SOLUCOES</v>
      </c>
      <c r="Q32" s="126" t="str">
        <f>IF(N32="", "", IF(ISNUMBER(MATCH(SUBSTITUTE(N32, "_AM1", ""), 'Resumo Mapa'!A:A, 0)), "✅", "❌"))</f>
        <v>❌</v>
      </c>
      <c r="R32" s="123" t="str">
        <f>IFERROR(VLOOKUP(CONCATENATE("Onda 4"," - ",A32),'Dist expedição'!P:S,3,0),"")</f>
        <v>A2_AM1</v>
      </c>
      <c r="S32" s="125" t="str">
        <f>IFERROR(VLOOKUP(R32,'Dist expedição'!$C:$E,2,0),"")</f>
        <v>AM1_127</v>
      </c>
      <c r="T32" s="125" t="str">
        <f>IFERROR(VLOOKUP(R32,'Dist expedição'!$C:$F,4,0),"")</f>
        <v>Hawk Transportes</v>
      </c>
      <c r="U32" s="125" t="str">
        <f>IF(R32="", "", IF(ISNUMBER(MATCH(SUBSTITUTE(R32, "_AM1", ""), 'Resumo Mapa'!A:A, 0)), "✅", "❌"))</f>
        <v>❌</v>
      </c>
      <c r="V32" s="123" t="str">
        <f>IFERROR(VLOOKUP(CONCATENATE("Onda 5"," - ",A32),'Dist expedição'!P:S,3,0),"")</f>
        <v>A3_AM1</v>
      </c>
      <c r="W32" s="125" t="str">
        <f>IFERROR(VLOOKUP(V32,'Dist expedição'!$C:$E,2,0),"")</f>
        <v>AM1_125</v>
      </c>
      <c r="X32" s="125" t="str">
        <f>IFERROR(VLOOKUP(V32,'Dist expedição'!$C:$F,4,0),"")</f>
        <v>Hawk Transportes</v>
      </c>
      <c r="Y32" s="126" t="str">
        <f>IF(V32="", "", IF(ISNUMBER(MATCH(SUBSTITUTE(V32, "_AM1", ""), 'Resumo Mapa'!A:A, 0)), "✅", "❌"))</f>
        <v>❌</v>
      </c>
      <c r="Z32" s="123" t="str">
        <f>IFERROR(VLOOKUP(CONCATENATE("Onda 6"," - ",A32),'Dist expedição'!P:S,3,0),"")</f>
        <v>C6_AM1</v>
      </c>
      <c r="AA32" s="125" t="str">
        <f>IFERROR(VLOOKUP(Z32,'Dist expedição'!$C:$E,2,0),"")</f>
        <v>AM1_113</v>
      </c>
      <c r="AB32" s="125" t="str">
        <f>IFERROR(VLOOKUP(Z32,'Dist expedição'!$C:$F,4,0),"")</f>
        <v>Envios Extra</v>
      </c>
      <c r="AC32" s="126" t="str">
        <f>IF(Z32="", "", IF(ISNUMBER(MATCH(SUBSTITUTE(Z32, "_AM1", ""), 'Resumo Mapa'!A:A, 0)), "✅", "❌"))</f>
        <v>❌</v>
      </c>
      <c r="AD32" s="123" t="str">
        <f>IFERROR(VLOOKUP(CONCATENATE("Onda 7"," - ",A32),'Dist expedição'!P:S,3,0),"")</f>
        <v/>
      </c>
      <c r="AE32" s="125" t="str">
        <f>IFERROR(VLOOKUP(AD32,'Dist expedição'!$C:$E,2,0),"")</f>
        <v/>
      </c>
      <c r="AF32" s="125" t="str">
        <f>IFERROR(VLOOKUP(AD32,'Dist expedição'!$C:$F,4,0),"")</f>
        <v/>
      </c>
      <c r="AG32" s="126" t="str">
        <f>IF(AD32="", "", IF(ISNUMBER(MATCH(SUBSTITUTE(AD32, "_AM1", ""), 'Resumo Mapa'!A:A, 0)), "✅", "❌"))</f>
        <v/>
      </c>
    </row>
    <row r="33" ht="15.75" customHeight="1">
      <c r="A33" s="60" t="s">
        <v>458</v>
      </c>
      <c r="B33" s="137" t="s">
        <v>459</v>
      </c>
      <c r="C33" s="137" t="s">
        <v>460</v>
      </c>
      <c r="D33" s="138" t="s">
        <v>455</v>
      </c>
      <c r="E33" s="104" t="str">
        <f>IFERROR(VLOOKUP(CONCATENATE("Onda 1"," - ",A33),'Dist expedição'!P:S,3,0),"")</f>
        <v/>
      </c>
      <c r="F33" s="105" t="str">
        <f>IFERROR(VLOOKUP(E33,'Dist expedição'!$C:$E,2,0),"")</f>
        <v/>
      </c>
      <c r="G33" s="105" t="str">
        <f>IFERROR(VLOOKUP(E33,'Dist expedição'!$C:$F,4,0),"")</f>
        <v/>
      </c>
      <c r="H33" s="106" t="str">
        <f>IF(E33="", "", IF(ISNUMBER(MATCH(SUBSTITUTE(E33, "_AM1", ""), 'Resumo Mapa'!A:A, 0)), "✅", "❌"))</f>
        <v/>
      </c>
      <c r="I33" s="104" t="str">
        <f>IFERROR(VLOOKUP(CONCATENATE("Onda 2"," - ",A33),'Dist expedição'!P:S,3,0),"")</f>
        <v/>
      </c>
      <c r="J33" s="105" t="str">
        <f>IFERROR(VLOOKUP(I33,'Dist expedição'!$C:$E,2,0),"")</f>
        <v/>
      </c>
      <c r="K33" s="105" t="str">
        <f>IFERROR(VLOOKUP(I33,'Dist expedição'!$C:$F,4,0),"")</f>
        <v/>
      </c>
      <c r="L33" s="107" t="str">
        <f>IF(I33="", "", IF(ISNUMBER(MATCH(SUBSTITUTE(I33, "_AM1", ""), 'Resumo Mapa'!A:A, 0)), "✅", "❌"))</f>
        <v/>
      </c>
      <c r="M33" s="66" t="s">
        <v>458</v>
      </c>
      <c r="N33" s="108" t="str">
        <f>IFERROR(VLOOKUP(CONCATENATE("Onda 3"," - ",A33),'Dist expedição'!P:S,3,0),"")</f>
        <v>Q6_AM1</v>
      </c>
      <c r="O33" s="105" t="str">
        <f>IFERROR(VLOOKUP(N33,'Dist expedição'!$C:$E,2,0),"")</f>
        <v>AM1_69</v>
      </c>
      <c r="P33" s="105" t="str">
        <f>IFERROR(VLOOKUP(N33,'Dist expedição'!$C:$F,4,0),"")</f>
        <v>HELP ME SOLUCOES</v>
      </c>
      <c r="Q33" s="106" t="str">
        <f>IF(N33="", "", IF(ISNUMBER(MATCH(SUBSTITUTE(N33, "_AM1", ""), 'Resumo Mapa'!A:A, 0)), "✅", "❌"))</f>
        <v>❌</v>
      </c>
      <c r="R33" s="104" t="str">
        <f>IFERROR(VLOOKUP(CONCATENATE("Onda 4"," - ",A33),'Dist expedição'!P:S,3,0),"")</f>
        <v>P6_AM1</v>
      </c>
      <c r="S33" s="105" t="str">
        <f>IFERROR(VLOOKUP(R33,'Dist expedição'!$C:$E,2,0),"")</f>
        <v>AM1_67</v>
      </c>
      <c r="T33" s="105" t="str">
        <f>IFERROR(VLOOKUP(R33,'Dist expedição'!$C:$F,4,0),"")</f>
        <v>HELP ME SOLUCOES</v>
      </c>
      <c r="U33" s="105" t="str">
        <f>IF(R33="", "", IF(ISNUMBER(MATCH(SUBSTITUTE(R33, "_AM1", ""), 'Resumo Mapa'!A:A, 0)), "✅", "❌"))</f>
        <v>❌</v>
      </c>
      <c r="V33" s="104" t="str">
        <f>IFERROR(VLOOKUP(CONCATENATE("Onda 5"," - ",A33),'Dist expedição'!P:S,3,0),"")</f>
        <v>B5_AM1</v>
      </c>
      <c r="W33" s="105" t="str">
        <f>IFERROR(VLOOKUP(V33,'Dist expedição'!$C:$E,2,0),"")</f>
        <v>AM1_94</v>
      </c>
      <c r="X33" s="105" t="str">
        <f>IFERROR(VLOOKUP(V33,'Dist expedição'!$C:$F,4,0),"")</f>
        <v>Hawk Transportes</v>
      </c>
      <c r="Y33" s="106" t="str">
        <f>IF(V33="", "", IF(ISNUMBER(MATCH(SUBSTITUTE(V33, "_AM1", ""), 'Resumo Mapa'!A:A, 0)), "✅", "❌"))</f>
        <v>❌</v>
      </c>
      <c r="Z33" s="104" t="str">
        <f>IFERROR(VLOOKUP(CONCATENATE("Onda 6"," - ",A33),'Dist expedição'!P:S,3,0),"")</f>
        <v>I4_AM1</v>
      </c>
      <c r="AA33" s="105" t="str">
        <f>IFERROR(VLOOKUP(Z33,'Dist expedição'!$C:$E,2,0),"")</f>
        <v>AM1_44</v>
      </c>
      <c r="AB33" s="105" t="str">
        <f>IFERROR(VLOOKUP(Z33,'Dist expedição'!$C:$F,4,0),"")</f>
        <v>Kangu Logistics</v>
      </c>
      <c r="AC33" s="106" t="str">
        <f>IF(Z33="", "", IF(ISNUMBER(MATCH(SUBSTITUTE(Z33, "_AM1", ""), 'Resumo Mapa'!A:A, 0)), "✅", "❌"))</f>
        <v>❌</v>
      </c>
      <c r="AD33" s="104" t="str">
        <f>IFERROR(VLOOKUP(CONCATENATE("Onda 7"," - ",A33),'Dist expedição'!P:S,3,0),"")</f>
        <v/>
      </c>
      <c r="AE33" s="105" t="str">
        <f>IFERROR(VLOOKUP(AD33,'Dist expedição'!$C:$E,2,0),"")</f>
        <v/>
      </c>
      <c r="AF33" s="105" t="str">
        <f>IFERROR(VLOOKUP(AD33,'Dist expedição'!$C:$F,4,0),"")</f>
        <v/>
      </c>
      <c r="AG33" s="106" t="str">
        <f>IF(AD33="", "", IF(ISNUMBER(MATCH(SUBSTITUTE(AD33, "_AM1", ""), 'Resumo Mapa'!A:A, 0)), "✅", "❌"))</f>
        <v/>
      </c>
    </row>
    <row r="34" ht="15.75" customHeight="1">
      <c r="A34" s="52" t="s">
        <v>461</v>
      </c>
      <c r="B34" s="139" t="s">
        <v>462</v>
      </c>
      <c r="C34" s="139" t="s">
        <v>460</v>
      </c>
      <c r="D34" s="140" t="s">
        <v>455</v>
      </c>
      <c r="E34" s="123" t="str">
        <f>IFERROR(VLOOKUP(CONCATENATE("Onda 1"," - ",A34),'Dist expedição'!P:S,3,0),"")</f>
        <v/>
      </c>
      <c r="F34" s="125" t="str">
        <f>IFERROR(VLOOKUP(E34,'Dist expedição'!$C:$E,2,0),"")</f>
        <v/>
      </c>
      <c r="G34" s="125" t="str">
        <f>IFERROR(VLOOKUP(E34,'Dist expedição'!$C:$F,4,0),"")</f>
        <v/>
      </c>
      <c r="H34" s="126" t="str">
        <f>IF(E34="", "", IF(ISNUMBER(MATCH(SUBSTITUTE(E34, "_AM1", ""), 'Resumo Mapa'!A:A, 0)), "✅", "❌"))</f>
        <v/>
      </c>
      <c r="I34" s="123" t="str">
        <f>IFERROR(VLOOKUP(CONCATENATE("Onda 2"," - ",A34),'Dist expedição'!P:S,3,0),"")</f>
        <v/>
      </c>
      <c r="J34" s="125" t="str">
        <f>IFERROR(VLOOKUP(I34,'Dist expedição'!$C:$E,2,0),"")</f>
        <v/>
      </c>
      <c r="K34" s="125" t="str">
        <f>IFERROR(VLOOKUP(I34,'Dist expedição'!$C:$F,4,0),"")</f>
        <v/>
      </c>
      <c r="L34" s="127" t="str">
        <f>IF(I34="", "", IF(ISNUMBER(MATCH(SUBSTITUTE(I34, "_AM1", ""), 'Resumo Mapa'!A:A, 0)), "✅", "❌"))</f>
        <v/>
      </c>
      <c r="M34" s="58" t="s">
        <v>461</v>
      </c>
      <c r="N34" s="129" t="str">
        <f>IFERROR(VLOOKUP(CONCATENATE("Onda 3"," - ",A34),'Dist expedição'!P:S,3,0),"")</f>
        <v>P3_AM1</v>
      </c>
      <c r="O34" s="125" t="str">
        <f>IFERROR(VLOOKUP(N34,'Dist expedição'!$C:$E,2,0),"")</f>
        <v>AM1_6</v>
      </c>
      <c r="P34" s="125" t="str">
        <f>IFERROR(VLOOKUP(N34,'Dist expedição'!$C:$F,4,0),"")</f>
        <v>FLASHLOG</v>
      </c>
      <c r="Q34" s="126" t="str">
        <f>IF(N34="", "", IF(ISNUMBER(MATCH(SUBSTITUTE(N34, "_AM1", ""), 'Resumo Mapa'!A:A, 0)), "✅", "❌"))</f>
        <v>❌</v>
      </c>
      <c r="R34" s="123" t="str">
        <f>IFERROR(VLOOKUP(CONCATENATE("Onda 4"," - ",A34),'Dist expedição'!P:S,3,0),"")</f>
        <v>A1_AM1</v>
      </c>
      <c r="S34" s="125" t="str">
        <f>IFERROR(VLOOKUP(R34,'Dist expedição'!$C:$E,2,0),"")</f>
        <v>AM1_122</v>
      </c>
      <c r="T34" s="125" t="str">
        <f>IFERROR(VLOOKUP(R34,'Dist expedição'!$C:$F,4,0),"")</f>
        <v>HELP ME SOLUCOES</v>
      </c>
      <c r="U34" s="125" t="str">
        <f>IF(R34="", "", IF(ISNUMBER(MATCH(SUBSTITUTE(R34, "_AM1", ""), 'Resumo Mapa'!A:A, 0)), "✅", "❌"))</f>
        <v>❌</v>
      </c>
      <c r="V34" s="123" t="str">
        <f>IFERROR(VLOOKUP(CONCATENATE("Onda 5"," - ",A34),'Dist expedição'!P:S,3,0),"")</f>
        <v>B10_AM1</v>
      </c>
      <c r="W34" s="125" t="str">
        <f>IFERROR(VLOOKUP(V34,'Dist expedição'!$C:$E,2,0),"")</f>
        <v>AM1_92</v>
      </c>
      <c r="X34" s="125" t="str">
        <f>IFERROR(VLOOKUP(V34,'Dist expedição'!$C:$F,4,0),"")</f>
        <v>Hawk Transportes</v>
      </c>
      <c r="Y34" s="126" t="str">
        <f>IF(V34="", "", IF(ISNUMBER(MATCH(SUBSTITUTE(V34, "_AM1", ""), 'Resumo Mapa'!A:A, 0)), "✅", "❌"))</f>
        <v>❌</v>
      </c>
      <c r="Z34" s="123" t="str">
        <f>IFERROR(VLOOKUP(CONCATENATE("Onda 6"," - ",A34),'Dist expedição'!P:S,3,0),"")</f>
        <v>I7_AM1</v>
      </c>
      <c r="AA34" s="125" t="str">
        <f>IFERROR(VLOOKUP(Z34,'Dist expedição'!$C:$E,2,0),"")</f>
        <v>AM1_45</v>
      </c>
      <c r="AB34" s="125" t="str">
        <f>IFERROR(VLOOKUP(Z34,'Dist expedição'!$C:$F,4,0),"")</f>
        <v>Kangu Logistics</v>
      </c>
      <c r="AC34" s="126" t="str">
        <f>IF(Z34="", "", IF(ISNUMBER(MATCH(SUBSTITUTE(Z34, "_AM1", ""), 'Resumo Mapa'!A:A, 0)), "✅", "❌"))</f>
        <v>✅</v>
      </c>
      <c r="AD34" s="123" t="str">
        <f>IFERROR(VLOOKUP(CONCATENATE("Onda 7"," - ",A34),'Dist expedição'!P:S,3,0),"")</f>
        <v/>
      </c>
      <c r="AE34" s="125" t="str">
        <f>IFERROR(VLOOKUP(AD34,'Dist expedição'!$C:$E,2,0),"")</f>
        <v/>
      </c>
      <c r="AF34" s="125" t="str">
        <f>IFERROR(VLOOKUP(AD34,'Dist expedição'!$C:$F,4,0),"")</f>
        <v/>
      </c>
      <c r="AG34" s="126" t="str">
        <f>IF(AD34="", "", IF(ISNUMBER(MATCH(SUBSTITUTE(AD34, "_AM1", ""), 'Resumo Mapa'!A:A, 0)), "✅", "❌"))</f>
        <v/>
      </c>
    </row>
    <row r="35" ht="15.75" customHeight="1">
      <c r="A35" s="60" t="s">
        <v>463</v>
      </c>
      <c r="B35" s="137" t="s">
        <v>464</v>
      </c>
      <c r="C35" s="137" t="s">
        <v>465</v>
      </c>
      <c r="D35" s="138" t="s">
        <v>455</v>
      </c>
      <c r="E35" s="104" t="str">
        <f>IFERROR(VLOOKUP(CONCATENATE("Onda 1"," - ",A35),'Dist expedição'!P:S,3,0),"")</f>
        <v/>
      </c>
      <c r="F35" s="105" t="str">
        <f>IFERROR(VLOOKUP(E35,'Dist expedição'!$C:$E,2,0),"")</f>
        <v/>
      </c>
      <c r="G35" s="105" t="str">
        <f>IFERROR(VLOOKUP(E35,'Dist expedição'!$C:$F,4,0),"")</f>
        <v/>
      </c>
      <c r="H35" s="106" t="str">
        <f>IF(E35="", "", IF(ISNUMBER(MATCH(SUBSTITUTE(E35, "_AM1", ""), 'Resumo Mapa'!A:A, 0)), "✅", "❌"))</f>
        <v/>
      </c>
      <c r="I35" s="104" t="str">
        <f>IFERROR(VLOOKUP(CONCATENATE("Onda 2"," - ",A35),'Dist expedição'!P:S,3,0),"")</f>
        <v/>
      </c>
      <c r="J35" s="105" t="str">
        <f>IFERROR(VLOOKUP(I35,'Dist expedição'!$C:$E,2,0),"")</f>
        <v/>
      </c>
      <c r="K35" s="105" t="str">
        <f>IFERROR(VLOOKUP(I35,'Dist expedição'!$C:$F,4,0),"")</f>
        <v/>
      </c>
      <c r="L35" s="107" t="str">
        <f>IF(I35="", "", IF(ISNUMBER(MATCH(SUBSTITUTE(I35, "_AM1", ""), 'Resumo Mapa'!A:A, 0)), "✅", "❌"))</f>
        <v/>
      </c>
      <c r="M35" s="66" t="s">
        <v>463</v>
      </c>
      <c r="N35" s="108" t="str">
        <f>IFERROR(VLOOKUP(CONCATENATE("Onda 3"," - ",A35),'Dist expedição'!P:S,3,0),"")</f>
        <v>P9_AM1</v>
      </c>
      <c r="O35" s="105" t="str">
        <f>IFERROR(VLOOKUP(N35,'Dist expedição'!$C:$E,2,0),"")</f>
        <v>AM1_7</v>
      </c>
      <c r="P35" s="105" t="str">
        <f>IFERROR(VLOOKUP(N35,'Dist expedição'!$C:$F,4,0),"")</f>
        <v>FLASHLOG</v>
      </c>
      <c r="Q35" s="106" t="str">
        <f>IF(N35="", "", IF(ISNUMBER(MATCH(SUBSTITUTE(N35, "_AM1", ""), 'Resumo Mapa'!A:A, 0)), "✅", "❌"))</f>
        <v>❌</v>
      </c>
      <c r="R35" s="104" t="str">
        <f>IFERROR(VLOOKUP(CONCATENATE("Onda 4"," - ",A35),'Dist expedição'!P:S,3,0),"")</f>
        <v>I3_AM1</v>
      </c>
      <c r="S35" s="105" t="str">
        <f>IFERROR(VLOOKUP(R35,'Dist expedição'!$C:$E,2,0),"")</f>
        <v>AM1_10</v>
      </c>
      <c r="T35" s="105" t="str">
        <f>IFERROR(VLOOKUP(R35,'Dist expedição'!$C:$F,4,0),"")</f>
        <v>Kangu Logistics</v>
      </c>
      <c r="U35" s="105" t="str">
        <f>IF(R35="", "", IF(ISNUMBER(MATCH(SUBSTITUTE(R35, "_AM1", ""), 'Resumo Mapa'!A:A, 0)), "✅", "❌"))</f>
        <v>❌</v>
      </c>
      <c r="V35" s="104" t="str">
        <f>IFERROR(VLOOKUP(CONCATENATE("Onda 5"," - ",A35),'Dist expedição'!P:S,3,0),"")</f>
        <v>B7_AM1</v>
      </c>
      <c r="W35" s="105" t="str">
        <f>IFERROR(VLOOKUP(V35,'Dist expedição'!$C:$E,2,0),"")</f>
        <v>AM1_97</v>
      </c>
      <c r="X35" s="105" t="str">
        <f>IFERROR(VLOOKUP(V35,'Dist expedição'!$C:$F,4,0),"")</f>
        <v>PARCEIRO SPOT SOLUCOES</v>
      </c>
      <c r="Y35" s="106" t="str">
        <f>IF(V35="", "", IF(ISNUMBER(MATCH(SUBSTITUTE(V35, "_AM1", ""), 'Resumo Mapa'!A:A, 0)), "✅", "❌"))</f>
        <v>❌</v>
      </c>
      <c r="Z35" s="104" t="str">
        <f>IFERROR(VLOOKUP(CONCATENATE("Onda 6"," - ",A35),'Dist expedição'!P:S,3,0),"")</f>
        <v>H3_AM1</v>
      </c>
      <c r="AA35" s="105" t="str">
        <f>IFERROR(VLOOKUP(Z35,'Dist expedição'!$C:$E,2,0),"")</f>
        <v>AM1_40</v>
      </c>
      <c r="AB35" s="105" t="str">
        <f>IFERROR(VLOOKUP(Z35,'Dist expedição'!$C:$F,4,0),"")</f>
        <v>Kangu Logistics</v>
      </c>
      <c r="AC35" s="106" t="str">
        <f>IF(Z35="", "", IF(ISNUMBER(MATCH(SUBSTITUTE(Z35, "_AM1", ""), 'Resumo Mapa'!A:A, 0)), "✅", "❌"))</f>
        <v>❌</v>
      </c>
      <c r="AD35" s="104" t="str">
        <f>IFERROR(VLOOKUP(CONCATENATE("Onda 7"," - ",A35),'Dist expedição'!P:S,3,0),"")</f>
        <v/>
      </c>
      <c r="AE35" s="105" t="str">
        <f>IFERROR(VLOOKUP(AD35,'Dist expedição'!$C:$E,2,0),"")</f>
        <v/>
      </c>
      <c r="AF35" s="105" t="str">
        <f>IFERROR(VLOOKUP(AD35,'Dist expedição'!$C:$F,4,0),"")</f>
        <v/>
      </c>
      <c r="AG35" s="106" t="str">
        <f>IF(AD35="", "", IF(ISNUMBER(MATCH(SUBSTITUTE(AD35, "_AM1", ""), 'Resumo Mapa'!A:A, 0)), "✅", "❌"))</f>
        <v/>
      </c>
    </row>
    <row r="36" ht="15.75" customHeight="1">
      <c r="A36" s="52" t="s">
        <v>466</v>
      </c>
      <c r="B36" s="139" t="s">
        <v>467</v>
      </c>
      <c r="C36" s="139" t="s">
        <v>465</v>
      </c>
      <c r="D36" s="140" t="s">
        <v>455</v>
      </c>
      <c r="E36" s="123" t="str">
        <f>IFERROR(VLOOKUP(CONCATENATE("Onda 1"," - ",A36),'Dist expedição'!P:S,3,0),"")</f>
        <v/>
      </c>
      <c r="F36" s="125" t="str">
        <f>IFERROR(VLOOKUP(E36,'Dist expedição'!$C:$E,2,0),"")</f>
        <v/>
      </c>
      <c r="G36" s="125" t="str">
        <f>IFERROR(VLOOKUP(E36,'Dist expedição'!$C:$F,4,0),"")</f>
        <v/>
      </c>
      <c r="H36" s="126" t="str">
        <f>IF(E36="", "", IF(ISNUMBER(MATCH(SUBSTITUTE(E36, "_AM1", ""), 'Resumo Mapa'!A:A, 0)), "✅", "❌"))</f>
        <v/>
      </c>
      <c r="I36" s="123" t="str">
        <f>IFERROR(VLOOKUP(CONCATENATE("Onda 2"," - ",A36),'Dist expedição'!P:S,3,0),"")</f>
        <v/>
      </c>
      <c r="J36" s="125" t="str">
        <f>IFERROR(VLOOKUP(I36,'Dist expedição'!$C:$E,2,0),"")</f>
        <v/>
      </c>
      <c r="K36" s="125" t="str">
        <f>IFERROR(VLOOKUP(I36,'Dist expedição'!$C:$F,4,0),"")</f>
        <v/>
      </c>
      <c r="L36" s="127" t="str">
        <f>IF(I36="", "", IF(ISNUMBER(MATCH(SUBSTITUTE(I36, "_AM1", ""), 'Resumo Mapa'!A:A, 0)), "✅", "❌"))</f>
        <v/>
      </c>
      <c r="M36" s="58" t="s">
        <v>466</v>
      </c>
      <c r="N36" s="129" t="str">
        <f>IFERROR(VLOOKUP(CONCATENATE("Onda 3"," - ",A36),'Dist expedição'!P:S,3,0),"")</f>
        <v>Q9_AM1</v>
      </c>
      <c r="O36" s="125" t="str">
        <f>IFERROR(VLOOKUP(N36,'Dist expedição'!$C:$E,2,0),"")</f>
        <v>AM1_11</v>
      </c>
      <c r="P36" s="125" t="str">
        <f>IFERROR(VLOOKUP(N36,'Dist expedição'!$C:$F,4,0),"")</f>
        <v>FLASHLOG</v>
      </c>
      <c r="Q36" s="126" t="str">
        <f>IF(N36="", "", IF(ISNUMBER(MATCH(SUBSTITUTE(N36, "_AM1", ""), 'Resumo Mapa'!A:A, 0)), "✅", "❌"))</f>
        <v>❌</v>
      </c>
      <c r="R36" s="123" t="str">
        <f>IFERROR(VLOOKUP(CONCATENATE("Onda 4"," - ",A36),'Dist expedição'!P:S,3,0),"")</f>
        <v>H8_AM1</v>
      </c>
      <c r="S36" s="125" t="str">
        <f>IFERROR(VLOOKUP(R36,'Dist expedição'!$C:$E,2,0),"")</f>
        <v>AM1_14</v>
      </c>
      <c r="T36" s="125" t="str">
        <f>IFERROR(VLOOKUP(R36,'Dist expedição'!$C:$F,4,0),"")</f>
        <v>Kangu Logistics</v>
      </c>
      <c r="U36" s="125" t="str">
        <f>IF(R36="", "", IF(ISNUMBER(MATCH(SUBSTITUTE(R36, "_AM1", ""), 'Resumo Mapa'!A:A, 0)), "✅", "❌"))</f>
        <v>❌</v>
      </c>
      <c r="V36" s="123" t="str">
        <f>IFERROR(VLOOKUP(CONCATENATE("Onda 5"," - ",A36),'Dist expedição'!P:S,3,0),"")</f>
        <v>C7_AM1</v>
      </c>
      <c r="W36" s="125" t="str">
        <f>IFERROR(VLOOKUP(V36,'Dist expedição'!$C:$E,2,0),"")</f>
        <v>AM1_105</v>
      </c>
      <c r="X36" s="125" t="str">
        <f>IFERROR(VLOOKUP(V36,'Dist expedição'!$C:$F,4,0),"")</f>
        <v>RodaCoop</v>
      </c>
      <c r="Y36" s="126" t="str">
        <f>IF(V36="", "", IF(ISNUMBER(MATCH(SUBSTITUTE(V36, "_AM1", ""), 'Resumo Mapa'!A:A, 0)), "✅", "❌"))</f>
        <v>❌</v>
      </c>
      <c r="Z36" s="123" t="str">
        <f>IFERROR(VLOOKUP(CONCATENATE("Onda 6"," - ",A36),'Dist expedição'!P:S,3,0),"")</f>
        <v>I9_AM1</v>
      </c>
      <c r="AA36" s="125" t="str">
        <f>IFERROR(VLOOKUP(Z36,'Dist expedição'!$C:$E,2,0),"")</f>
        <v>AM1_38</v>
      </c>
      <c r="AB36" s="125" t="str">
        <f>IFERROR(VLOOKUP(Z36,'Dist expedição'!$C:$F,4,0),"")</f>
        <v>Kangu Logistics</v>
      </c>
      <c r="AC36" s="126" t="str">
        <f>IF(Z36="", "", IF(ISNUMBER(MATCH(SUBSTITUTE(Z36, "_AM1", ""), 'Resumo Mapa'!A:A, 0)), "✅", "❌"))</f>
        <v>❌</v>
      </c>
      <c r="AD36" s="123" t="str">
        <f>IFERROR(VLOOKUP(CONCATENATE("Onda 7"," - ",A36),'Dist expedição'!P:S,3,0),"")</f>
        <v/>
      </c>
      <c r="AE36" s="125" t="str">
        <f>IFERROR(VLOOKUP(AD36,'Dist expedição'!$C:$E,2,0),"")</f>
        <v/>
      </c>
      <c r="AF36" s="125" t="str">
        <f>IFERROR(VLOOKUP(AD36,'Dist expedição'!$C:$F,4,0),"")</f>
        <v/>
      </c>
      <c r="AG36" s="126" t="str">
        <f>IF(AD36="", "", IF(ISNUMBER(MATCH(SUBSTITUTE(AD36, "_AM1", ""), 'Resumo Mapa'!A:A, 0)), "✅", "❌"))</f>
        <v/>
      </c>
    </row>
    <row r="37" ht="15.75" customHeight="1">
      <c r="A37" s="60" t="s">
        <v>468</v>
      </c>
      <c r="B37" s="137" t="s">
        <v>469</v>
      </c>
      <c r="C37" s="137" t="s">
        <v>470</v>
      </c>
      <c r="D37" s="138" t="s">
        <v>455</v>
      </c>
      <c r="E37" s="104" t="str">
        <f>IFERROR(VLOOKUP(CONCATENATE("Onda 1"," - ",A37),'Dist expedição'!P:S,3,0),"")</f>
        <v/>
      </c>
      <c r="F37" s="105" t="str">
        <f>IFERROR(VLOOKUP(E37,'Dist expedição'!$C:$E,2,0),"")</f>
        <v/>
      </c>
      <c r="G37" s="105" t="str">
        <f>IFERROR(VLOOKUP(E37,'Dist expedição'!$C:$F,4,0),"")</f>
        <v/>
      </c>
      <c r="H37" s="106" t="str">
        <f>IF(E37="", "", IF(ISNUMBER(MATCH(SUBSTITUTE(E37, "_AM1", ""), 'Resumo Mapa'!A:A, 0)), "✅", "❌"))</f>
        <v/>
      </c>
      <c r="I37" s="104" t="str">
        <f>IFERROR(VLOOKUP(CONCATENATE("Onda 2"," - ",A37),'Dist expedição'!P:S,3,0),"")</f>
        <v/>
      </c>
      <c r="J37" s="105" t="str">
        <f>IFERROR(VLOOKUP(I37,'Dist expedição'!$C:$E,2,0),"")</f>
        <v/>
      </c>
      <c r="K37" s="105" t="str">
        <f>IFERROR(VLOOKUP(I37,'Dist expedição'!$C:$F,4,0),"")</f>
        <v/>
      </c>
      <c r="L37" s="107" t="str">
        <f>IF(I37="", "", IF(ISNUMBER(MATCH(SUBSTITUTE(I37, "_AM1", ""), 'Resumo Mapa'!A:A, 0)), "✅", "❌"))</f>
        <v/>
      </c>
      <c r="M37" s="66" t="s">
        <v>468</v>
      </c>
      <c r="N37" s="108" t="str">
        <f>IFERROR(VLOOKUP(CONCATENATE("Onda 3"," - ",A37),'Dist expedição'!P:S,3,0),"")</f>
        <v>Q4_AM1</v>
      </c>
      <c r="O37" s="105" t="str">
        <f>IFERROR(VLOOKUP(N37,'Dist expedição'!$C:$E,2,0),"")</f>
        <v>AM1_12</v>
      </c>
      <c r="P37" s="105" t="str">
        <f>IFERROR(VLOOKUP(N37,'Dist expedição'!$C:$F,4,0),"")</f>
        <v>FLASHLOG</v>
      </c>
      <c r="Q37" s="106" t="str">
        <f>IF(N37="", "", IF(ISNUMBER(MATCH(SUBSTITUTE(N37, "_AM1", ""), 'Resumo Mapa'!A:A, 0)), "✅", "❌"))</f>
        <v>❌</v>
      </c>
      <c r="R37" s="104" t="str">
        <f>IFERROR(VLOOKUP(CONCATENATE("Onda 4"," - ",A37),'Dist expedição'!P:S,3,0),"")</f>
        <v>I10_AM1</v>
      </c>
      <c r="S37" s="105" t="str">
        <f>IFERROR(VLOOKUP(R37,'Dist expedição'!$C:$E,2,0),"")</f>
        <v>AM1_61</v>
      </c>
      <c r="T37" s="105" t="str">
        <f>IFERROR(VLOOKUP(R37,'Dist expedição'!$C:$F,4,0),"")</f>
        <v>Kangu Logistics</v>
      </c>
      <c r="U37" s="105" t="str">
        <f>IF(R37="", "", IF(ISNUMBER(MATCH(SUBSTITUTE(R37, "_AM1", ""), 'Resumo Mapa'!A:A, 0)), "✅", "❌"))</f>
        <v>✅</v>
      </c>
      <c r="V37" s="104" t="str">
        <f>IFERROR(VLOOKUP(CONCATENATE("Onda 5"," - ",A37),'Dist expedição'!P:S,3,0),"")</f>
        <v>D4_AM1</v>
      </c>
      <c r="W37" s="105" t="str">
        <f>IFERROR(VLOOKUP(V37,'Dist expedição'!$C:$E,2,0),"")</f>
        <v>AM1_101</v>
      </c>
      <c r="X37" s="105" t="str">
        <f>IFERROR(VLOOKUP(V37,'Dist expedição'!$C:$F,4,0),"")</f>
        <v>A L C TRANSPORTES</v>
      </c>
      <c r="Y37" s="106" t="str">
        <f>IF(V37="", "", IF(ISNUMBER(MATCH(SUBSTITUTE(V37, "_AM1", ""), 'Resumo Mapa'!A:A, 0)), "✅", "❌"))</f>
        <v>❌</v>
      </c>
      <c r="Z37" s="104" t="str">
        <f>IFERROR(VLOOKUP(CONCATENATE("Onda 6"," - ",A37),'Dist expedição'!P:S,3,0),"")</f>
        <v/>
      </c>
      <c r="AA37" s="105" t="str">
        <f>IFERROR(VLOOKUP(Z37,'Dist expedição'!$C:$E,2,0),"")</f>
        <v/>
      </c>
      <c r="AB37" s="105" t="str">
        <f>IFERROR(VLOOKUP(Z37,'Dist expedição'!$C:$F,4,0),"")</f>
        <v/>
      </c>
      <c r="AC37" s="106" t="str">
        <f>IF(Z37="", "", IF(ISNUMBER(MATCH(SUBSTITUTE(Z37, "_AM1", ""), 'Resumo Mapa'!A:A, 0)), "✅", "❌"))</f>
        <v/>
      </c>
      <c r="AD37" s="104" t="str">
        <f>IFERROR(VLOOKUP(CONCATENATE("Onda 7"," - ",A37),'Dist expedição'!P:S,3,0),"")</f>
        <v/>
      </c>
      <c r="AE37" s="105" t="str">
        <f>IFERROR(VLOOKUP(AD37,'Dist expedição'!$C:$E,2,0),"")</f>
        <v/>
      </c>
      <c r="AF37" s="105" t="str">
        <f>IFERROR(VLOOKUP(AD37,'Dist expedição'!$C:$F,4,0),"")</f>
        <v/>
      </c>
      <c r="AG37" s="106" t="str">
        <f>IF(AD37="", "", IF(ISNUMBER(MATCH(SUBSTITUTE(AD37, "_AM1", ""), 'Resumo Mapa'!A:A, 0)), "✅", "❌"))</f>
        <v/>
      </c>
    </row>
    <row r="38" ht="15.75" customHeight="1">
      <c r="A38" s="52" t="s">
        <v>471</v>
      </c>
      <c r="B38" s="139" t="s">
        <v>472</v>
      </c>
      <c r="C38" s="139" t="s">
        <v>470</v>
      </c>
      <c r="D38" s="140" t="s">
        <v>455</v>
      </c>
      <c r="E38" s="123" t="str">
        <f>IFERROR(VLOOKUP(CONCATENATE("Onda 1"," - ",A38),'Dist expedição'!P:S,3,0),"")</f>
        <v/>
      </c>
      <c r="F38" s="125" t="str">
        <f>IFERROR(VLOOKUP(E38,'Dist expedição'!$C:$E,2,0),"")</f>
        <v/>
      </c>
      <c r="G38" s="125" t="str">
        <f>IFERROR(VLOOKUP(E38,'Dist expedição'!$C:$F,4,0),"")</f>
        <v/>
      </c>
      <c r="H38" s="126" t="str">
        <f>IF(E38="", "", IF(ISNUMBER(MATCH(SUBSTITUTE(E38, "_AM1", ""), 'Resumo Mapa'!A:A, 0)), "✅", "❌"))</f>
        <v/>
      </c>
      <c r="I38" s="123" t="str">
        <f>IFERROR(VLOOKUP(CONCATENATE("Onda 2"," - ",A38),'Dist expedição'!P:S,3,0),"")</f>
        <v/>
      </c>
      <c r="J38" s="125" t="str">
        <f>IFERROR(VLOOKUP(I38,'Dist expedição'!$C:$E,2,0),"")</f>
        <v/>
      </c>
      <c r="K38" s="125" t="str">
        <f>IFERROR(VLOOKUP(I38,'Dist expedição'!$C:$F,4,0),"")</f>
        <v/>
      </c>
      <c r="L38" s="127" t="str">
        <f>IF(I38="", "", IF(ISNUMBER(MATCH(SUBSTITUTE(I38, "_AM1", ""), 'Resumo Mapa'!A:A, 0)), "✅", "❌"))</f>
        <v/>
      </c>
      <c r="M38" s="58" t="s">
        <v>471</v>
      </c>
      <c r="N38" s="129" t="str">
        <f>IFERROR(VLOOKUP(CONCATENATE("Onda 3"," - ",A38),'Dist expedição'!P:S,3,0),"")</f>
        <v>P13_AM1</v>
      </c>
      <c r="O38" s="125" t="str">
        <f>IFERROR(VLOOKUP(N38,'Dist expedição'!$C:$E,2,0),"")</f>
        <v>AM1_37</v>
      </c>
      <c r="P38" s="125" t="str">
        <f>IFERROR(VLOOKUP(N38,'Dist expedição'!$C:$F,4,0),"")</f>
        <v>Kangu Logistics</v>
      </c>
      <c r="Q38" s="126" t="str">
        <f>IF(N38="", "", IF(ISNUMBER(MATCH(SUBSTITUTE(N38, "_AM1", ""), 'Resumo Mapa'!A:A, 0)), "✅", "❌"))</f>
        <v>❌</v>
      </c>
      <c r="R38" s="123" t="str">
        <f>IFERROR(VLOOKUP(CONCATENATE("Onda 4"," - ",A38),'Dist expedição'!P:S,3,0),"")</f>
        <v>B4_AM1</v>
      </c>
      <c r="S38" s="125" t="str">
        <f>IFERROR(VLOOKUP(R38,'Dist expedição'!$C:$E,2,0),"")</f>
        <v>AM1_104</v>
      </c>
      <c r="T38" s="125" t="str">
        <f>IFERROR(VLOOKUP(R38,'Dist expedição'!$C:$F,4,0),"")</f>
        <v>Kangu Logistics</v>
      </c>
      <c r="U38" s="125" t="str">
        <f>IF(R38="", "", IF(ISNUMBER(MATCH(SUBSTITUTE(R38, "_AM1", ""), 'Resumo Mapa'!A:A, 0)), "✅", "❌"))</f>
        <v>❌</v>
      </c>
      <c r="V38" s="123" t="str">
        <f>IFERROR(VLOOKUP(CONCATENATE("Onda 5"," - ",A38),'Dist expedição'!P:S,3,0),"")</f>
        <v>D6_AM1</v>
      </c>
      <c r="W38" s="125" t="str">
        <f>IFERROR(VLOOKUP(V38,'Dist expedição'!$C:$E,2,0),"")</f>
        <v>AM1_93</v>
      </c>
      <c r="X38" s="125" t="str">
        <f>IFERROR(VLOOKUP(V38,'Dist expedição'!$C:$F,4,0),"")</f>
        <v>A L C TRANSPORTES</v>
      </c>
      <c r="Y38" s="126" t="str">
        <f>IF(V38="", "", IF(ISNUMBER(MATCH(SUBSTITUTE(V38, "_AM1", ""), 'Resumo Mapa'!A:A, 0)), "✅", "❌"))</f>
        <v>❌</v>
      </c>
      <c r="Z38" s="123" t="str">
        <f>IFERROR(VLOOKUP(CONCATENATE("Onda 6"," - ",A38),'Dist expedição'!P:S,3,0),"")</f>
        <v/>
      </c>
      <c r="AA38" s="125" t="str">
        <f>IFERROR(VLOOKUP(Z38,'Dist expedição'!$C:$E,2,0),"")</f>
        <v/>
      </c>
      <c r="AB38" s="125" t="str">
        <f>IFERROR(VLOOKUP(Z38,'Dist expedição'!$C:$F,4,0),"")</f>
        <v/>
      </c>
      <c r="AC38" s="126" t="str">
        <f>IF(Z38="", "", IF(ISNUMBER(MATCH(SUBSTITUTE(Z38, "_AM1", ""), 'Resumo Mapa'!A:A, 0)), "✅", "❌"))</f>
        <v/>
      </c>
      <c r="AD38" s="123" t="str">
        <f>IFERROR(VLOOKUP(CONCATENATE("Onda 7"," - ",A38),'Dist expedição'!P:S,3,0),"")</f>
        <v/>
      </c>
      <c r="AE38" s="125" t="str">
        <f>IFERROR(VLOOKUP(AD38,'Dist expedição'!$C:$E,2,0),"")</f>
        <v/>
      </c>
      <c r="AF38" s="125" t="str">
        <f>IFERROR(VLOOKUP(AD38,'Dist expedição'!$C:$F,4,0),"")</f>
        <v/>
      </c>
      <c r="AG38" s="126" t="str">
        <f>IF(AD38="", "", IF(ISNUMBER(MATCH(SUBSTITUTE(AD38, "_AM1", ""), 'Resumo Mapa'!A:A, 0)), "✅", "❌"))</f>
        <v/>
      </c>
    </row>
    <row r="39" ht="15.75" customHeight="1">
      <c r="A39" s="60" t="s">
        <v>473</v>
      </c>
      <c r="B39" s="137"/>
      <c r="C39" s="137"/>
      <c r="D39" s="62"/>
      <c r="E39" s="104" t="str">
        <f>IFERROR(VLOOKUP(CONCATENATE("Onda 1"," - ",A39),'Dist expedição'!P:S,3,0),"")</f>
        <v/>
      </c>
      <c r="F39" s="105" t="str">
        <f>IFERROR(VLOOKUP(E39,'Dist expedição'!$C:$E,2,0),"")</f>
        <v/>
      </c>
      <c r="G39" s="105" t="str">
        <f>IFERROR(VLOOKUP(E39,'Dist expedição'!$C:$F,4,0),"")</f>
        <v/>
      </c>
      <c r="H39" s="106" t="str">
        <f>IF(E39="", "", IF(ISNUMBER(MATCH(SUBSTITUTE(E39, "_AM1", ""), 'Resumo Mapa'!A:A, 0)), "✅", "❌"))</f>
        <v/>
      </c>
      <c r="I39" s="104" t="str">
        <f>IFERROR(VLOOKUP(CONCATENATE("Onda 2"," - ",A39),'Dist expedição'!P:S,3,0),"")</f>
        <v/>
      </c>
      <c r="J39" s="105" t="str">
        <f>IFERROR(VLOOKUP(I39,'Dist expedição'!$C:$E,2,0),"")</f>
        <v/>
      </c>
      <c r="K39" s="105" t="str">
        <f>IFERROR(VLOOKUP(I39,'Dist expedição'!$C:$F,4,0),"")</f>
        <v/>
      </c>
      <c r="L39" s="107" t="str">
        <f>IF(I39="", "", IF(ISNUMBER(MATCH(SUBSTITUTE(I39, "_AM1", ""), 'Resumo Mapa'!A:A, 0)), "✅", "❌"))</f>
        <v/>
      </c>
      <c r="M39" s="66" t="s">
        <v>473</v>
      </c>
      <c r="N39" s="108" t="str">
        <f>IFERROR(VLOOKUP(CONCATENATE("Onda 3"," - ",A39),'Dist expedição'!P:S,3,0),"")</f>
        <v/>
      </c>
      <c r="O39" s="105" t="str">
        <f>IFERROR(VLOOKUP(N39,'Dist expedição'!$C:$E,2,0),"")</f>
        <v/>
      </c>
      <c r="P39" s="105" t="str">
        <f>IFERROR(VLOOKUP(N39,'Dist expedição'!$C:$F,4,0),"")</f>
        <v/>
      </c>
      <c r="Q39" s="106" t="str">
        <f>IF(N39="", "", IF(ISNUMBER(MATCH(SUBSTITUTE(N39, "_AM1", ""), 'Resumo Mapa'!A:A, 0)), "✅", "❌"))</f>
        <v/>
      </c>
      <c r="R39" s="104" t="str">
        <f>IFERROR(VLOOKUP(CONCATENATE("Onda 4"," - ",A39),'Dist expedição'!P:S,3,0),"")</f>
        <v/>
      </c>
      <c r="S39" s="105" t="str">
        <f>IFERROR(VLOOKUP(R39,'Dist expedição'!$C:$E,2,0),"")</f>
        <v/>
      </c>
      <c r="T39" s="105" t="str">
        <f>IFERROR(VLOOKUP(R39,'Dist expedição'!$C:$F,4,0),"")</f>
        <v/>
      </c>
      <c r="U39" s="105" t="str">
        <f>IF(R39="", "", IF(ISNUMBER(MATCH(SUBSTITUTE(R39, "_AM1", ""), 'Resumo Mapa'!A:A, 0)), "✅", "❌"))</f>
        <v/>
      </c>
      <c r="V39" s="104" t="str">
        <f>IFERROR(VLOOKUP(CONCATENATE("Onda 5"," - ",A39),'Dist expedição'!P:S,3,0),"")</f>
        <v/>
      </c>
      <c r="W39" s="105" t="str">
        <f>IFERROR(VLOOKUP(V39,'Dist expedição'!$C:$E,2,0),"")</f>
        <v/>
      </c>
      <c r="X39" s="105" t="str">
        <f>IFERROR(VLOOKUP(V39,'Dist expedição'!$C:$F,4,0),"")</f>
        <v/>
      </c>
      <c r="Y39" s="106" t="str">
        <f>IF(V39="", "", IF(ISNUMBER(MATCH(SUBSTITUTE(V39, "_AM1", ""), 'Resumo Mapa'!A:A, 0)), "✅", "❌"))</f>
        <v/>
      </c>
      <c r="Z39" s="104" t="str">
        <f>IFERROR(VLOOKUP(CONCATENATE("Onda 6"," - ",A39),'Dist expedição'!P:S,3,0),"")</f>
        <v/>
      </c>
      <c r="AA39" s="105" t="str">
        <f>IFERROR(VLOOKUP(Z39,'Dist expedição'!$C:$E,2,0),"")</f>
        <v/>
      </c>
      <c r="AB39" s="105" t="str">
        <f>IFERROR(VLOOKUP(Z39,'Dist expedição'!$C:$F,4,0),"")</f>
        <v/>
      </c>
      <c r="AC39" s="106" t="str">
        <f>IF(Z39="", "", IF(ISNUMBER(MATCH(SUBSTITUTE(Z39, "_AM1", ""), 'Resumo Mapa'!A:A, 0)), "✅", "❌"))</f>
        <v/>
      </c>
      <c r="AD39" s="104" t="str">
        <f>IFERROR(VLOOKUP(CONCATENATE("Onda 7"," - ",A39),'Dist expedição'!P:S,3,0),"")</f>
        <v/>
      </c>
      <c r="AE39" s="105" t="str">
        <f>IFERROR(VLOOKUP(AD39,'Dist expedição'!$C:$E,2,0),"")</f>
        <v/>
      </c>
      <c r="AF39" s="105" t="str">
        <f>IFERROR(VLOOKUP(AD39,'Dist expedição'!$C:$F,4,0),"")</f>
        <v/>
      </c>
      <c r="AG39" s="106" t="str">
        <f>IF(AD39="", "", IF(ISNUMBER(MATCH(SUBSTITUTE(AD39, "_AM1", ""), 'Resumo Mapa'!A:A, 0)), "✅", "❌"))</f>
        <v/>
      </c>
    </row>
    <row r="40" ht="15.75" customHeight="1">
      <c r="A40" s="52" t="s">
        <v>474</v>
      </c>
      <c r="B40" s="142"/>
      <c r="C40" s="142"/>
      <c r="D40" s="54"/>
      <c r="E40" s="123" t="str">
        <f>IFERROR(VLOOKUP(CONCATENATE("Onda 1"," - ",A40),'Dist expedição'!P:S,3,0),"")</f>
        <v/>
      </c>
      <c r="F40" s="125" t="str">
        <f>IFERROR(VLOOKUP(E40,'Dist expedição'!$C:$E,2,0),"")</f>
        <v/>
      </c>
      <c r="G40" s="125" t="str">
        <f>IFERROR(VLOOKUP(E40,'Dist expedição'!$C:$F,4,0),"")</f>
        <v/>
      </c>
      <c r="H40" s="126" t="str">
        <f>IF(E40="", "", IF(ISNUMBER(MATCH(SUBSTITUTE(E40, "_AM1", ""), 'Resumo Mapa'!A:A, 0)), "✅", "❌"))</f>
        <v/>
      </c>
      <c r="I40" s="123" t="str">
        <f>IFERROR(VLOOKUP(CONCATENATE("Onda 2"," - ",A40),'Dist expedição'!P:S,3,0),"")</f>
        <v/>
      </c>
      <c r="J40" s="125" t="str">
        <f>IFERROR(VLOOKUP(I40,'Dist expedição'!$C:$E,2,0),"")</f>
        <v/>
      </c>
      <c r="K40" s="125" t="str">
        <f>IFERROR(VLOOKUP(I40,'Dist expedição'!$C:$F,4,0),"")</f>
        <v/>
      </c>
      <c r="L40" s="127" t="str">
        <f>IF(I40="", "", IF(ISNUMBER(MATCH(SUBSTITUTE(I40, "_AM1", ""), 'Resumo Mapa'!A:A, 0)), "✅", "❌"))</f>
        <v/>
      </c>
      <c r="M40" s="58" t="s">
        <v>474</v>
      </c>
      <c r="N40" s="129" t="str">
        <f>IFERROR(VLOOKUP(CONCATENATE("Onda 3"," - ",A40),'Dist expedição'!P:S,3,0),"")</f>
        <v/>
      </c>
      <c r="O40" s="125" t="str">
        <f>IFERROR(VLOOKUP(N40,'Dist expedição'!$C:$E,2,0),"")</f>
        <v/>
      </c>
      <c r="P40" s="125" t="str">
        <f>IFERROR(VLOOKUP(N40,'Dist expedição'!$C:$F,4,0),"")</f>
        <v/>
      </c>
      <c r="Q40" s="126" t="str">
        <f>IF(N40="", "", IF(ISNUMBER(MATCH(SUBSTITUTE(N40, "_AM1", ""), 'Resumo Mapa'!A:A, 0)), "✅", "❌"))</f>
        <v/>
      </c>
      <c r="R40" s="123" t="str">
        <f>IFERROR(VLOOKUP(CONCATENATE("Onda 4"," - ",A40),'Dist expedição'!P:S,3,0),"")</f>
        <v/>
      </c>
      <c r="S40" s="125" t="str">
        <f>IFERROR(VLOOKUP(R40,'Dist expedição'!$C:$E,2,0),"")</f>
        <v/>
      </c>
      <c r="T40" s="125" t="str">
        <f>IFERROR(VLOOKUP(R40,'Dist expedição'!$C:$F,4,0),"")</f>
        <v/>
      </c>
      <c r="U40" s="125" t="str">
        <f>IF(R40="", "", IF(ISNUMBER(MATCH(SUBSTITUTE(R40, "_AM1", ""), 'Resumo Mapa'!A:A, 0)), "✅", "❌"))</f>
        <v/>
      </c>
      <c r="V40" s="123" t="str">
        <f>IFERROR(VLOOKUP(CONCATENATE("Onda 5"," - ",A40),'Dist expedição'!P:S,3,0),"")</f>
        <v/>
      </c>
      <c r="W40" s="125" t="str">
        <f>IFERROR(VLOOKUP(V40,'Dist expedição'!$C:$E,2,0),"")</f>
        <v/>
      </c>
      <c r="X40" s="125" t="str">
        <f>IFERROR(VLOOKUP(V40,'Dist expedição'!$C:$F,4,0),"")</f>
        <v/>
      </c>
      <c r="Y40" s="126" t="str">
        <f>IF(V40="", "", IF(ISNUMBER(MATCH(SUBSTITUTE(V40, "_AM1", ""), 'Resumo Mapa'!A:A, 0)), "✅", "❌"))</f>
        <v/>
      </c>
      <c r="Z40" s="123" t="str">
        <f>IFERROR(VLOOKUP(CONCATENATE("Onda 6"," - ",A40),'Dist expedição'!P:S,3,0),"")</f>
        <v/>
      </c>
      <c r="AA40" s="125" t="str">
        <f>IFERROR(VLOOKUP(Z40,'Dist expedição'!$C:$E,2,0),"")</f>
        <v/>
      </c>
      <c r="AB40" s="125" t="str">
        <f>IFERROR(VLOOKUP(Z40,'Dist expedição'!$C:$F,4,0),"")</f>
        <v/>
      </c>
      <c r="AC40" s="126" t="str">
        <f>IF(Z40="", "", IF(ISNUMBER(MATCH(SUBSTITUTE(Z40, "_AM1", ""), 'Resumo Mapa'!A:A, 0)), "✅", "❌"))</f>
        <v/>
      </c>
      <c r="AD40" s="123" t="str">
        <f>IFERROR(VLOOKUP(CONCATENATE("Onda 7"," - ",A40),'Dist expedição'!P:S,3,0),"")</f>
        <v/>
      </c>
      <c r="AE40" s="125" t="str">
        <f>IFERROR(VLOOKUP(AD40,'Dist expedição'!$C:$E,2,0),"")</f>
        <v/>
      </c>
      <c r="AF40" s="125" t="str">
        <f>IFERROR(VLOOKUP(AD40,'Dist expedição'!$C:$F,4,0),"")</f>
        <v/>
      </c>
      <c r="AG40" s="126" t="str">
        <f>IF(AD40="", "", IF(ISNUMBER(MATCH(SUBSTITUTE(AD40, "_AM1", ""), 'Resumo Mapa'!A:A, 0)), "✅", "❌"))</f>
        <v/>
      </c>
    </row>
    <row r="41" ht="15.75" customHeight="1">
      <c r="A41" s="60" t="s">
        <v>475</v>
      </c>
      <c r="B41" s="137"/>
      <c r="C41" s="137"/>
      <c r="D41" s="62"/>
      <c r="E41" s="104" t="str">
        <f>IFERROR(VLOOKUP(CONCATENATE("Onda 1"," - ",A41),'Dist expedição'!P:S,3,0),"")</f>
        <v/>
      </c>
      <c r="F41" s="105" t="str">
        <f>IFERROR(VLOOKUP(E41,'Dist expedição'!$C:$E,2,0),"")</f>
        <v/>
      </c>
      <c r="G41" s="105" t="str">
        <f>IFERROR(VLOOKUP(E41,'Dist expedição'!$C:$F,4,0),"")</f>
        <v/>
      </c>
      <c r="H41" s="106" t="str">
        <f>IF(E41="", "", IF(ISNUMBER(MATCH(SUBSTITUTE(E41, "_AM1", ""), 'Resumo Mapa'!A:A, 0)), "✅", "❌"))</f>
        <v/>
      </c>
      <c r="I41" s="104" t="str">
        <f>IFERROR(VLOOKUP(CONCATENATE("Onda 2"," - ",A41),'Dist expedição'!P:S,3,0),"")</f>
        <v/>
      </c>
      <c r="J41" s="105" t="str">
        <f>IFERROR(VLOOKUP(I41,'Dist expedição'!$C:$E,2,0),"")</f>
        <v/>
      </c>
      <c r="K41" s="105" t="str">
        <f>IFERROR(VLOOKUP(I41,'Dist expedição'!$C:$F,4,0),"")</f>
        <v/>
      </c>
      <c r="L41" s="107" t="str">
        <f>IF(I41="", "", IF(ISNUMBER(MATCH(SUBSTITUTE(I41, "_AM1", ""), 'Resumo Mapa'!A:A, 0)), "✅", "❌"))</f>
        <v/>
      </c>
      <c r="M41" s="66" t="s">
        <v>475</v>
      </c>
      <c r="N41" s="108" t="str">
        <f>IFERROR(VLOOKUP(CONCATENATE("Onda 3"," - ",A41),'Dist expedição'!P:S,3,0),"")</f>
        <v/>
      </c>
      <c r="O41" s="105" t="str">
        <f>IFERROR(VLOOKUP(N41,'Dist expedição'!$C:$E,2,0),"")</f>
        <v/>
      </c>
      <c r="P41" s="105" t="str">
        <f>IFERROR(VLOOKUP(N41,'Dist expedição'!$C:$F,4,0),"")</f>
        <v/>
      </c>
      <c r="Q41" s="106" t="str">
        <f>IF(N41="", "", IF(ISNUMBER(MATCH(SUBSTITUTE(N41, "_AM1", ""), 'Resumo Mapa'!A:A, 0)), "✅", "❌"))</f>
        <v/>
      </c>
      <c r="R41" s="104" t="str">
        <f>IFERROR(VLOOKUP(CONCATENATE("Onda 4"," - ",A41),'Dist expedição'!P:S,3,0),"")</f>
        <v/>
      </c>
      <c r="S41" s="105" t="str">
        <f>IFERROR(VLOOKUP(R41,'Dist expedição'!$C:$E,2,0),"")</f>
        <v/>
      </c>
      <c r="T41" s="105" t="str">
        <f>IFERROR(VLOOKUP(R41,'Dist expedição'!$C:$F,4,0),"")</f>
        <v/>
      </c>
      <c r="U41" s="105" t="str">
        <f>IF(R41="", "", IF(ISNUMBER(MATCH(SUBSTITUTE(R41, "_AM1", ""), 'Resumo Mapa'!A:A, 0)), "✅", "❌"))</f>
        <v/>
      </c>
      <c r="V41" s="104" t="str">
        <f>IFERROR(VLOOKUP(CONCATENATE("Onda 5"," - ",A41),'Dist expedição'!P:S,3,0),"")</f>
        <v/>
      </c>
      <c r="W41" s="105" t="str">
        <f>IFERROR(VLOOKUP(V41,'Dist expedição'!$C:$E,2,0),"")</f>
        <v/>
      </c>
      <c r="X41" s="105" t="str">
        <f>IFERROR(VLOOKUP(V41,'Dist expedição'!$C:$F,4,0),"")</f>
        <v/>
      </c>
      <c r="Y41" s="106" t="str">
        <f>IF(V41="", "", IF(ISNUMBER(MATCH(SUBSTITUTE(V41, "_AM1", ""), 'Resumo Mapa'!A:A, 0)), "✅", "❌"))</f>
        <v/>
      </c>
      <c r="Z41" s="104" t="str">
        <f>IFERROR(VLOOKUP(CONCATENATE("Onda 6"," - ",A41),'Dist expedição'!P:S,3,0),"")</f>
        <v/>
      </c>
      <c r="AA41" s="105" t="str">
        <f>IFERROR(VLOOKUP(Z41,'Dist expedição'!$C:$E,2,0),"")</f>
        <v/>
      </c>
      <c r="AB41" s="105" t="str">
        <f>IFERROR(VLOOKUP(Z41,'Dist expedição'!$C:$F,4,0),"")</f>
        <v/>
      </c>
      <c r="AC41" s="106" t="str">
        <f>IF(Z41="", "", IF(ISNUMBER(MATCH(SUBSTITUTE(Z41, "_AM1", ""), 'Resumo Mapa'!A:A, 0)), "✅", "❌"))</f>
        <v/>
      </c>
      <c r="AD41" s="104" t="str">
        <f>IFERROR(VLOOKUP(CONCATENATE("Onda 7"," - ",A41),'Dist expedição'!P:S,3,0),"")</f>
        <v/>
      </c>
      <c r="AE41" s="105" t="str">
        <f>IFERROR(VLOOKUP(AD41,'Dist expedição'!$C:$E,2,0),"")</f>
        <v/>
      </c>
      <c r="AF41" s="105" t="str">
        <f>IFERROR(VLOOKUP(AD41,'Dist expedição'!$C:$F,4,0),"")</f>
        <v/>
      </c>
      <c r="AG41" s="106" t="str">
        <f>IF(AD41="", "", IF(ISNUMBER(MATCH(SUBSTITUTE(AD41, "_AM1", ""), 'Resumo Mapa'!A:A, 0)), "✅", "❌"))</f>
        <v/>
      </c>
    </row>
    <row r="42" ht="15.75" customHeight="1">
      <c r="A42" s="143" t="s">
        <v>476</v>
      </c>
      <c r="B42" s="144"/>
      <c r="C42" s="144"/>
      <c r="D42" s="145"/>
      <c r="E42" s="146" t="str">
        <f>IFERROR(VLOOKUP(CONCATENATE("Onda 1"," - ",A42),'Dist expedição'!P:S,3,0),"")</f>
        <v/>
      </c>
      <c r="F42" s="147" t="str">
        <f>IFERROR(VLOOKUP(E42,'Dist expedição'!$C:$E,2,0),"")</f>
        <v/>
      </c>
      <c r="G42" s="147" t="str">
        <f>IFERROR(VLOOKUP(E42,'Dist expedição'!$C:$F,4,0),"")</f>
        <v/>
      </c>
      <c r="H42" s="92" t="str">
        <f>IF(E42="", "", IF(ISNUMBER(MATCH(SUBSTITUTE(E42, "_AM1", ""), 'Resumo Mapa'!A:A, 0)), "✅", "❌"))</f>
        <v/>
      </c>
      <c r="I42" s="146" t="str">
        <f>IFERROR(VLOOKUP(CONCATENATE("Onda 2"," - ",A42),'Dist expedição'!P:S,3,0),"")</f>
        <v/>
      </c>
      <c r="J42" s="147" t="str">
        <f>IFERROR(VLOOKUP(I42,'Dist expedição'!$C:$E,2,0),"")</f>
        <v/>
      </c>
      <c r="K42" s="147" t="str">
        <f>IFERROR(VLOOKUP(I42,'Dist expedição'!$C:$F,4,0),"")</f>
        <v/>
      </c>
      <c r="L42" s="93" t="str">
        <f>IF(I42="", "", IF(ISNUMBER(MATCH(SUBSTITUTE(I42, "_AM1", ""), 'Resumo Mapa'!A:A, 0)), "✅", "❌"))</f>
        <v/>
      </c>
      <c r="M42" s="148" t="s">
        <v>476</v>
      </c>
      <c r="N42" s="149" t="str">
        <f>IFERROR(VLOOKUP(CONCATENATE("Onda 3"," - ",A42),'Dist expedição'!P:S,3,0),"")</f>
        <v/>
      </c>
      <c r="O42" s="147" t="str">
        <f>IFERROR(VLOOKUP(N42,'Dist expedição'!$C:$E,2,0),"")</f>
        <v/>
      </c>
      <c r="P42" s="147" t="str">
        <f>IFERROR(VLOOKUP(N42,'Dist expedição'!$C:$F,4,0),"")</f>
        <v/>
      </c>
      <c r="Q42" s="92" t="str">
        <f>IF(N42="", "", IF(ISNUMBER(MATCH(SUBSTITUTE(N42, "_AM1", ""), 'Resumo Mapa'!A:A, 0)), "✅", "❌"))</f>
        <v/>
      </c>
      <c r="R42" s="146" t="str">
        <f>IFERROR(VLOOKUP(CONCATENATE("Onda 4"," - ",A42),'Dist expedição'!P:S,3,0),"")</f>
        <v/>
      </c>
      <c r="S42" s="147" t="str">
        <f>IFERROR(VLOOKUP(R42,'Dist expedição'!$C:$E,2,0),"")</f>
        <v/>
      </c>
      <c r="T42" s="147" t="str">
        <f>IFERROR(VLOOKUP(R42,'Dist expedição'!$C:$F,4,0),"")</f>
        <v/>
      </c>
      <c r="U42" s="147" t="str">
        <f>IF(R42="", "", IF(ISNUMBER(MATCH(SUBSTITUTE(R42, "_AM1", ""), 'Resumo Mapa'!A:A, 0)), "✅", "❌"))</f>
        <v/>
      </c>
      <c r="V42" s="146" t="str">
        <f>IFERROR(VLOOKUP(CONCATENATE("Onda 5"," - ",A42),'Dist expedição'!P:S,3,0),"")</f>
        <v/>
      </c>
      <c r="W42" s="147" t="str">
        <f>IFERROR(VLOOKUP(V42,'Dist expedição'!$C:$E,2,0),"")</f>
        <v/>
      </c>
      <c r="X42" s="147" t="str">
        <f>IFERROR(VLOOKUP(V42,'Dist expedição'!$C:$F,4,0),"")</f>
        <v/>
      </c>
      <c r="Y42" s="92" t="str">
        <f>IF(V42="", "", IF(ISNUMBER(MATCH(SUBSTITUTE(V42, "_AM1", ""), 'Resumo Mapa'!A:A, 0)), "✅", "❌"))</f>
        <v/>
      </c>
      <c r="Z42" s="146" t="str">
        <f>IFERROR(VLOOKUP(CONCATENATE("Onda 6"," - ",A42),'Dist expedição'!P:S,3,0),"")</f>
        <v/>
      </c>
      <c r="AA42" s="147" t="str">
        <f>IFERROR(VLOOKUP(Z42,'Dist expedição'!$C:$E,2,0),"")</f>
        <v/>
      </c>
      <c r="AB42" s="147" t="str">
        <f>IFERROR(VLOOKUP(Z42,'Dist expedição'!$C:$F,4,0),"")</f>
        <v/>
      </c>
      <c r="AC42" s="92" t="str">
        <f>IF(Z42="", "", IF(ISNUMBER(MATCH(SUBSTITUTE(Z42, "_AM1", ""), 'Resumo Mapa'!A:A, 0)), "✅", "❌"))</f>
        <v/>
      </c>
      <c r="AD42" s="146" t="str">
        <f>IFERROR(VLOOKUP(CONCATENATE("Onda 7"," - ",A42),'Dist expedição'!P:S,3,0),"")</f>
        <v/>
      </c>
      <c r="AE42" s="147" t="str">
        <f>IFERROR(VLOOKUP(AD42,'Dist expedição'!$C:$E,2,0),"")</f>
        <v/>
      </c>
      <c r="AF42" s="147" t="str">
        <f>IFERROR(VLOOKUP(AD42,'Dist expedição'!$C:$F,4,0),"")</f>
        <v/>
      </c>
      <c r="AG42" s="92" t="str">
        <f>IF(AD42="", "", IF(ISNUMBER(MATCH(SUBSTITUTE(AD42, "_AM1", ""), 'Resumo Mapa'!A:A, 0)), "✅", "❌"))</f>
        <v/>
      </c>
    </row>
    <row r="43" ht="15.75" hidden="1" customHeight="1">
      <c r="A43" s="150">
        <v>35.0</v>
      </c>
      <c r="B43" s="151"/>
      <c r="C43" s="151"/>
      <c r="D43" s="152"/>
      <c r="E43" s="153" t="str">
        <f t="array" ref="E43">_xlfn.XLOOKUP(CONCATENATE("Onda 1","-",A43),'Dist expedição'!$T:$T,'Dist expedição'!$C:$C,"",0)</f>
        <v/>
      </c>
      <c r="F43" s="153" t="str">
        <f>IFERROR(VLOOKUP(E43,'Dist expedição'!$C:$E,2,0),"")</f>
        <v/>
      </c>
      <c r="G43" s="153" t="str">
        <f>IFERROR(VLOOKUP(E43,'Dist expedição'!$C:$F,4,0),"")</f>
        <v/>
      </c>
      <c r="H43" s="153"/>
      <c r="I43" s="153"/>
      <c r="J43" s="153"/>
      <c r="K43" s="153"/>
      <c r="L43" s="153"/>
      <c r="M43" s="153"/>
      <c r="N43" s="153"/>
      <c r="O43" s="153"/>
      <c r="P43" s="154"/>
      <c r="Q43" s="154"/>
      <c r="R43" s="155"/>
      <c r="S43" s="155"/>
      <c r="T43" s="156"/>
      <c r="U43" s="156"/>
      <c r="V43" s="155"/>
      <c r="W43" s="155"/>
      <c r="X43" s="157"/>
      <c r="Y43" s="158"/>
      <c r="Z43" s="155"/>
      <c r="AA43" s="155"/>
      <c r="AB43" s="159"/>
      <c r="AC43" s="160"/>
      <c r="AD43" s="155"/>
      <c r="AE43" s="155"/>
      <c r="AF43" s="159"/>
      <c r="AG43" s="161"/>
    </row>
    <row r="44" ht="15.75" hidden="1" customHeight="1">
      <c r="A44" s="162">
        <v>36.0</v>
      </c>
      <c r="B44" s="163"/>
      <c r="C44" s="163"/>
      <c r="D44" s="163"/>
      <c r="E44" s="164" t="str">
        <f t="array" ref="E44">_xlfn.XLOOKUP(CONCATENATE("Onda 1","-",A44),'Dist expedição'!T:T,'Dist expedição'!C:C,"",0)</f>
        <v/>
      </c>
      <c r="F44" s="163" t="str">
        <f>IFERROR(VLOOKUP(E44,'Dist expedição'!$C:$D,2,0),"")</f>
        <v/>
      </c>
      <c r="G44" s="165" t="str">
        <f>IFERROR(VLOOKUP(E44,'Dist expedição'!$C:$F,4,0),"")</f>
        <v/>
      </c>
      <c r="H44" s="165"/>
      <c r="I44" s="164"/>
      <c r="J44" s="163"/>
      <c r="K44" s="166"/>
      <c r="L44" s="166"/>
      <c r="M44" s="166"/>
      <c r="N44" s="164"/>
      <c r="O44" s="163"/>
      <c r="P44" s="166"/>
      <c r="Q44" s="166"/>
      <c r="R44" s="164"/>
      <c r="S44" s="163"/>
      <c r="T44" s="166"/>
      <c r="U44" s="166"/>
      <c r="V44" s="164"/>
      <c r="W44" s="163"/>
      <c r="X44" s="167"/>
      <c r="Y44" s="168"/>
      <c r="Z44" s="164"/>
      <c r="AA44" s="163"/>
      <c r="AB44" s="163"/>
      <c r="AC44" s="163"/>
      <c r="AD44" s="164"/>
      <c r="AE44" s="163"/>
      <c r="AF44" s="169"/>
      <c r="AG44" s="170"/>
    </row>
    <row r="45" ht="15.75" hidden="1" customHeight="1">
      <c r="A45" s="171">
        <v>37.0</v>
      </c>
      <c r="B45" s="163"/>
      <c r="C45" s="163"/>
      <c r="D45" s="163"/>
      <c r="E45" s="164" t="str">
        <f t="array" ref="E45">_xlfn.XLOOKUP(CONCATENATE("Onda 1","-",A45),'Dist expedição'!T:T,'Dist expedição'!C:C,"",0)</f>
        <v/>
      </c>
      <c r="F45" s="163" t="str">
        <f>IFERROR(VLOOKUP(E45,'Dist expedição'!$C:$D,2,0),"")</f>
        <v/>
      </c>
      <c r="G45" s="165" t="str">
        <f>IFERROR(VLOOKUP(E45,'Dist expedição'!$C:$F,4,0),"")</f>
        <v/>
      </c>
      <c r="H45" s="165"/>
      <c r="I45" s="164"/>
      <c r="J45" s="163"/>
      <c r="K45" s="166"/>
      <c r="L45" s="166"/>
      <c r="M45" s="166"/>
      <c r="N45" s="164"/>
      <c r="O45" s="163"/>
      <c r="P45" s="166"/>
      <c r="Q45" s="166"/>
      <c r="R45" s="164"/>
      <c r="S45" s="163"/>
      <c r="T45" s="166"/>
      <c r="U45" s="166"/>
      <c r="V45" s="164"/>
      <c r="W45" s="163"/>
      <c r="X45" s="168"/>
      <c r="Y45" s="168"/>
      <c r="Z45" s="164"/>
      <c r="AA45" s="163"/>
      <c r="AB45" s="163"/>
      <c r="AC45" s="163"/>
      <c r="AD45" s="164"/>
      <c r="AE45" s="163"/>
      <c r="AF45" s="163"/>
      <c r="AG45" s="170"/>
    </row>
    <row r="46" ht="15.75" hidden="1" customHeight="1">
      <c r="A46" s="171">
        <v>38.0</v>
      </c>
      <c r="B46" s="163"/>
      <c r="C46" s="163"/>
      <c r="D46" s="163"/>
      <c r="E46" s="164" t="str">
        <f t="array" ref="E46">_xlfn.XLOOKUP(CONCATENATE("Onda 1","-",A46),'Dist expedição'!T:T,'Dist expedição'!C:C,"",0)</f>
        <v/>
      </c>
      <c r="F46" s="163" t="str">
        <f>IFERROR(VLOOKUP(E46,'Dist expedição'!$C:$D,2,0),"")</f>
        <v/>
      </c>
      <c r="G46" s="165" t="str">
        <f>IFERROR(VLOOKUP(E46,'Dist expedição'!$C:$F,4,0),"")</f>
        <v/>
      </c>
      <c r="H46" s="165"/>
      <c r="I46" s="164"/>
      <c r="J46" s="163"/>
      <c r="K46" s="166"/>
      <c r="L46" s="166"/>
      <c r="M46" s="166"/>
      <c r="N46" s="164"/>
      <c r="O46" s="163"/>
      <c r="P46" s="166"/>
      <c r="Q46" s="166"/>
      <c r="R46" s="164"/>
      <c r="S46" s="163"/>
      <c r="T46" s="166"/>
      <c r="U46" s="166"/>
      <c r="V46" s="164"/>
      <c r="W46" s="163"/>
      <c r="X46" s="168"/>
      <c r="Y46" s="168"/>
      <c r="Z46" s="164"/>
      <c r="AA46" s="163"/>
      <c r="AB46" s="163"/>
      <c r="AC46" s="163"/>
      <c r="AD46" s="164"/>
      <c r="AE46" s="163"/>
      <c r="AF46" s="163"/>
      <c r="AG46" s="170"/>
    </row>
    <row r="47" ht="15.75" hidden="1" customHeight="1">
      <c r="A47" s="171">
        <v>39.0</v>
      </c>
      <c r="B47" s="163"/>
      <c r="C47" s="163"/>
      <c r="D47" s="163"/>
      <c r="E47" s="164" t="str">
        <f t="array" ref="E47">_xlfn.XLOOKUP(CONCATENATE("Onda 1","-",A47),'Dist expedição'!T:T,'Dist expedição'!C:C,"",0)</f>
        <v/>
      </c>
      <c r="F47" s="163" t="str">
        <f>IFERROR(VLOOKUP(E47,'Dist expedição'!$C:$D,2,0),"")</f>
        <v/>
      </c>
      <c r="G47" s="165" t="str">
        <f>IFERROR(VLOOKUP(E47,'Dist expedição'!$C:$F,4,0),"")</f>
        <v/>
      </c>
      <c r="H47" s="165"/>
      <c r="I47" s="164"/>
      <c r="J47" s="163"/>
      <c r="K47" s="166"/>
      <c r="L47" s="166"/>
      <c r="M47" s="166"/>
      <c r="N47" s="164"/>
      <c r="O47" s="163"/>
      <c r="P47" s="166"/>
      <c r="Q47" s="166"/>
      <c r="R47" s="164"/>
      <c r="S47" s="163"/>
      <c r="T47" s="166"/>
      <c r="U47" s="166"/>
      <c r="V47" s="164"/>
      <c r="W47" s="163"/>
      <c r="X47" s="168"/>
      <c r="Y47" s="168"/>
      <c r="Z47" s="164"/>
      <c r="AA47" s="163"/>
      <c r="AB47" s="163"/>
      <c r="AC47" s="163"/>
      <c r="AD47" s="164"/>
      <c r="AE47" s="163"/>
      <c r="AF47" s="163"/>
      <c r="AG47" s="170"/>
    </row>
    <row r="48" ht="15.75" hidden="1" customHeight="1">
      <c r="A48" s="171">
        <v>40.0</v>
      </c>
      <c r="B48" s="163"/>
      <c r="C48" s="163"/>
      <c r="D48" s="163"/>
      <c r="E48" s="164" t="str">
        <f t="array" ref="E48">_xlfn.XLOOKUP(CONCATENATE("Onda 1","-",A48),'Dist expedição'!T:T,'Dist expedição'!C:C,"",0)</f>
        <v/>
      </c>
      <c r="F48" s="163" t="str">
        <f>IFERROR(VLOOKUP(E48,'Dist expedição'!$C:$D,2,0),"")</f>
        <v/>
      </c>
      <c r="G48" s="165" t="str">
        <f>IFERROR(VLOOKUP(E48,'Dist expedição'!$C:$F,4,0),"")</f>
        <v/>
      </c>
      <c r="H48" s="165"/>
      <c r="I48" s="164"/>
      <c r="J48" s="163"/>
      <c r="K48" s="166"/>
      <c r="L48" s="166"/>
      <c r="M48" s="166"/>
      <c r="N48" s="164"/>
      <c r="O48" s="163"/>
      <c r="P48" s="166"/>
      <c r="Q48" s="166"/>
      <c r="R48" s="164"/>
      <c r="S48" s="163"/>
      <c r="T48" s="166"/>
      <c r="U48" s="166"/>
      <c r="V48" s="164"/>
      <c r="W48" s="163"/>
      <c r="X48" s="168"/>
      <c r="Y48" s="168"/>
      <c r="Z48" s="164"/>
      <c r="AA48" s="163"/>
      <c r="AB48" s="163"/>
      <c r="AC48" s="163"/>
      <c r="AD48" s="164"/>
      <c r="AE48" s="163"/>
      <c r="AF48" s="163"/>
      <c r="AG48" s="170"/>
    </row>
    <row r="49" ht="15.75" hidden="1" customHeight="1">
      <c r="A49" s="171">
        <v>41.0</v>
      </c>
      <c r="B49" s="163"/>
      <c r="C49" s="163"/>
      <c r="D49" s="163"/>
      <c r="E49" s="164" t="str">
        <f t="array" ref="E49">_xlfn.XLOOKUP(CONCATENATE("Onda 1","-",A49),'Dist expedição'!T:T,'Dist expedição'!C:C,"",0)</f>
        <v/>
      </c>
      <c r="F49" s="163" t="str">
        <f>IFERROR(VLOOKUP(E49,'Dist expedição'!$C:$D,2,0),"")</f>
        <v/>
      </c>
      <c r="G49" s="165" t="str">
        <f>IFERROR(VLOOKUP(E49,'Dist expedição'!$C:$F,4,0),"")</f>
        <v/>
      </c>
      <c r="H49" s="165"/>
      <c r="I49" s="164"/>
      <c r="J49" s="163"/>
      <c r="K49" s="166"/>
      <c r="L49" s="166"/>
      <c r="M49" s="166"/>
      <c r="N49" s="164"/>
      <c r="O49" s="163"/>
      <c r="P49" s="166"/>
      <c r="Q49" s="166"/>
      <c r="R49" s="164"/>
      <c r="S49" s="163"/>
      <c r="T49" s="166"/>
      <c r="U49" s="166"/>
      <c r="V49" s="164"/>
      <c r="W49" s="163"/>
      <c r="X49" s="168"/>
      <c r="Y49" s="168"/>
      <c r="Z49" s="164"/>
      <c r="AA49" s="163"/>
      <c r="AB49" s="163"/>
      <c r="AC49" s="163"/>
      <c r="AD49" s="164"/>
      <c r="AE49" s="163"/>
      <c r="AF49" s="163"/>
      <c r="AG49" s="170"/>
    </row>
    <row r="50" ht="15.75" hidden="1" customHeight="1">
      <c r="A50" s="171">
        <v>42.0</v>
      </c>
      <c r="B50" s="163"/>
      <c r="C50" s="163"/>
      <c r="D50" s="163"/>
      <c r="E50" s="164" t="str">
        <f t="array" ref="E50">_xlfn.XLOOKUP(CONCATENATE("Onda 1","-",A50),'Dist expedição'!T:T,'Dist expedição'!C:C,"",0)</f>
        <v/>
      </c>
      <c r="F50" s="163" t="str">
        <f>IFERROR(VLOOKUP(E50,'Dist expedição'!$C:$D,2,0),"")</f>
        <v/>
      </c>
      <c r="G50" s="165" t="str">
        <f>IFERROR(VLOOKUP(E50,'Dist expedição'!$C:$F,4,0),"")</f>
        <v/>
      </c>
      <c r="H50" s="165"/>
      <c r="I50" s="164"/>
      <c r="J50" s="163"/>
      <c r="K50" s="166"/>
      <c r="L50" s="166"/>
      <c r="M50" s="166"/>
      <c r="N50" s="164"/>
      <c r="O50" s="163"/>
      <c r="P50" s="166"/>
      <c r="Q50" s="166"/>
      <c r="R50" s="164"/>
      <c r="S50" s="163"/>
      <c r="T50" s="166"/>
      <c r="U50" s="166"/>
      <c r="V50" s="164"/>
      <c r="W50" s="163"/>
      <c r="X50" s="168"/>
      <c r="Y50" s="168"/>
      <c r="Z50" s="164"/>
      <c r="AA50" s="163"/>
      <c r="AB50" s="163"/>
      <c r="AC50" s="163"/>
      <c r="AD50" s="164"/>
      <c r="AE50" s="163"/>
      <c r="AF50" s="163"/>
      <c r="AG50" s="170"/>
    </row>
    <row r="51" ht="15.75" hidden="1" customHeight="1">
      <c r="A51" s="171">
        <v>43.0</v>
      </c>
      <c r="B51" s="163"/>
      <c r="C51" s="163"/>
      <c r="D51" s="163"/>
      <c r="E51" s="164" t="str">
        <f t="array" ref="E51">_xlfn.XLOOKUP(CONCATENATE("Onda 1","-",A51),'Dist expedição'!T:T,'Dist expedição'!C:C,"",0)</f>
        <v/>
      </c>
      <c r="F51" s="163" t="str">
        <f>IFERROR(VLOOKUP(E51,'Dist expedição'!$C:$D,2,0),"")</f>
        <v/>
      </c>
      <c r="G51" s="165" t="str">
        <f>IFERROR(VLOOKUP(E51,'Dist expedição'!$C:$F,4,0),"")</f>
        <v/>
      </c>
      <c r="H51" s="165"/>
      <c r="I51" s="164"/>
      <c r="J51" s="163"/>
      <c r="K51" s="166"/>
      <c r="L51" s="166"/>
      <c r="M51" s="166"/>
      <c r="N51" s="164"/>
      <c r="O51" s="163"/>
      <c r="P51" s="166"/>
      <c r="Q51" s="166"/>
      <c r="R51" s="164"/>
      <c r="S51" s="163"/>
      <c r="T51" s="166"/>
      <c r="U51" s="166"/>
      <c r="V51" s="164"/>
      <c r="W51" s="163"/>
      <c r="X51" s="168"/>
      <c r="Y51" s="168"/>
      <c r="Z51" s="164"/>
      <c r="AA51" s="163"/>
      <c r="AB51" s="163"/>
      <c r="AC51" s="163"/>
      <c r="AD51" s="164"/>
      <c r="AE51" s="163"/>
      <c r="AF51" s="163"/>
      <c r="AG51" s="170"/>
    </row>
    <row r="52" ht="68.25" customHeight="1">
      <c r="A52" s="172" t="s">
        <v>477</v>
      </c>
      <c r="B52" s="173"/>
      <c r="C52" s="173"/>
      <c r="D52" s="174"/>
      <c r="E52" s="1"/>
      <c r="F52" s="1"/>
      <c r="G52" s="1"/>
      <c r="H52" s="1"/>
      <c r="I52" s="1" t="s">
        <v>478</v>
      </c>
      <c r="L52" s="175"/>
      <c r="M52" s="176" t="s">
        <v>479</v>
      </c>
      <c r="Q52" s="177" t="s">
        <v>478</v>
      </c>
      <c r="U52" s="175"/>
      <c r="V52" s="178"/>
      <c r="W52" s="178"/>
      <c r="X52" s="179"/>
      <c r="Y52" s="179"/>
      <c r="Z52" s="178"/>
      <c r="AA52" s="178"/>
      <c r="AB52" s="178"/>
      <c r="AC52" s="178"/>
      <c r="AD52" s="178"/>
      <c r="AE52" s="178"/>
      <c r="AF52" s="178"/>
      <c r="AG52" s="178"/>
    </row>
    <row r="53" ht="15.75" customHeight="1">
      <c r="G53" s="180"/>
      <c r="H53" s="180"/>
      <c r="K53" s="181"/>
      <c r="L53" s="181"/>
      <c r="M53" s="181"/>
      <c r="N53" s="182"/>
      <c r="O53" s="182"/>
      <c r="P53" s="181"/>
      <c r="Q53" s="181"/>
      <c r="R53" s="182"/>
      <c r="S53" s="182"/>
      <c r="T53" s="181"/>
      <c r="U53" s="181"/>
      <c r="V53" s="182"/>
      <c r="W53" s="182"/>
      <c r="X53" s="183"/>
      <c r="Y53" s="183"/>
      <c r="Z53" s="182"/>
      <c r="AA53" s="182"/>
      <c r="AB53" s="182"/>
      <c r="AC53" s="182"/>
      <c r="AD53" s="182"/>
      <c r="AE53" s="182"/>
      <c r="AF53" s="182"/>
      <c r="AG53" s="182"/>
    </row>
    <row r="54" ht="15.75" customHeight="1">
      <c r="G54" s="180"/>
      <c r="H54" s="180"/>
      <c r="K54" s="181"/>
      <c r="L54" s="181"/>
      <c r="M54" s="181"/>
      <c r="N54" s="182"/>
      <c r="O54" s="182"/>
      <c r="P54" s="181"/>
      <c r="Q54" s="181"/>
      <c r="R54" s="182"/>
      <c r="S54" s="182"/>
      <c r="T54" s="181"/>
      <c r="U54" s="181"/>
      <c r="V54" s="182"/>
      <c r="W54" s="182"/>
      <c r="X54" s="183"/>
      <c r="Y54" s="183"/>
      <c r="Z54" s="182"/>
      <c r="AA54" s="182"/>
      <c r="AB54" s="182"/>
      <c r="AC54" s="182"/>
      <c r="AD54" s="182"/>
      <c r="AE54" s="182"/>
      <c r="AF54" s="182"/>
      <c r="AG54" s="182"/>
    </row>
    <row r="55" ht="15.75" customHeight="1">
      <c r="G55" s="180"/>
      <c r="H55" s="180"/>
      <c r="K55" s="181"/>
      <c r="L55" s="181"/>
      <c r="M55" s="181"/>
      <c r="N55" s="182"/>
      <c r="O55" s="182"/>
      <c r="P55" s="181"/>
      <c r="Q55" s="181"/>
      <c r="R55" s="182"/>
      <c r="S55" s="182"/>
      <c r="T55" s="181"/>
      <c r="U55" s="181"/>
      <c r="V55" s="182"/>
      <c r="W55" s="182"/>
      <c r="X55" s="183"/>
      <c r="Y55" s="183"/>
      <c r="Z55" s="182"/>
      <c r="AA55" s="182"/>
      <c r="AB55" s="182"/>
      <c r="AC55" s="182"/>
      <c r="AD55" s="182"/>
      <c r="AE55" s="182"/>
      <c r="AF55" s="182"/>
      <c r="AG55" s="182"/>
    </row>
    <row r="56" ht="15.75" customHeight="1">
      <c r="G56" s="180"/>
      <c r="H56" s="180"/>
      <c r="K56" s="181"/>
      <c r="L56" s="181"/>
      <c r="M56" s="181"/>
      <c r="N56" s="182"/>
      <c r="O56" s="182"/>
      <c r="P56" s="181"/>
      <c r="Q56" s="181"/>
      <c r="R56" s="182"/>
      <c r="S56" s="182"/>
      <c r="T56" s="181"/>
      <c r="U56" s="181"/>
      <c r="V56" s="182"/>
      <c r="W56" s="182"/>
      <c r="X56" s="183"/>
      <c r="Y56" s="183"/>
      <c r="Z56" s="182"/>
      <c r="AA56" s="182"/>
      <c r="AB56" s="182"/>
      <c r="AC56" s="182"/>
      <c r="AD56" s="182"/>
      <c r="AE56" s="182"/>
      <c r="AF56" s="182"/>
      <c r="AG56" s="182"/>
    </row>
    <row r="57" ht="15.75" customHeight="1">
      <c r="G57" s="180"/>
      <c r="H57" s="180"/>
      <c r="K57" s="181"/>
      <c r="L57" s="181"/>
      <c r="M57" s="181"/>
      <c r="N57" s="182"/>
      <c r="O57" s="182"/>
      <c r="P57" s="181"/>
      <c r="Q57" s="181"/>
      <c r="R57" s="182"/>
      <c r="S57" s="182"/>
      <c r="T57" s="181"/>
      <c r="U57" s="181"/>
      <c r="V57" s="182"/>
      <c r="W57" s="182"/>
      <c r="X57" s="183"/>
      <c r="Y57" s="183"/>
      <c r="Z57" s="182"/>
      <c r="AA57" s="182"/>
      <c r="AB57" s="182"/>
      <c r="AC57" s="182"/>
      <c r="AD57" s="182"/>
      <c r="AE57" s="182"/>
      <c r="AF57" s="182"/>
      <c r="AG57" s="182"/>
    </row>
    <row r="58" ht="15.75" customHeight="1">
      <c r="G58" s="180"/>
      <c r="H58" s="180"/>
      <c r="K58" s="181"/>
      <c r="L58" s="181"/>
      <c r="M58" s="181"/>
      <c r="N58" s="182"/>
      <c r="O58" s="182"/>
      <c r="P58" s="181"/>
      <c r="Q58" s="181"/>
      <c r="R58" s="182"/>
      <c r="S58" s="182"/>
      <c r="T58" s="181"/>
      <c r="U58" s="181"/>
      <c r="V58" s="182"/>
      <c r="W58" s="182"/>
      <c r="X58" s="183"/>
      <c r="Y58" s="183"/>
      <c r="Z58" s="182"/>
      <c r="AA58" s="182"/>
      <c r="AB58" s="182"/>
      <c r="AC58" s="182"/>
      <c r="AD58" s="182"/>
      <c r="AE58" s="182"/>
      <c r="AF58" s="182"/>
      <c r="AG58" s="182"/>
    </row>
    <row r="59" ht="15.75" customHeight="1">
      <c r="G59" s="180"/>
      <c r="H59" s="180"/>
      <c r="K59" s="181"/>
      <c r="L59" s="181"/>
      <c r="M59" s="181"/>
      <c r="N59" s="182"/>
      <c r="O59" s="182"/>
      <c r="P59" s="181"/>
      <c r="Q59" s="181"/>
      <c r="R59" s="182"/>
      <c r="S59" s="182"/>
      <c r="T59" s="181"/>
      <c r="U59" s="181"/>
      <c r="V59" s="182"/>
      <c r="W59" s="182"/>
      <c r="X59" s="183"/>
      <c r="Y59" s="183"/>
      <c r="Z59" s="182"/>
      <c r="AA59" s="182"/>
      <c r="AB59" s="182"/>
      <c r="AC59" s="182"/>
      <c r="AD59" s="182"/>
      <c r="AE59" s="182"/>
      <c r="AF59" s="182"/>
      <c r="AG59" s="182"/>
    </row>
    <row r="60" ht="15.75" customHeight="1">
      <c r="G60" s="180"/>
      <c r="H60" s="180"/>
      <c r="K60" s="181"/>
      <c r="L60" s="181"/>
      <c r="M60" s="181"/>
      <c r="N60" s="182"/>
      <c r="O60" s="182"/>
      <c r="P60" s="181"/>
      <c r="Q60" s="181"/>
      <c r="R60" s="182"/>
      <c r="S60" s="182"/>
      <c r="T60" s="181"/>
      <c r="U60" s="181"/>
      <c r="V60" s="182"/>
      <c r="W60" s="182"/>
      <c r="X60" s="183"/>
      <c r="Y60" s="183"/>
      <c r="Z60" s="182"/>
      <c r="AA60" s="182"/>
      <c r="AB60" s="182"/>
      <c r="AC60" s="182"/>
      <c r="AD60" s="182"/>
      <c r="AE60" s="182"/>
      <c r="AF60" s="182"/>
      <c r="AG60" s="182"/>
    </row>
    <row r="61" ht="15.75" customHeight="1">
      <c r="G61" s="180"/>
      <c r="H61" s="180"/>
      <c r="K61" s="181"/>
      <c r="L61" s="181"/>
      <c r="M61" s="181"/>
      <c r="N61" s="182"/>
      <c r="O61" s="182"/>
      <c r="P61" s="181"/>
      <c r="Q61" s="181"/>
      <c r="R61" s="182"/>
      <c r="S61" s="182"/>
      <c r="T61" s="181"/>
      <c r="U61" s="181"/>
      <c r="V61" s="182"/>
      <c r="W61" s="182"/>
      <c r="X61" s="183"/>
      <c r="Y61" s="183"/>
      <c r="Z61" s="182"/>
      <c r="AA61" s="182"/>
      <c r="AB61" s="182"/>
      <c r="AC61" s="182"/>
      <c r="AD61" s="182"/>
      <c r="AE61" s="182"/>
      <c r="AF61" s="182"/>
      <c r="AG61" s="182"/>
    </row>
    <row r="62" ht="15.75" customHeight="1">
      <c r="G62" s="180"/>
      <c r="H62" s="180"/>
      <c r="K62" s="181"/>
      <c r="L62" s="181"/>
      <c r="M62" s="181"/>
      <c r="N62" s="182"/>
      <c r="O62" s="182"/>
      <c r="P62" s="181"/>
      <c r="Q62" s="181"/>
      <c r="R62" s="182"/>
      <c r="S62" s="182"/>
      <c r="T62" s="181"/>
      <c r="U62" s="181"/>
      <c r="V62" s="182"/>
      <c r="W62" s="182"/>
      <c r="X62" s="183"/>
      <c r="Y62" s="183"/>
      <c r="Z62" s="182"/>
      <c r="AA62" s="182"/>
      <c r="AB62" s="182"/>
      <c r="AC62" s="182"/>
      <c r="AD62" s="182"/>
      <c r="AE62" s="182"/>
      <c r="AF62" s="182"/>
      <c r="AG62" s="182"/>
    </row>
    <row r="63" ht="15.75" customHeight="1">
      <c r="G63" s="180"/>
      <c r="H63" s="180"/>
      <c r="K63" s="181"/>
      <c r="L63" s="181"/>
      <c r="M63" s="181"/>
      <c r="N63" s="182"/>
      <c r="O63" s="182"/>
      <c r="P63" s="181"/>
      <c r="Q63" s="181"/>
      <c r="R63" s="182"/>
      <c r="S63" s="182"/>
      <c r="T63" s="181"/>
      <c r="U63" s="181"/>
      <c r="V63" s="182"/>
      <c r="W63" s="182"/>
      <c r="X63" s="183"/>
      <c r="Y63" s="183"/>
      <c r="Z63" s="182"/>
      <c r="AA63" s="182"/>
      <c r="AB63" s="182"/>
      <c r="AC63" s="182"/>
      <c r="AD63" s="182"/>
      <c r="AE63" s="182"/>
      <c r="AF63" s="182"/>
      <c r="AG63" s="182"/>
    </row>
    <row r="64" ht="15.75" customHeight="1">
      <c r="G64" s="180"/>
      <c r="H64" s="180"/>
      <c r="K64" s="181"/>
      <c r="L64" s="181"/>
      <c r="M64" s="181"/>
      <c r="N64" s="182"/>
      <c r="O64" s="182"/>
      <c r="P64" s="181"/>
      <c r="Q64" s="181"/>
      <c r="R64" s="182"/>
      <c r="S64" s="182"/>
      <c r="T64" s="181"/>
      <c r="U64" s="181"/>
      <c r="V64" s="182"/>
      <c r="W64" s="182"/>
      <c r="X64" s="183"/>
      <c r="Y64" s="183"/>
      <c r="Z64" s="182"/>
      <c r="AA64" s="182"/>
      <c r="AB64" s="182"/>
      <c r="AC64" s="182"/>
      <c r="AD64" s="182"/>
      <c r="AE64" s="182"/>
      <c r="AF64" s="182"/>
      <c r="AG64" s="182"/>
    </row>
    <row r="65" ht="15.75" customHeight="1">
      <c r="G65" s="180"/>
      <c r="H65" s="180"/>
      <c r="K65" s="181"/>
      <c r="L65" s="181"/>
      <c r="M65" s="181"/>
      <c r="N65" s="182"/>
      <c r="O65" s="182"/>
      <c r="P65" s="181"/>
      <c r="Q65" s="181"/>
      <c r="R65" s="182"/>
      <c r="S65" s="182"/>
      <c r="T65" s="181"/>
      <c r="U65" s="181"/>
      <c r="V65" s="182"/>
      <c r="W65" s="182"/>
      <c r="X65" s="183"/>
      <c r="Y65" s="183"/>
      <c r="Z65" s="182"/>
      <c r="AA65" s="182"/>
      <c r="AB65" s="182"/>
      <c r="AC65" s="182"/>
      <c r="AD65" s="182"/>
      <c r="AE65" s="182"/>
      <c r="AF65" s="182"/>
      <c r="AG65" s="182"/>
    </row>
    <row r="66" ht="15.75" customHeight="1">
      <c r="G66" s="180"/>
      <c r="H66" s="180"/>
      <c r="K66" s="181"/>
      <c r="L66" s="181"/>
      <c r="M66" s="181"/>
      <c r="N66" s="182"/>
      <c r="O66" s="182"/>
      <c r="P66" s="181"/>
      <c r="Q66" s="181"/>
      <c r="R66" s="182"/>
      <c r="S66" s="182"/>
      <c r="T66" s="181"/>
      <c r="U66" s="181"/>
      <c r="V66" s="182"/>
      <c r="W66" s="182"/>
      <c r="X66" s="183"/>
      <c r="Y66" s="183"/>
      <c r="Z66" s="182"/>
      <c r="AA66" s="182"/>
      <c r="AB66" s="182"/>
      <c r="AC66" s="182"/>
      <c r="AD66" s="182"/>
      <c r="AE66" s="182"/>
      <c r="AF66" s="182"/>
      <c r="AG66" s="182"/>
    </row>
    <row r="67" ht="15.75" customHeight="1">
      <c r="G67" s="180"/>
      <c r="H67" s="180"/>
      <c r="K67" s="181"/>
      <c r="L67" s="181"/>
      <c r="M67" s="181"/>
      <c r="N67" s="182"/>
      <c r="O67" s="182"/>
      <c r="P67" s="181"/>
      <c r="Q67" s="181"/>
      <c r="R67" s="182"/>
      <c r="S67" s="182"/>
      <c r="T67" s="181"/>
      <c r="U67" s="181"/>
      <c r="V67" s="182"/>
      <c r="W67" s="182"/>
      <c r="X67" s="183"/>
      <c r="Y67" s="183"/>
      <c r="Z67" s="182"/>
      <c r="AA67" s="182"/>
      <c r="AB67" s="182"/>
      <c r="AC67" s="182"/>
      <c r="AD67" s="182"/>
      <c r="AE67" s="182"/>
      <c r="AF67" s="182"/>
      <c r="AG67" s="182"/>
    </row>
    <row r="68" ht="15.75" customHeight="1">
      <c r="G68" s="180"/>
      <c r="H68" s="180"/>
      <c r="K68" s="181"/>
      <c r="L68" s="181"/>
      <c r="M68" s="181"/>
      <c r="N68" s="182"/>
      <c r="O68" s="182"/>
      <c r="P68" s="181"/>
      <c r="Q68" s="181"/>
      <c r="R68" s="182"/>
      <c r="S68" s="182"/>
      <c r="T68" s="181"/>
      <c r="U68" s="181"/>
      <c r="V68" s="182"/>
      <c r="W68" s="182"/>
      <c r="X68" s="183"/>
      <c r="Y68" s="183"/>
      <c r="Z68" s="182"/>
      <c r="AA68" s="182"/>
      <c r="AB68" s="182"/>
      <c r="AC68" s="182"/>
      <c r="AD68" s="182"/>
      <c r="AE68" s="182"/>
      <c r="AF68" s="182"/>
      <c r="AG68" s="182"/>
    </row>
    <row r="69" ht="15.75" customHeight="1">
      <c r="G69" s="180"/>
      <c r="H69" s="180"/>
      <c r="K69" s="181"/>
      <c r="L69" s="181"/>
      <c r="M69" s="181"/>
      <c r="N69" s="182"/>
      <c r="O69" s="182"/>
      <c r="P69" s="181"/>
      <c r="Q69" s="181"/>
      <c r="R69" s="182"/>
      <c r="S69" s="182"/>
      <c r="T69" s="181"/>
      <c r="U69" s="181"/>
      <c r="V69" s="182"/>
      <c r="W69" s="182"/>
      <c r="X69" s="183"/>
      <c r="Y69" s="183"/>
      <c r="Z69" s="182"/>
      <c r="AA69" s="182"/>
      <c r="AB69" s="182"/>
      <c r="AC69" s="182"/>
      <c r="AD69" s="182"/>
      <c r="AE69" s="182"/>
      <c r="AF69" s="182"/>
      <c r="AG69" s="182"/>
    </row>
    <row r="70" ht="15.75" customHeight="1">
      <c r="G70" s="180"/>
      <c r="H70" s="180"/>
      <c r="K70" s="181"/>
      <c r="L70" s="181"/>
      <c r="M70" s="181"/>
      <c r="N70" s="182"/>
      <c r="O70" s="182"/>
      <c r="P70" s="181"/>
      <c r="Q70" s="181"/>
      <c r="R70" s="182"/>
      <c r="S70" s="182"/>
      <c r="T70" s="181"/>
      <c r="U70" s="181"/>
      <c r="V70" s="182"/>
      <c r="W70" s="182"/>
      <c r="X70" s="183"/>
      <c r="Y70" s="183"/>
      <c r="Z70" s="182"/>
      <c r="AA70" s="182"/>
      <c r="AB70" s="182"/>
      <c r="AC70" s="182"/>
      <c r="AD70" s="182"/>
      <c r="AE70" s="182"/>
      <c r="AF70" s="182"/>
      <c r="AG70" s="182"/>
    </row>
    <row r="71" ht="15.75" customHeight="1">
      <c r="G71" s="180"/>
      <c r="H71" s="180"/>
      <c r="K71" s="181"/>
      <c r="L71" s="181"/>
      <c r="M71" s="181"/>
      <c r="N71" s="182"/>
      <c r="O71" s="182"/>
      <c r="P71" s="181"/>
      <c r="Q71" s="181"/>
      <c r="R71" s="182"/>
      <c r="S71" s="182"/>
      <c r="T71" s="181"/>
      <c r="U71" s="181"/>
      <c r="V71" s="182"/>
      <c r="W71" s="182"/>
      <c r="X71" s="183"/>
      <c r="Y71" s="183"/>
      <c r="Z71" s="182"/>
      <c r="AA71" s="182"/>
      <c r="AB71" s="182"/>
      <c r="AC71" s="182"/>
      <c r="AD71" s="182"/>
      <c r="AE71" s="182"/>
      <c r="AF71" s="182"/>
      <c r="AG71" s="182"/>
    </row>
    <row r="72" ht="15.75" customHeight="1">
      <c r="G72" s="180"/>
      <c r="H72" s="180"/>
      <c r="K72" s="181"/>
      <c r="L72" s="181"/>
      <c r="M72" s="181"/>
      <c r="N72" s="182"/>
      <c r="O72" s="182"/>
      <c r="P72" s="181"/>
      <c r="Q72" s="181"/>
      <c r="R72" s="182"/>
      <c r="S72" s="182"/>
      <c r="T72" s="181"/>
      <c r="U72" s="181"/>
      <c r="V72" s="182"/>
      <c r="W72" s="182"/>
      <c r="X72" s="183"/>
      <c r="Y72" s="183"/>
      <c r="Z72" s="182"/>
      <c r="AA72" s="182"/>
      <c r="AB72" s="182"/>
      <c r="AC72" s="182"/>
      <c r="AD72" s="182"/>
      <c r="AE72" s="182"/>
      <c r="AF72" s="182"/>
      <c r="AG72" s="182"/>
    </row>
    <row r="73" ht="15.75" customHeight="1">
      <c r="G73" s="180"/>
      <c r="H73" s="180"/>
      <c r="K73" s="181"/>
      <c r="L73" s="181"/>
      <c r="M73" s="181"/>
      <c r="N73" s="182"/>
      <c r="O73" s="182"/>
      <c r="P73" s="181"/>
      <c r="Q73" s="181"/>
      <c r="R73" s="182"/>
      <c r="S73" s="182"/>
      <c r="T73" s="181"/>
      <c r="U73" s="181"/>
      <c r="V73" s="182"/>
      <c r="W73" s="182"/>
      <c r="X73" s="183"/>
      <c r="Y73" s="183"/>
      <c r="Z73" s="182"/>
      <c r="AA73" s="182"/>
      <c r="AB73" s="182"/>
      <c r="AC73" s="182"/>
      <c r="AD73" s="182"/>
      <c r="AE73" s="182"/>
      <c r="AF73" s="182"/>
      <c r="AG73" s="182"/>
    </row>
    <row r="74" ht="15.75" customHeight="1">
      <c r="G74" s="180"/>
      <c r="H74" s="180"/>
      <c r="K74" s="181"/>
      <c r="L74" s="181"/>
      <c r="M74" s="181"/>
      <c r="N74" s="182"/>
      <c r="O74" s="182"/>
      <c r="P74" s="181"/>
      <c r="Q74" s="181"/>
      <c r="R74" s="182"/>
      <c r="S74" s="182"/>
      <c r="T74" s="181"/>
      <c r="U74" s="181"/>
      <c r="V74" s="182"/>
      <c r="W74" s="182"/>
      <c r="X74" s="183"/>
      <c r="Y74" s="183"/>
      <c r="Z74" s="182"/>
      <c r="AA74" s="182"/>
      <c r="AB74" s="182"/>
      <c r="AC74" s="182"/>
      <c r="AD74" s="182"/>
      <c r="AE74" s="182"/>
      <c r="AF74" s="182"/>
      <c r="AG74" s="182"/>
    </row>
    <row r="75" ht="15.75" customHeight="1">
      <c r="G75" s="180"/>
      <c r="H75" s="180"/>
      <c r="K75" s="181"/>
      <c r="L75" s="181"/>
      <c r="M75" s="181"/>
      <c r="N75" s="182"/>
      <c r="O75" s="182"/>
      <c r="P75" s="181"/>
      <c r="Q75" s="181"/>
      <c r="R75" s="182"/>
      <c r="S75" s="182"/>
      <c r="T75" s="181"/>
      <c r="U75" s="181"/>
      <c r="V75" s="182"/>
      <c r="W75" s="182"/>
      <c r="X75" s="183"/>
      <c r="Y75" s="183"/>
      <c r="Z75" s="182"/>
      <c r="AA75" s="182"/>
      <c r="AB75" s="182"/>
      <c r="AC75" s="182"/>
      <c r="AD75" s="182"/>
      <c r="AE75" s="182"/>
      <c r="AF75" s="182"/>
      <c r="AG75" s="182"/>
    </row>
    <row r="76" ht="15.75" customHeight="1">
      <c r="G76" s="180"/>
      <c r="H76" s="180"/>
      <c r="K76" s="181"/>
      <c r="L76" s="181"/>
      <c r="M76" s="181"/>
      <c r="N76" s="182"/>
      <c r="O76" s="182"/>
      <c r="P76" s="181"/>
      <c r="Q76" s="181"/>
      <c r="R76" s="182"/>
      <c r="S76" s="182"/>
      <c r="T76" s="181"/>
      <c r="U76" s="181"/>
      <c r="V76" s="182"/>
      <c r="W76" s="182"/>
      <c r="X76" s="183"/>
      <c r="Y76" s="183"/>
      <c r="Z76" s="182"/>
      <c r="AA76" s="182"/>
      <c r="AB76" s="182"/>
      <c r="AC76" s="182"/>
      <c r="AD76" s="182"/>
      <c r="AE76" s="182"/>
      <c r="AF76" s="182"/>
      <c r="AG76" s="182"/>
    </row>
    <row r="77" ht="15.75" customHeight="1">
      <c r="G77" s="180"/>
      <c r="H77" s="180"/>
      <c r="K77" s="181"/>
      <c r="L77" s="181"/>
      <c r="M77" s="181"/>
      <c r="N77" s="182"/>
      <c r="O77" s="182"/>
      <c r="P77" s="181"/>
      <c r="Q77" s="181"/>
      <c r="R77" s="182"/>
      <c r="S77" s="182"/>
      <c r="T77" s="181"/>
      <c r="U77" s="181"/>
      <c r="V77" s="182"/>
      <c r="W77" s="182"/>
      <c r="X77" s="183"/>
      <c r="Y77" s="183"/>
      <c r="Z77" s="182"/>
      <c r="AA77" s="182"/>
      <c r="AB77" s="182"/>
      <c r="AC77" s="182"/>
      <c r="AD77" s="182"/>
      <c r="AE77" s="182"/>
      <c r="AF77" s="182"/>
      <c r="AG77" s="182"/>
    </row>
    <row r="78" ht="15.75" customHeight="1">
      <c r="G78" s="180"/>
      <c r="H78" s="180"/>
      <c r="K78" s="181"/>
      <c r="L78" s="181"/>
      <c r="M78" s="181"/>
      <c r="N78" s="182"/>
      <c r="O78" s="182"/>
      <c r="P78" s="181"/>
      <c r="Q78" s="181"/>
      <c r="R78" s="182"/>
      <c r="S78" s="182"/>
      <c r="T78" s="181"/>
      <c r="U78" s="181"/>
      <c r="V78" s="182"/>
      <c r="W78" s="182"/>
      <c r="X78" s="183"/>
      <c r="Y78" s="183"/>
      <c r="Z78" s="182"/>
      <c r="AA78" s="182"/>
      <c r="AB78" s="182"/>
      <c r="AC78" s="182"/>
      <c r="AD78" s="182"/>
      <c r="AE78" s="182"/>
      <c r="AF78" s="182"/>
      <c r="AG78" s="182"/>
    </row>
    <row r="79" ht="15.75" customHeight="1">
      <c r="G79" s="180"/>
      <c r="H79" s="180"/>
      <c r="K79" s="181"/>
      <c r="L79" s="181"/>
      <c r="M79" s="181"/>
      <c r="N79" s="182"/>
      <c r="O79" s="182"/>
      <c r="P79" s="181"/>
      <c r="Q79" s="181"/>
      <c r="R79" s="182"/>
      <c r="S79" s="182"/>
      <c r="T79" s="181"/>
      <c r="U79" s="181"/>
      <c r="V79" s="182"/>
      <c r="W79" s="182"/>
      <c r="X79" s="183"/>
      <c r="Y79" s="183"/>
      <c r="Z79" s="182"/>
      <c r="AA79" s="182"/>
      <c r="AB79" s="182"/>
      <c r="AC79" s="182"/>
      <c r="AD79" s="182"/>
      <c r="AE79" s="182"/>
      <c r="AF79" s="182"/>
      <c r="AG79" s="182"/>
    </row>
    <row r="80" ht="15.75" customHeight="1">
      <c r="G80" s="180"/>
      <c r="H80" s="180"/>
      <c r="K80" s="181"/>
      <c r="L80" s="181"/>
      <c r="M80" s="181"/>
      <c r="N80" s="182"/>
      <c r="O80" s="182"/>
      <c r="P80" s="181"/>
      <c r="Q80" s="181"/>
      <c r="R80" s="182"/>
      <c r="S80" s="182"/>
      <c r="T80" s="181"/>
      <c r="U80" s="181"/>
      <c r="V80" s="182"/>
      <c r="W80" s="182"/>
      <c r="X80" s="183"/>
      <c r="Y80" s="183"/>
      <c r="Z80" s="182"/>
      <c r="AA80" s="182"/>
      <c r="AB80" s="182"/>
      <c r="AC80" s="182"/>
      <c r="AD80" s="182"/>
      <c r="AE80" s="182"/>
      <c r="AF80" s="182"/>
      <c r="AG80" s="182"/>
    </row>
    <row r="81" ht="15.75" customHeight="1">
      <c r="G81" s="180"/>
      <c r="H81" s="180"/>
      <c r="K81" s="181"/>
      <c r="L81" s="181"/>
      <c r="M81" s="181"/>
      <c r="N81" s="182"/>
      <c r="O81" s="182"/>
      <c r="P81" s="181"/>
      <c r="Q81" s="181"/>
      <c r="R81" s="182"/>
      <c r="S81" s="182"/>
      <c r="T81" s="181"/>
      <c r="U81" s="181"/>
      <c r="V81" s="182"/>
      <c r="W81" s="182"/>
      <c r="X81" s="183"/>
      <c r="Y81" s="183"/>
      <c r="Z81" s="182"/>
      <c r="AA81" s="182"/>
      <c r="AB81" s="182"/>
      <c r="AC81" s="182"/>
      <c r="AD81" s="182"/>
      <c r="AE81" s="182"/>
      <c r="AF81" s="182"/>
      <c r="AG81" s="182"/>
    </row>
    <row r="82" ht="15.75" customHeight="1">
      <c r="G82" s="180"/>
      <c r="H82" s="180"/>
      <c r="K82" s="181"/>
      <c r="L82" s="181"/>
      <c r="M82" s="181"/>
      <c r="N82" s="182"/>
      <c r="O82" s="182"/>
      <c r="P82" s="181"/>
      <c r="Q82" s="181"/>
      <c r="R82" s="182"/>
      <c r="S82" s="182"/>
      <c r="T82" s="181"/>
      <c r="U82" s="181"/>
      <c r="V82" s="182"/>
      <c r="W82" s="182"/>
      <c r="X82" s="183"/>
      <c r="Y82" s="183"/>
      <c r="Z82" s="182"/>
      <c r="AA82" s="182"/>
      <c r="AB82" s="182"/>
      <c r="AC82" s="182"/>
      <c r="AD82" s="182"/>
      <c r="AE82" s="182"/>
      <c r="AF82" s="182"/>
      <c r="AG82" s="182"/>
    </row>
    <row r="83" ht="15.75" customHeight="1">
      <c r="G83" s="180"/>
      <c r="H83" s="180"/>
      <c r="K83" s="181"/>
      <c r="L83" s="181"/>
      <c r="M83" s="181"/>
      <c r="N83" s="182"/>
      <c r="O83" s="182"/>
      <c r="P83" s="181"/>
      <c r="Q83" s="181"/>
      <c r="R83" s="182"/>
      <c r="S83" s="182"/>
      <c r="T83" s="181"/>
      <c r="U83" s="181"/>
      <c r="V83" s="182"/>
      <c r="W83" s="182"/>
      <c r="X83" s="183"/>
      <c r="Y83" s="183"/>
      <c r="Z83" s="182"/>
      <c r="AA83" s="182"/>
      <c r="AB83" s="182"/>
      <c r="AC83" s="182"/>
      <c r="AD83" s="182"/>
      <c r="AE83" s="182"/>
      <c r="AF83" s="182"/>
      <c r="AG83" s="182"/>
    </row>
    <row r="84" ht="15.75" customHeight="1">
      <c r="G84" s="180"/>
      <c r="H84" s="180"/>
      <c r="K84" s="181"/>
      <c r="L84" s="181"/>
      <c r="M84" s="181"/>
      <c r="N84" s="182"/>
      <c r="O84" s="182"/>
      <c r="P84" s="181"/>
      <c r="Q84" s="181"/>
      <c r="R84" s="182"/>
      <c r="S84" s="182"/>
      <c r="T84" s="181"/>
      <c r="U84" s="181"/>
      <c r="V84" s="182"/>
      <c r="W84" s="182"/>
      <c r="X84" s="183"/>
      <c r="Y84" s="183"/>
      <c r="Z84" s="182"/>
      <c r="AA84" s="182"/>
      <c r="AB84" s="182"/>
      <c r="AC84" s="182"/>
      <c r="AD84" s="182"/>
      <c r="AE84" s="182"/>
      <c r="AF84" s="182"/>
      <c r="AG84" s="182"/>
    </row>
    <row r="85" ht="15.75" customHeight="1">
      <c r="G85" s="180"/>
      <c r="H85" s="180"/>
      <c r="K85" s="181"/>
      <c r="L85" s="181"/>
      <c r="M85" s="181"/>
      <c r="N85" s="182"/>
      <c r="O85" s="182"/>
      <c r="P85" s="181"/>
      <c r="Q85" s="181"/>
      <c r="R85" s="182"/>
      <c r="S85" s="182"/>
      <c r="T85" s="181"/>
      <c r="U85" s="181"/>
      <c r="V85" s="182"/>
      <c r="W85" s="182"/>
      <c r="X85" s="183"/>
      <c r="Y85" s="183"/>
      <c r="Z85" s="182"/>
      <c r="AA85" s="182"/>
      <c r="AB85" s="182"/>
      <c r="AC85" s="182"/>
      <c r="AD85" s="182"/>
      <c r="AE85" s="182"/>
      <c r="AF85" s="182"/>
      <c r="AG85" s="182"/>
    </row>
    <row r="86" ht="15.75" customHeight="1">
      <c r="G86" s="180"/>
      <c r="H86" s="180"/>
      <c r="K86" s="181"/>
      <c r="L86" s="181"/>
      <c r="M86" s="181"/>
      <c r="N86" s="182"/>
      <c r="O86" s="182"/>
      <c r="P86" s="181"/>
      <c r="Q86" s="181"/>
      <c r="R86" s="182"/>
      <c r="S86" s="182"/>
      <c r="T86" s="181"/>
      <c r="U86" s="181"/>
      <c r="V86" s="182"/>
      <c r="W86" s="182"/>
      <c r="X86" s="183"/>
      <c r="Y86" s="183"/>
      <c r="Z86" s="182"/>
      <c r="AA86" s="182"/>
      <c r="AB86" s="182"/>
      <c r="AC86" s="182"/>
      <c r="AD86" s="182"/>
      <c r="AE86" s="182"/>
      <c r="AF86" s="182"/>
      <c r="AG86" s="182"/>
    </row>
    <row r="87" ht="15.75" customHeight="1">
      <c r="G87" s="180"/>
      <c r="H87" s="180"/>
      <c r="K87" s="181"/>
      <c r="L87" s="181"/>
      <c r="M87" s="181"/>
      <c r="N87" s="182"/>
      <c r="O87" s="182"/>
      <c r="P87" s="181"/>
      <c r="Q87" s="181"/>
      <c r="R87" s="182"/>
      <c r="S87" s="182"/>
      <c r="T87" s="181"/>
      <c r="U87" s="181"/>
      <c r="V87" s="182"/>
      <c r="W87" s="182"/>
      <c r="X87" s="183"/>
      <c r="Y87" s="183"/>
      <c r="Z87" s="182"/>
      <c r="AA87" s="182"/>
      <c r="AB87" s="182"/>
      <c r="AC87" s="182"/>
      <c r="AD87" s="182"/>
      <c r="AE87" s="182"/>
      <c r="AF87" s="182"/>
      <c r="AG87" s="182"/>
    </row>
    <row r="88" ht="15.75" customHeight="1">
      <c r="G88" s="180"/>
      <c r="H88" s="180"/>
      <c r="K88" s="181"/>
      <c r="L88" s="181"/>
      <c r="M88" s="181"/>
      <c r="N88" s="182"/>
      <c r="O88" s="182"/>
      <c r="P88" s="181"/>
      <c r="Q88" s="181"/>
      <c r="R88" s="182"/>
      <c r="S88" s="182"/>
      <c r="T88" s="181"/>
      <c r="U88" s="181"/>
      <c r="V88" s="182"/>
      <c r="W88" s="182"/>
      <c r="X88" s="183"/>
      <c r="Y88" s="183"/>
      <c r="Z88" s="182"/>
      <c r="AA88" s="182"/>
      <c r="AB88" s="182"/>
      <c r="AC88" s="182"/>
      <c r="AD88" s="182"/>
      <c r="AE88" s="182"/>
      <c r="AF88" s="182"/>
      <c r="AG88" s="182"/>
    </row>
    <row r="89" ht="15.75" customHeight="1">
      <c r="G89" s="180"/>
      <c r="H89" s="180"/>
      <c r="K89" s="181"/>
      <c r="L89" s="181"/>
      <c r="M89" s="181"/>
      <c r="N89" s="182"/>
      <c r="O89" s="182"/>
      <c r="P89" s="181"/>
      <c r="Q89" s="181"/>
      <c r="R89" s="182"/>
      <c r="S89" s="182"/>
      <c r="T89" s="181"/>
      <c r="U89" s="181"/>
      <c r="V89" s="182"/>
      <c r="W89" s="182"/>
      <c r="X89" s="183"/>
      <c r="Y89" s="183"/>
      <c r="Z89" s="182"/>
      <c r="AA89" s="182"/>
      <c r="AB89" s="182"/>
      <c r="AC89" s="182"/>
      <c r="AD89" s="182"/>
      <c r="AE89" s="182"/>
      <c r="AF89" s="182"/>
      <c r="AG89" s="182"/>
    </row>
    <row r="90" ht="15.75" customHeight="1">
      <c r="G90" s="180"/>
      <c r="H90" s="180"/>
      <c r="K90" s="181"/>
      <c r="L90" s="181"/>
      <c r="M90" s="181"/>
      <c r="N90" s="182"/>
      <c r="O90" s="182"/>
      <c r="P90" s="181"/>
      <c r="Q90" s="181"/>
      <c r="R90" s="182"/>
      <c r="S90" s="182"/>
      <c r="T90" s="181"/>
      <c r="U90" s="181"/>
      <c r="V90" s="182"/>
      <c r="W90" s="182"/>
      <c r="X90" s="183"/>
      <c r="Y90" s="183"/>
      <c r="Z90" s="182"/>
      <c r="AA90" s="182"/>
      <c r="AB90" s="182"/>
      <c r="AC90" s="182"/>
      <c r="AD90" s="182"/>
      <c r="AE90" s="182"/>
      <c r="AF90" s="182"/>
      <c r="AG90" s="182"/>
    </row>
    <row r="91" ht="15.75" customHeight="1">
      <c r="G91" s="180"/>
      <c r="H91" s="180"/>
      <c r="K91" s="181"/>
      <c r="L91" s="181"/>
      <c r="M91" s="181"/>
      <c r="N91" s="182"/>
      <c r="O91" s="182"/>
      <c r="P91" s="181"/>
      <c r="Q91" s="181"/>
      <c r="R91" s="182"/>
      <c r="S91" s="182"/>
      <c r="T91" s="181"/>
      <c r="U91" s="181"/>
      <c r="V91" s="182"/>
      <c r="W91" s="182"/>
      <c r="X91" s="183"/>
      <c r="Y91" s="183"/>
      <c r="Z91" s="182"/>
      <c r="AA91" s="182"/>
      <c r="AB91" s="182"/>
      <c r="AC91" s="182"/>
      <c r="AD91" s="182"/>
      <c r="AE91" s="182"/>
      <c r="AF91" s="182"/>
      <c r="AG91" s="182"/>
    </row>
    <row r="92" ht="15.75" customHeight="1">
      <c r="G92" s="180"/>
      <c r="H92" s="180"/>
      <c r="K92" s="181"/>
      <c r="L92" s="181"/>
      <c r="M92" s="181"/>
      <c r="N92" s="182"/>
      <c r="O92" s="182"/>
      <c r="P92" s="181"/>
      <c r="Q92" s="181"/>
      <c r="R92" s="182"/>
      <c r="S92" s="182"/>
      <c r="T92" s="181"/>
      <c r="U92" s="181"/>
      <c r="V92" s="182"/>
      <c r="W92" s="182"/>
      <c r="X92" s="183"/>
      <c r="Y92" s="183"/>
      <c r="Z92" s="182"/>
      <c r="AA92" s="182"/>
      <c r="AB92" s="182"/>
      <c r="AC92" s="182"/>
      <c r="AD92" s="182"/>
      <c r="AE92" s="182"/>
      <c r="AF92" s="182"/>
      <c r="AG92" s="182"/>
    </row>
    <row r="93" ht="15.75" customHeight="1">
      <c r="G93" s="180"/>
      <c r="H93" s="180"/>
      <c r="K93" s="181"/>
      <c r="L93" s="181"/>
      <c r="M93" s="181"/>
      <c r="N93" s="182"/>
      <c r="O93" s="182"/>
      <c r="P93" s="181"/>
      <c r="Q93" s="181"/>
      <c r="R93" s="182"/>
      <c r="S93" s="182"/>
      <c r="T93" s="181"/>
      <c r="U93" s="181"/>
      <c r="V93" s="182"/>
      <c r="W93" s="182"/>
      <c r="X93" s="183"/>
      <c r="Y93" s="183"/>
      <c r="Z93" s="182"/>
      <c r="AA93" s="182"/>
      <c r="AB93" s="182"/>
      <c r="AC93" s="182"/>
      <c r="AD93" s="182"/>
      <c r="AE93" s="182"/>
      <c r="AF93" s="182"/>
      <c r="AG93" s="182"/>
    </row>
    <row r="94" ht="15.75" customHeight="1">
      <c r="G94" s="180"/>
      <c r="H94" s="180"/>
      <c r="K94" s="181"/>
      <c r="L94" s="181"/>
      <c r="M94" s="181"/>
      <c r="N94" s="182"/>
      <c r="O94" s="182"/>
      <c r="P94" s="181"/>
      <c r="Q94" s="181"/>
      <c r="R94" s="182"/>
      <c r="S94" s="182"/>
      <c r="T94" s="181"/>
      <c r="U94" s="181"/>
      <c r="V94" s="182"/>
      <c r="W94" s="182"/>
      <c r="X94" s="183"/>
      <c r="Y94" s="183"/>
      <c r="Z94" s="182"/>
      <c r="AA94" s="182"/>
      <c r="AB94" s="182"/>
      <c r="AC94" s="182"/>
      <c r="AD94" s="182"/>
      <c r="AE94" s="182"/>
      <c r="AF94" s="182"/>
      <c r="AG94" s="182"/>
    </row>
    <row r="95" ht="15.75" customHeight="1">
      <c r="G95" s="180"/>
      <c r="H95" s="180"/>
      <c r="K95" s="181"/>
      <c r="L95" s="181"/>
      <c r="M95" s="181"/>
      <c r="N95" s="182"/>
      <c r="O95" s="182"/>
      <c r="P95" s="181"/>
      <c r="Q95" s="181"/>
      <c r="R95" s="182"/>
      <c r="S95" s="182"/>
      <c r="T95" s="181"/>
      <c r="U95" s="181"/>
      <c r="V95" s="182"/>
      <c r="W95" s="182"/>
      <c r="X95" s="183"/>
      <c r="Y95" s="183"/>
      <c r="Z95" s="182"/>
      <c r="AA95" s="182"/>
      <c r="AB95" s="182"/>
      <c r="AC95" s="182"/>
      <c r="AD95" s="182"/>
      <c r="AE95" s="182"/>
      <c r="AF95" s="182"/>
      <c r="AG95" s="182"/>
    </row>
    <row r="96" ht="15.75" customHeight="1">
      <c r="G96" s="180"/>
      <c r="H96" s="180"/>
      <c r="K96" s="181"/>
      <c r="L96" s="181"/>
      <c r="M96" s="181"/>
      <c r="N96" s="182"/>
      <c r="O96" s="182"/>
      <c r="P96" s="181"/>
      <c r="Q96" s="181"/>
      <c r="R96" s="182"/>
      <c r="S96" s="182"/>
      <c r="T96" s="181"/>
      <c r="U96" s="181"/>
      <c r="V96" s="182"/>
      <c r="W96" s="182"/>
      <c r="X96" s="183"/>
      <c r="Y96" s="183"/>
      <c r="Z96" s="182"/>
      <c r="AA96" s="182"/>
      <c r="AB96" s="182"/>
      <c r="AC96" s="182"/>
      <c r="AD96" s="182"/>
      <c r="AE96" s="182"/>
      <c r="AF96" s="182"/>
      <c r="AG96" s="182"/>
    </row>
    <row r="97" ht="15.75" customHeight="1">
      <c r="G97" s="180"/>
      <c r="H97" s="180"/>
      <c r="K97" s="181"/>
      <c r="L97" s="181"/>
      <c r="M97" s="181"/>
      <c r="N97" s="182"/>
      <c r="O97" s="182"/>
      <c r="P97" s="181"/>
      <c r="Q97" s="181"/>
      <c r="R97" s="182"/>
      <c r="S97" s="182"/>
      <c r="T97" s="181"/>
      <c r="U97" s="181"/>
      <c r="V97" s="182"/>
      <c r="W97" s="182"/>
      <c r="X97" s="183"/>
      <c r="Y97" s="183"/>
      <c r="Z97" s="182"/>
      <c r="AA97" s="182"/>
      <c r="AB97" s="182"/>
      <c r="AC97" s="182"/>
      <c r="AD97" s="182"/>
      <c r="AE97" s="182"/>
      <c r="AF97" s="182"/>
      <c r="AG97" s="182"/>
    </row>
    <row r="98" ht="15.75" customHeight="1">
      <c r="G98" s="180"/>
      <c r="H98" s="180"/>
      <c r="K98" s="181"/>
      <c r="L98" s="181"/>
      <c r="M98" s="181"/>
      <c r="N98" s="182"/>
      <c r="O98" s="182"/>
      <c r="P98" s="181"/>
      <c r="Q98" s="181"/>
      <c r="R98" s="182"/>
      <c r="S98" s="182"/>
      <c r="T98" s="181"/>
      <c r="U98" s="181"/>
      <c r="V98" s="182"/>
      <c r="W98" s="182"/>
      <c r="X98" s="183"/>
      <c r="Y98" s="183"/>
      <c r="Z98" s="182"/>
      <c r="AA98" s="182"/>
      <c r="AB98" s="182"/>
      <c r="AC98" s="182"/>
      <c r="AD98" s="182"/>
      <c r="AE98" s="182"/>
      <c r="AF98" s="182"/>
      <c r="AG98" s="182"/>
    </row>
    <row r="99" ht="15.75" customHeight="1">
      <c r="G99" s="180"/>
      <c r="H99" s="180"/>
      <c r="K99" s="181"/>
      <c r="L99" s="181"/>
      <c r="M99" s="181"/>
      <c r="N99" s="182"/>
      <c r="O99" s="182"/>
      <c r="P99" s="181"/>
      <c r="Q99" s="181"/>
      <c r="R99" s="182"/>
      <c r="S99" s="182"/>
      <c r="T99" s="181"/>
      <c r="U99" s="181"/>
      <c r="V99" s="182"/>
      <c r="W99" s="182"/>
      <c r="X99" s="183"/>
      <c r="Y99" s="183"/>
      <c r="Z99" s="182"/>
      <c r="AA99" s="182"/>
      <c r="AB99" s="182"/>
      <c r="AC99" s="182"/>
      <c r="AD99" s="182"/>
      <c r="AE99" s="182"/>
      <c r="AF99" s="182"/>
      <c r="AG99" s="182"/>
    </row>
    <row r="100" ht="15.75" customHeight="1">
      <c r="G100" s="180"/>
      <c r="H100" s="180"/>
      <c r="K100" s="181"/>
      <c r="L100" s="181"/>
      <c r="M100" s="181"/>
      <c r="N100" s="182"/>
      <c r="O100" s="182"/>
      <c r="P100" s="181"/>
      <c r="Q100" s="181"/>
      <c r="R100" s="182"/>
      <c r="S100" s="182"/>
      <c r="T100" s="181"/>
      <c r="U100" s="181"/>
      <c r="V100" s="182"/>
      <c r="W100" s="182"/>
      <c r="X100" s="183"/>
      <c r="Y100" s="183"/>
      <c r="Z100" s="182"/>
      <c r="AA100" s="182"/>
      <c r="AB100" s="182"/>
      <c r="AC100" s="182"/>
      <c r="AD100" s="182"/>
      <c r="AE100" s="182"/>
      <c r="AF100" s="182"/>
      <c r="AG100" s="182"/>
    </row>
    <row r="101" ht="15.75" customHeight="1">
      <c r="G101" s="180"/>
      <c r="H101" s="180"/>
      <c r="K101" s="181"/>
      <c r="L101" s="181"/>
      <c r="M101" s="181"/>
      <c r="N101" s="182"/>
      <c r="O101" s="182"/>
      <c r="P101" s="181"/>
      <c r="Q101" s="181"/>
      <c r="R101" s="182"/>
      <c r="S101" s="182"/>
      <c r="T101" s="181"/>
      <c r="U101" s="181"/>
      <c r="V101" s="182"/>
      <c r="W101" s="182"/>
      <c r="X101" s="183"/>
      <c r="Y101" s="183"/>
      <c r="Z101" s="182"/>
      <c r="AA101" s="182"/>
      <c r="AB101" s="182"/>
      <c r="AC101" s="182"/>
      <c r="AD101" s="182"/>
      <c r="AE101" s="182"/>
      <c r="AF101" s="182"/>
      <c r="AG101" s="182"/>
    </row>
    <row r="102" ht="15.75" customHeight="1">
      <c r="G102" s="180"/>
      <c r="H102" s="180"/>
      <c r="K102" s="181"/>
      <c r="L102" s="181"/>
      <c r="M102" s="181"/>
      <c r="N102" s="182"/>
      <c r="O102" s="182"/>
      <c r="P102" s="181"/>
      <c r="Q102" s="181"/>
      <c r="R102" s="182"/>
      <c r="S102" s="182"/>
      <c r="T102" s="181"/>
      <c r="U102" s="181"/>
      <c r="V102" s="182"/>
      <c r="W102" s="182"/>
      <c r="X102" s="183"/>
      <c r="Y102" s="183"/>
      <c r="Z102" s="182"/>
      <c r="AA102" s="182"/>
      <c r="AB102" s="182"/>
      <c r="AC102" s="182"/>
      <c r="AD102" s="182"/>
      <c r="AE102" s="182"/>
      <c r="AF102" s="182"/>
      <c r="AG102" s="182"/>
    </row>
    <row r="103" ht="15.75" customHeight="1">
      <c r="G103" s="180"/>
      <c r="H103" s="180"/>
      <c r="K103" s="181"/>
      <c r="L103" s="181"/>
      <c r="M103" s="181"/>
      <c r="N103" s="182"/>
      <c r="O103" s="182"/>
      <c r="P103" s="181"/>
      <c r="Q103" s="181"/>
      <c r="R103" s="182"/>
      <c r="S103" s="182"/>
      <c r="T103" s="181"/>
      <c r="U103" s="181"/>
      <c r="V103" s="182"/>
      <c r="W103" s="182"/>
      <c r="X103" s="183"/>
      <c r="Y103" s="183"/>
      <c r="Z103" s="182"/>
      <c r="AA103" s="182"/>
      <c r="AB103" s="182"/>
      <c r="AC103" s="182"/>
      <c r="AD103" s="182"/>
      <c r="AE103" s="182"/>
      <c r="AF103" s="182"/>
      <c r="AG103" s="182"/>
    </row>
    <row r="104" ht="15.75" customHeight="1">
      <c r="G104" s="180"/>
      <c r="H104" s="180"/>
      <c r="K104" s="181"/>
      <c r="L104" s="181"/>
      <c r="M104" s="181"/>
      <c r="N104" s="182"/>
      <c r="O104" s="182"/>
      <c r="P104" s="181"/>
      <c r="Q104" s="181"/>
      <c r="R104" s="182"/>
      <c r="S104" s="182"/>
      <c r="T104" s="181"/>
      <c r="U104" s="181"/>
      <c r="V104" s="182"/>
      <c r="W104" s="182"/>
      <c r="X104" s="183"/>
      <c r="Y104" s="183"/>
      <c r="Z104" s="182"/>
      <c r="AA104" s="182"/>
      <c r="AB104" s="182"/>
      <c r="AC104" s="182"/>
      <c r="AD104" s="182"/>
      <c r="AE104" s="182"/>
      <c r="AF104" s="182"/>
      <c r="AG104" s="182"/>
    </row>
    <row r="105" ht="15.75" customHeight="1">
      <c r="G105" s="180"/>
      <c r="H105" s="180"/>
      <c r="K105" s="181"/>
      <c r="L105" s="181"/>
      <c r="M105" s="181"/>
      <c r="N105" s="182"/>
      <c r="O105" s="182"/>
      <c r="P105" s="181"/>
      <c r="Q105" s="181"/>
      <c r="R105" s="182"/>
      <c r="S105" s="182"/>
      <c r="T105" s="181"/>
      <c r="U105" s="181"/>
      <c r="V105" s="182"/>
      <c r="W105" s="182"/>
      <c r="X105" s="183"/>
      <c r="Y105" s="183"/>
      <c r="Z105" s="182"/>
      <c r="AA105" s="182"/>
      <c r="AB105" s="182"/>
      <c r="AC105" s="182"/>
      <c r="AD105" s="182"/>
      <c r="AE105" s="182"/>
      <c r="AF105" s="182"/>
      <c r="AG105" s="182"/>
    </row>
    <row r="106" ht="15.75" customHeight="1">
      <c r="G106" s="180"/>
      <c r="H106" s="180"/>
      <c r="K106" s="181"/>
      <c r="L106" s="181"/>
      <c r="M106" s="181"/>
      <c r="N106" s="182"/>
      <c r="O106" s="182"/>
      <c r="P106" s="181"/>
      <c r="Q106" s="181"/>
      <c r="R106" s="182"/>
      <c r="S106" s="182"/>
      <c r="T106" s="181"/>
      <c r="U106" s="181"/>
      <c r="V106" s="182"/>
      <c r="W106" s="182"/>
      <c r="X106" s="183"/>
      <c r="Y106" s="183"/>
      <c r="Z106" s="182"/>
      <c r="AA106" s="182"/>
      <c r="AB106" s="182"/>
      <c r="AC106" s="182"/>
      <c r="AD106" s="182"/>
      <c r="AE106" s="182"/>
      <c r="AF106" s="182"/>
      <c r="AG106" s="182"/>
    </row>
    <row r="107" ht="15.75" customHeight="1">
      <c r="G107" s="180"/>
      <c r="H107" s="180"/>
      <c r="K107" s="181"/>
      <c r="L107" s="181"/>
      <c r="M107" s="181"/>
      <c r="N107" s="182"/>
      <c r="O107" s="182"/>
      <c r="P107" s="181"/>
      <c r="Q107" s="181"/>
      <c r="R107" s="182"/>
      <c r="S107" s="182"/>
      <c r="T107" s="181"/>
      <c r="U107" s="181"/>
      <c r="V107" s="182"/>
      <c r="W107" s="182"/>
      <c r="X107" s="183"/>
      <c r="Y107" s="183"/>
      <c r="Z107" s="182"/>
      <c r="AA107" s="182"/>
      <c r="AB107" s="182"/>
      <c r="AC107" s="182"/>
      <c r="AD107" s="182"/>
      <c r="AE107" s="182"/>
      <c r="AF107" s="182"/>
      <c r="AG107" s="182"/>
    </row>
    <row r="108" ht="15.75" customHeight="1">
      <c r="G108" s="180"/>
      <c r="H108" s="180"/>
      <c r="K108" s="181"/>
      <c r="L108" s="181"/>
      <c r="M108" s="181"/>
      <c r="N108" s="182"/>
      <c r="O108" s="182"/>
      <c r="P108" s="181"/>
      <c r="Q108" s="181"/>
      <c r="R108" s="182"/>
      <c r="S108" s="182"/>
      <c r="T108" s="181"/>
      <c r="U108" s="181"/>
      <c r="V108" s="182"/>
      <c r="W108" s="182"/>
      <c r="X108" s="183"/>
      <c r="Y108" s="183"/>
      <c r="Z108" s="182"/>
      <c r="AA108" s="182"/>
      <c r="AB108" s="182"/>
      <c r="AC108" s="182"/>
      <c r="AD108" s="182"/>
      <c r="AE108" s="182"/>
      <c r="AF108" s="182"/>
      <c r="AG108" s="182"/>
    </row>
    <row r="109" ht="15.75" customHeight="1">
      <c r="G109" s="180"/>
      <c r="H109" s="180"/>
      <c r="K109" s="181"/>
      <c r="L109" s="181"/>
      <c r="M109" s="181"/>
      <c r="N109" s="182"/>
      <c r="O109" s="182"/>
      <c r="P109" s="181"/>
      <c r="Q109" s="181"/>
      <c r="R109" s="182"/>
      <c r="S109" s="182"/>
      <c r="T109" s="181"/>
      <c r="U109" s="181"/>
      <c r="V109" s="182"/>
      <c r="W109" s="182"/>
      <c r="X109" s="183"/>
      <c r="Y109" s="183"/>
      <c r="Z109" s="182"/>
      <c r="AA109" s="182"/>
      <c r="AB109" s="182"/>
      <c r="AC109" s="182"/>
      <c r="AD109" s="182"/>
      <c r="AE109" s="182"/>
      <c r="AF109" s="182"/>
      <c r="AG109" s="182"/>
    </row>
    <row r="110" ht="15.75" customHeight="1">
      <c r="G110" s="180"/>
      <c r="H110" s="180"/>
      <c r="K110" s="181"/>
      <c r="L110" s="181"/>
      <c r="M110" s="181"/>
      <c r="N110" s="182"/>
      <c r="O110" s="182"/>
      <c r="P110" s="181"/>
      <c r="Q110" s="181"/>
      <c r="R110" s="182"/>
      <c r="S110" s="182"/>
      <c r="T110" s="181"/>
      <c r="U110" s="181"/>
      <c r="V110" s="182"/>
      <c r="W110" s="182"/>
      <c r="X110" s="183"/>
      <c r="Y110" s="183"/>
      <c r="Z110" s="182"/>
      <c r="AA110" s="182"/>
      <c r="AB110" s="182"/>
      <c r="AC110" s="182"/>
      <c r="AD110" s="182"/>
      <c r="AE110" s="182"/>
      <c r="AF110" s="182"/>
      <c r="AG110" s="182"/>
    </row>
    <row r="111" ht="15.75" customHeight="1">
      <c r="G111" s="180"/>
      <c r="H111" s="180"/>
      <c r="K111" s="181"/>
      <c r="L111" s="181"/>
      <c r="M111" s="181"/>
      <c r="N111" s="182"/>
      <c r="O111" s="182"/>
      <c r="P111" s="181"/>
      <c r="Q111" s="181"/>
      <c r="R111" s="182"/>
      <c r="S111" s="182"/>
      <c r="T111" s="181"/>
      <c r="U111" s="181"/>
      <c r="V111" s="182"/>
      <c r="W111" s="182"/>
      <c r="X111" s="183"/>
      <c r="Y111" s="183"/>
      <c r="Z111" s="182"/>
      <c r="AA111" s="182"/>
      <c r="AB111" s="182"/>
      <c r="AC111" s="182"/>
      <c r="AD111" s="182"/>
      <c r="AE111" s="182"/>
      <c r="AF111" s="182"/>
      <c r="AG111" s="182"/>
    </row>
    <row r="112" ht="15.75" customHeight="1">
      <c r="G112" s="180"/>
      <c r="H112" s="180"/>
      <c r="K112" s="181"/>
      <c r="L112" s="181"/>
      <c r="M112" s="181"/>
      <c r="N112" s="182"/>
      <c r="O112" s="182"/>
      <c r="P112" s="181"/>
      <c r="Q112" s="181"/>
      <c r="R112" s="182"/>
      <c r="S112" s="182"/>
      <c r="T112" s="181"/>
      <c r="U112" s="181"/>
      <c r="V112" s="182"/>
      <c r="W112" s="182"/>
      <c r="X112" s="183"/>
      <c r="Y112" s="183"/>
      <c r="Z112" s="182"/>
      <c r="AA112" s="182"/>
      <c r="AB112" s="182"/>
      <c r="AC112" s="182"/>
      <c r="AD112" s="182"/>
      <c r="AE112" s="182"/>
      <c r="AF112" s="182"/>
      <c r="AG112" s="182"/>
    </row>
    <row r="113" ht="15.75" customHeight="1">
      <c r="G113" s="180"/>
      <c r="H113" s="180"/>
      <c r="K113" s="181"/>
      <c r="L113" s="181"/>
      <c r="M113" s="181"/>
      <c r="N113" s="182"/>
      <c r="O113" s="182"/>
      <c r="P113" s="181"/>
      <c r="Q113" s="181"/>
      <c r="R113" s="182"/>
      <c r="S113" s="182"/>
      <c r="T113" s="181"/>
      <c r="U113" s="181"/>
      <c r="V113" s="182"/>
      <c r="W113" s="182"/>
      <c r="X113" s="183"/>
      <c r="Y113" s="183"/>
      <c r="Z113" s="182"/>
      <c r="AA113" s="182"/>
      <c r="AB113" s="182"/>
      <c r="AC113" s="182"/>
      <c r="AD113" s="182"/>
      <c r="AE113" s="182"/>
      <c r="AF113" s="182"/>
      <c r="AG113" s="182"/>
    </row>
    <row r="114" ht="15.75" customHeight="1">
      <c r="G114" s="180"/>
      <c r="H114" s="180"/>
      <c r="K114" s="181"/>
      <c r="L114" s="181"/>
      <c r="M114" s="181"/>
      <c r="N114" s="182"/>
      <c r="O114" s="182"/>
      <c r="P114" s="181"/>
      <c r="Q114" s="181"/>
      <c r="R114" s="182"/>
      <c r="S114" s="182"/>
      <c r="T114" s="181"/>
      <c r="U114" s="181"/>
      <c r="V114" s="182"/>
      <c r="W114" s="182"/>
      <c r="X114" s="183"/>
      <c r="Y114" s="183"/>
      <c r="Z114" s="182"/>
      <c r="AA114" s="182"/>
      <c r="AB114" s="182"/>
      <c r="AC114" s="182"/>
      <c r="AD114" s="182"/>
      <c r="AE114" s="182"/>
      <c r="AF114" s="182"/>
      <c r="AG114" s="182"/>
    </row>
    <row r="115" ht="15.75" customHeight="1">
      <c r="G115" s="180"/>
      <c r="H115" s="180"/>
      <c r="K115" s="181"/>
      <c r="L115" s="181"/>
      <c r="M115" s="181"/>
      <c r="N115" s="182"/>
      <c r="O115" s="182"/>
      <c r="P115" s="181"/>
      <c r="Q115" s="181"/>
      <c r="R115" s="182"/>
      <c r="S115" s="182"/>
      <c r="T115" s="181"/>
      <c r="U115" s="181"/>
      <c r="V115" s="182"/>
      <c r="W115" s="182"/>
      <c r="X115" s="183"/>
      <c r="Y115" s="183"/>
      <c r="Z115" s="182"/>
      <c r="AA115" s="182"/>
      <c r="AB115" s="182"/>
      <c r="AC115" s="182"/>
      <c r="AD115" s="182"/>
      <c r="AE115" s="182"/>
      <c r="AF115" s="182"/>
      <c r="AG115" s="182"/>
    </row>
    <row r="116" ht="15.75" customHeight="1">
      <c r="G116" s="180"/>
      <c r="H116" s="180"/>
      <c r="K116" s="181"/>
      <c r="L116" s="181"/>
      <c r="M116" s="181"/>
      <c r="N116" s="182"/>
      <c r="O116" s="182"/>
      <c r="P116" s="181"/>
      <c r="Q116" s="181"/>
      <c r="R116" s="182"/>
      <c r="S116" s="182"/>
      <c r="T116" s="181"/>
      <c r="U116" s="181"/>
      <c r="V116" s="182"/>
      <c r="W116" s="182"/>
      <c r="X116" s="183"/>
      <c r="Y116" s="183"/>
      <c r="Z116" s="182"/>
      <c r="AA116" s="182"/>
      <c r="AB116" s="182"/>
      <c r="AC116" s="182"/>
      <c r="AD116" s="182"/>
      <c r="AE116" s="182"/>
      <c r="AF116" s="182"/>
      <c r="AG116" s="182"/>
    </row>
    <row r="117" ht="15.75" customHeight="1">
      <c r="G117" s="180"/>
      <c r="H117" s="180"/>
      <c r="K117" s="181"/>
      <c r="L117" s="181"/>
      <c r="M117" s="181"/>
      <c r="N117" s="182"/>
      <c r="O117" s="182"/>
      <c r="P117" s="181"/>
      <c r="Q117" s="181"/>
      <c r="R117" s="182"/>
      <c r="S117" s="182"/>
      <c r="T117" s="181"/>
      <c r="U117" s="181"/>
      <c r="V117" s="182"/>
      <c r="W117" s="182"/>
      <c r="X117" s="183"/>
      <c r="Y117" s="183"/>
      <c r="Z117" s="182"/>
      <c r="AA117" s="182"/>
      <c r="AB117" s="182"/>
      <c r="AC117" s="182"/>
      <c r="AD117" s="182"/>
      <c r="AE117" s="182"/>
      <c r="AF117" s="182"/>
      <c r="AG117" s="182"/>
    </row>
    <row r="118" ht="15.75" customHeight="1">
      <c r="G118" s="180"/>
      <c r="H118" s="180"/>
      <c r="K118" s="181"/>
      <c r="L118" s="181"/>
      <c r="M118" s="181"/>
      <c r="N118" s="182"/>
      <c r="O118" s="182"/>
      <c r="P118" s="181"/>
      <c r="Q118" s="181"/>
      <c r="R118" s="182"/>
      <c r="S118" s="182"/>
      <c r="T118" s="181"/>
      <c r="U118" s="181"/>
      <c r="V118" s="182"/>
      <c r="W118" s="182"/>
      <c r="X118" s="183"/>
      <c r="Y118" s="183"/>
      <c r="Z118" s="182"/>
      <c r="AA118" s="182"/>
      <c r="AB118" s="182"/>
      <c r="AC118" s="182"/>
      <c r="AD118" s="182"/>
      <c r="AE118" s="182"/>
      <c r="AF118" s="182"/>
      <c r="AG118" s="182"/>
    </row>
    <row r="119" ht="15.75" customHeight="1">
      <c r="G119" s="180"/>
      <c r="H119" s="180"/>
      <c r="K119" s="181"/>
      <c r="L119" s="181"/>
      <c r="M119" s="181"/>
      <c r="N119" s="182"/>
      <c r="O119" s="182"/>
      <c r="P119" s="181"/>
      <c r="Q119" s="181"/>
      <c r="R119" s="182"/>
      <c r="S119" s="182"/>
      <c r="T119" s="181"/>
      <c r="U119" s="181"/>
      <c r="V119" s="182"/>
      <c r="W119" s="182"/>
      <c r="X119" s="183"/>
      <c r="Y119" s="183"/>
      <c r="Z119" s="182"/>
      <c r="AA119" s="182"/>
      <c r="AB119" s="182"/>
      <c r="AC119" s="182"/>
      <c r="AD119" s="182"/>
      <c r="AE119" s="182"/>
      <c r="AF119" s="182"/>
      <c r="AG119" s="182"/>
    </row>
    <row r="120" ht="15.75" customHeight="1">
      <c r="G120" s="180"/>
      <c r="H120" s="180"/>
      <c r="K120" s="181"/>
      <c r="L120" s="181"/>
      <c r="M120" s="181"/>
      <c r="N120" s="182"/>
      <c r="O120" s="182"/>
      <c r="P120" s="181"/>
      <c r="Q120" s="181"/>
      <c r="R120" s="182"/>
      <c r="S120" s="182"/>
      <c r="T120" s="181"/>
      <c r="U120" s="181"/>
      <c r="V120" s="182"/>
      <c r="W120" s="182"/>
      <c r="X120" s="183"/>
      <c r="Y120" s="183"/>
      <c r="Z120" s="182"/>
      <c r="AA120" s="182"/>
      <c r="AB120" s="182"/>
      <c r="AC120" s="182"/>
      <c r="AD120" s="182"/>
      <c r="AE120" s="182"/>
      <c r="AF120" s="182"/>
      <c r="AG120" s="182"/>
    </row>
    <row r="121" ht="15.75" customHeight="1">
      <c r="G121" s="180"/>
      <c r="H121" s="180"/>
      <c r="K121" s="181"/>
      <c r="L121" s="181"/>
      <c r="M121" s="181"/>
      <c r="N121" s="182"/>
      <c r="O121" s="182"/>
      <c r="P121" s="181"/>
      <c r="Q121" s="181"/>
      <c r="R121" s="182"/>
      <c r="S121" s="182"/>
      <c r="T121" s="181"/>
      <c r="U121" s="181"/>
      <c r="V121" s="182"/>
      <c r="W121" s="182"/>
      <c r="X121" s="183"/>
      <c r="Y121" s="183"/>
      <c r="Z121" s="182"/>
      <c r="AA121" s="182"/>
      <c r="AB121" s="182"/>
      <c r="AC121" s="182"/>
      <c r="AD121" s="182"/>
      <c r="AE121" s="182"/>
      <c r="AF121" s="182"/>
      <c r="AG121" s="182"/>
    </row>
    <row r="122" ht="15.75" customHeight="1">
      <c r="G122" s="180"/>
      <c r="H122" s="180"/>
      <c r="K122" s="181"/>
      <c r="L122" s="181"/>
      <c r="M122" s="181"/>
      <c r="N122" s="182"/>
      <c r="O122" s="182"/>
      <c r="P122" s="181"/>
      <c r="Q122" s="181"/>
      <c r="R122" s="182"/>
      <c r="S122" s="182"/>
      <c r="T122" s="181"/>
      <c r="U122" s="181"/>
      <c r="V122" s="182"/>
      <c r="W122" s="182"/>
      <c r="X122" s="183"/>
      <c r="Y122" s="183"/>
      <c r="Z122" s="182"/>
      <c r="AA122" s="182"/>
      <c r="AB122" s="182"/>
      <c r="AC122" s="182"/>
      <c r="AD122" s="182"/>
      <c r="AE122" s="182"/>
      <c r="AF122" s="182"/>
      <c r="AG122" s="182"/>
    </row>
    <row r="123" ht="15.75" customHeight="1">
      <c r="G123" s="180"/>
      <c r="H123" s="180"/>
      <c r="K123" s="181"/>
      <c r="L123" s="181"/>
      <c r="M123" s="181"/>
      <c r="N123" s="182"/>
      <c r="O123" s="182"/>
      <c r="P123" s="181"/>
      <c r="Q123" s="181"/>
      <c r="R123" s="182"/>
      <c r="S123" s="182"/>
      <c r="T123" s="181"/>
      <c r="U123" s="181"/>
      <c r="V123" s="182"/>
      <c r="W123" s="182"/>
      <c r="X123" s="183"/>
      <c r="Y123" s="183"/>
      <c r="Z123" s="182"/>
      <c r="AA123" s="182"/>
      <c r="AB123" s="182"/>
      <c r="AC123" s="182"/>
      <c r="AD123" s="182"/>
      <c r="AE123" s="182"/>
      <c r="AF123" s="182"/>
      <c r="AG123" s="182"/>
    </row>
    <row r="124" ht="15.75" customHeight="1">
      <c r="G124" s="180"/>
      <c r="H124" s="180"/>
      <c r="K124" s="181"/>
      <c r="L124" s="181"/>
      <c r="M124" s="181"/>
      <c r="N124" s="182"/>
      <c r="O124" s="182"/>
      <c r="P124" s="181"/>
      <c r="Q124" s="181"/>
      <c r="R124" s="182"/>
      <c r="S124" s="182"/>
      <c r="T124" s="181"/>
      <c r="U124" s="181"/>
      <c r="V124" s="182"/>
      <c r="W124" s="182"/>
      <c r="X124" s="183"/>
      <c r="Y124" s="183"/>
      <c r="Z124" s="182"/>
      <c r="AA124" s="182"/>
      <c r="AB124" s="182"/>
      <c r="AC124" s="182"/>
      <c r="AD124" s="182"/>
      <c r="AE124" s="182"/>
      <c r="AF124" s="182"/>
      <c r="AG124" s="182"/>
    </row>
    <row r="125" ht="15.75" customHeight="1">
      <c r="G125" s="180"/>
      <c r="H125" s="180"/>
      <c r="K125" s="181"/>
      <c r="L125" s="181"/>
      <c r="M125" s="181"/>
      <c r="N125" s="182"/>
      <c r="O125" s="182"/>
      <c r="P125" s="181"/>
      <c r="Q125" s="181"/>
      <c r="R125" s="182"/>
      <c r="S125" s="182"/>
      <c r="T125" s="181"/>
      <c r="U125" s="181"/>
      <c r="V125" s="182"/>
      <c r="W125" s="182"/>
      <c r="X125" s="183"/>
      <c r="Y125" s="183"/>
      <c r="Z125" s="182"/>
      <c r="AA125" s="182"/>
      <c r="AB125" s="182"/>
      <c r="AC125" s="182"/>
      <c r="AD125" s="182"/>
      <c r="AE125" s="182"/>
      <c r="AF125" s="182"/>
      <c r="AG125" s="182"/>
    </row>
    <row r="126" ht="15.75" customHeight="1">
      <c r="G126" s="180"/>
      <c r="H126" s="180"/>
      <c r="K126" s="181"/>
      <c r="L126" s="181"/>
      <c r="M126" s="181"/>
      <c r="N126" s="182"/>
      <c r="O126" s="182"/>
      <c r="P126" s="181"/>
      <c r="Q126" s="181"/>
      <c r="R126" s="182"/>
      <c r="S126" s="182"/>
      <c r="T126" s="181"/>
      <c r="U126" s="181"/>
      <c r="V126" s="182"/>
      <c r="W126" s="182"/>
      <c r="X126" s="183"/>
      <c r="Y126" s="183"/>
      <c r="Z126" s="182"/>
      <c r="AA126" s="182"/>
      <c r="AB126" s="182"/>
      <c r="AC126" s="182"/>
      <c r="AD126" s="182"/>
      <c r="AE126" s="182"/>
      <c r="AF126" s="182"/>
      <c r="AG126" s="182"/>
    </row>
    <row r="127" ht="15.75" customHeight="1">
      <c r="G127" s="180"/>
      <c r="H127" s="180"/>
      <c r="K127" s="181"/>
      <c r="L127" s="181"/>
      <c r="M127" s="181"/>
      <c r="N127" s="182"/>
      <c r="O127" s="182"/>
      <c r="P127" s="181"/>
      <c r="Q127" s="181"/>
      <c r="R127" s="182"/>
      <c r="S127" s="182"/>
      <c r="T127" s="181"/>
      <c r="U127" s="181"/>
      <c r="V127" s="182"/>
      <c r="W127" s="182"/>
      <c r="X127" s="183"/>
      <c r="Y127" s="183"/>
      <c r="Z127" s="182"/>
      <c r="AA127" s="182"/>
      <c r="AB127" s="182"/>
      <c r="AC127" s="182"/>
      <c r="AD127" s="182"/>
      <c r="AE127" s="182"/>
      <c r="AF127" s="182"/>
      <c r="AG127" s="182"/>
    </row>
    <row r="128" ht="15.75" customHeight="1">
      <c r="G128" s="180"/>
      <c r="H128" s="180"/>
      <c r="K128" s="181"/>
      <c r="L128" s="181"/>
      <c r="M128" s="181"/>
      <c r="N128" s="182"/>
      <c r="O128" s="182"/>
      <c r="P128" s="181"/>
      <c r="Q128" s="181"/>
      <c r="R128" s="182"/>
      <c r="S128" s="182"/>
      <c r="T128" s="181"/>
      <c r="U128" s="181"/>
      <c r="V128" s="182"/>
      <c r="W128" s="182"/>
      <c r="X128" s="183"/>
      <c r="Y128" s="183"/>
      <c r="Z128" s="182"/>
      <c r="AA128" s="182"/>
      <c r="AB128" s="182"/>
      <c r="AC128" s="182"/>
      <c r="AD128" s="182"/>
      <c r="AE128" s="182"/>
      <c r="AF128" s="182"/>
      <c r="AG128" s="182"/>
    </row>
    <row r="129" ht="15.75" customHeight="1">
      <c r="G129" s="180"/>
      <c r="H129" s="180"/>
      <c r="K129" s="181"/>
      <c r="L129" s="181"/>
      <c r="M129" s="181"/>
      <c r="N129" s="182"/>
      <c r="O129" s="182"/>
      <c r="P129" s="181"/>
      <c r="Q129" s="181"/>
      <c r="R129" s="182"/>
      <c r="S129" s="182"/>
      <c r="T129" s="181"/>
      <c r="U129" s="181"/>
      <c r="V129" s="182"/>
      <c r="W129" s="182"/>
      <c r="X129" s="183"/>
      <c r="Y129" s="183"/>
      <c r="Z129" s="182"/>
      <c r="AA129" s="182"/>
      <c r="AB129" s="182"/>
      <c r="AC129" s="182"/>
      <c r="AD129" s="182"/>
      <c r="AE129" s="182"/>
      <c r="AF129" s="182"/>
      <c r="AG129" s="182"/>
    </row>
    <row r="130" ht="15.75" customHeight="1">
      <c r="G130" s="180"/>
      <c r="H130" s="180"/>
      <c r="K130" s="181"/>
      <c r="L130" s="181"/>
      <c r="M130" s="181"/>
      <c r="N130" s="182"/>
      <c r="O130" s="182"/>
      <c r="P130" s="181"/>
      <c r="Q130" s="181"/>
      <c r="R130" s="182"/>
      <c r="S130" s="182"/>
      <c r="T130" s="181"/>
      <c r="U130" s="181"/>
      <c r="V130" s="182"/>
      <c r="W130" s="182"/>
      <c r="X130" s="183"/>
      <c r="Y130" s="183"/>
      <c r="Z130" s="182"/>
      <c r="AA130" s="182"/>
      <c r="AB130" s="182"/>
      <c r="AC130" s="182"/>
      <c r="AD130" s="182"/>
      <c r="AE130" s="182"/>
      <c r="AF130" s="182"/>
      <c r="AG130" s="182"/>
    </row>
    <row r="131" ht="15.75" customHeight="1">
      <c r="G131" s="180"/>
      <c r="H131" s="180"/>
      <c r="K131" s="181"/>
      <c r="L131" s="181"/>
      <c r="M131" s="181"/>
      <c r="N131" s="182"/>
      <c r="O131" s="182"/>
      <c r="P131" s="181"/>
      <c r="Q131" s="181"/>
      <c r="R131" s="182"/>
      <c r="S131" s="182"/>
      <c r="T131" s="181"/>
      <c r="U131" s="181"/>
      <c r="V131" s="182"/>
      <c r="W131" s="182"/>
      <c r="X131" s="183"/>
      <c r="Y131" s="183"/>
      <c r="Z131" s="182"/>
      <c r="AA131" s="182"/>
      <c r="AB131" s="182"/>
      <c r="AC131" s="182"/>
      <c r="AD131" s="182"/>
      <c r="AE131" s="182"/>
      <c r="AF131" s="182"/>
      <c r="AG131" s="182"/>
    </row>
    <row r="132" ht="15.75" customHeight="1">
      <c r="G132" s="180"/>
      <c r="H132" s="180"/>
      <c r="K132" s="181"/>
      <c r="L132" s="181"/>
      <c r="M132" s="181"/>
      <c r="N132" s="182"/>
      <c r="O132" s="182"/>
      <c r="P132" s="181"/>
      <c r="Q132" s="181"/>
      <c r="R132" s="182"/>
      <c r="S132" s="182"/>
      <c r="T132" s="181"/>
      <c r="U132" s="181"/>
      <c r="V132" s="182"/>
      <c r="W132" s="182"/>
      <c r="X132" s="183"/>
      <c r="Y132" s="183"/>
      <c r="Z132" s="182"/>
      <c r="AA132" s="182"/>
      <c r="AB132" s="182"/>
      <c r="AC132" s="182"/>
      <c r="AD132" s="182"/>
      <c r="AE132" s="182"/>
      <c r="AF132" s="182"/>
      <c r="AG132" s="182"/>
    </row>
    <row r="133" ht="15.75" customHeight="1">
      <c r="G133" s="180"/>
      <c r="H133" s="180"/>
      <c r="K133" s="181"/>
      <c r="L133" s="181"/>
      <c r="M133" s="181"/>
      <c r="N133" s="182"/>
      <c r="O133" s="182"/>
      <c r="P133" s="181"/>
      <c r="Q133" s="181"/>
      <c r="R133" s="182"/>
      <c r="S133" s="182"/>
      <c r="T133" s="181"/>
      <c r="U133" s="181"/>
      <c r="V133" s="182"/>
      <c r="W133" s="182"/>
      <c r="X133" s="183"/>
      <c r="Y133" s="183"/>
      <c r="Z133" s="182"/>
      <c r="AA133" s="182"/>
      <c r="AB133" s="182"/>
      <c r="AC133" s="182"/>
      <c r="AD133" s="182"/>
      <c r="AE133" s="182"/>
      <c r="AF133" s="182"/>
      <c r="AG133" s="182"/>
    </row>
    <row r="134" ht="15.75" customHeight="1">
      <c r="G134" s="180"/>
      <c r="H134" s="180"/>
      <c r="K134" s="181"/>
      <c r="L134" s="181"/>
      <c r="M134" s="181"/>
      <c r="N134" s="182"/>
      <c r="O134" s="182"/>
      <c r="P134" s="181"/>
      <c r="Q134" s="181"/>
      <c r="R134" s="182"/>
      <c r="S134" s="182"/>
      <c r="T134" s="181"/>
      <c r="U134" s="181"/>
      <c r="V134" s="182"/>
      <c r="W134" s="182"/>
      <c r="X134" s="183"/>
      <c r="Y134" s="183"/>
      <c r="Z134" s="182"/>
      <c r="AA134" s="182"/>
      <c r="AB134" s="182"/>
      <c r="AC134" s="182"/>
      <c r="AD134" s="182"/>
      <c r="AE134" s="182"/>
      <c r="AF134" s="182"/>
      <c r="AG134" s="182"/>
    </row>
    <row r="135" ht="15.75" customHeight="1">
      <c r="G135" s="180"/>
      <c r="H135" s="180"/>
      <c r="K135" s="181"/>
      <c r="L135" s="181"/>
      <c r="M135" s="181"/>
      <c r="N135" s="182"/>
      <c r="O135" s="182"/>
      <c r="P135" s="181"/>
      <c r="Q135" s="181"/>
      <c r="R135" s="182"/>
      <c r="S135" s="182"/>
      <c r="T135" s="181"/>
      <c r="U135" s="181"/>
      <c r="V135" s="182"/>
      <c r="W135" s="182"/>
      <c r="X135" s="183"/>
      <c r="Y135" s="183"/>
      <c r="Z135" s="182"/>
      <c r="AA135" s="182"/>
      <c r="AB135" s="182"/>
      <c r="AC135" s="182"/>
      <c r="AD135" s="182"/>
      <c r="AE135" s="182"/>
      <c r="AF135" s="182"/>
      <c r="AG135" s="182"/>
    </row>
    <row r="136" ht="15.75" customHeight="1">
      <c r="G136" s="180"/>
      <c r="H136" s="180"/>
      <c r="K136" s="181"/>
      <c r="L136" s="181"/>
      <c r="M136" s="181"/>
      <c r="N136" s="182"/>
      <c r="O136" s="182"/>
      <c r="P136" s="181"/>
      <c r="Q136" s="181"/>
      <c r="R136" s="182"/>
      <c r="S136" s="182"/>
      <c r="T136" s="181"/>
      <c r="U136" s="181"/>
      <c r="V136" s="182"/>
      <c r="W136" s="182"/>
      <c r="X136" s="183"/>
      <c r="Y136" s="183"/>
      <c r="Z136" s="182"/>
      <c r="AA136" s="182"/>
      <c r="AB136" s="182"/>
      <c r="AC136" s="182"/>
      <c r="AD136" s="182"/>
      <c r="AE136" s="182"/>
      <c r="AF136" s="182"/>
      <c r="AG136" s="182"/>
    </row>
    <row r="137" ht="15.75" customHeight="1">
      <c r="G137" s="180"/>
      <c r="H137" s="180"/>
      <c r="K137" s="181"/>
      <c r="L137" s="181"/>
      <c r="M137" s="181"/>
      <c r="N137" s="182"/>
      <c r="O137" s="182"/>
      <c r="P137" s="181"/>
      <c r="Q137" s="181"/>
      <c r="R137" s="182"/>
      <c r="S137" s="182"/>
      <c r="T137" s="181"/>
      <c r="U137" s="181"/>
      <c r="V137" s="182"/>
      <c r="W137" s="182"/>
      <c r="X137" s="183"/>
      <c r="Y137" s="183"/>
      <c r="Z137" s="182"/>
      <c r="AA137" s="182"/>
      <c r="AB137" s="182"/>
      <c r="AC137" s="182"/>
      <c r="AD137" s="182"/>
      <c r="AE137" s="182"/>
      <c r="AF137" s="182"/>
      <c r="AG137" s="182"/>
    </row>
    <row r="138" ht="15.75" customHeight="1">
      <c r="G138" s="180"/>
      <c r="H138" s="180"/>
      <c r="K138" s="181"/>
      <c r="L138" s="181"/>
      <c r="M138" s="181"/>
      <c r="N138" s="182"/>
      <c r="O138" s="182"/>
      <c r="P138" s="181"/>
      <c r="Q138" s="181"/>
      <c r="R138" s="182"/>
      <c r="S138" s="182"/>
      <c r="T138" s="181"/>
      <c r="U138" s="181"/>
      <c r="V138" s="182"/>
      <c r="W138" s="182"/>
      <c r="X138" s="183"/>
      <c r="Y138" s="183"/>
      <c r="Z138" s="182"/>
      <c r="AA138" s="182"/>
      <c r="AB138" s="182"/>
      <c r="AC138" s="182"/>
      <c r="AD138" s="182"/>
      <c r="AE138" s="182"/>
      <c r="AF138" s="182"/>
      <c r="AG138" s="182"/>
    </row>
    <row r="139" ht="15.75" customHeight="1">
      <c r="G139" s="180"/>
      <c r="H139" s="180"/>
      <c r="K139" s="181"/>
      <c r="L139" s="181"/>
      <c r="M139" s="181"/>
      <c r="N139" s="182"/>
      <c r="O139" s="182"/>
      <c r="P139" s="181"/>
      <c r="Q139" s="181"/>
      <c r="R139" s="182"/>
      <c r="S139" s="182"/>
      <c r="T139" s="181"/>
      <c r="U139" s="181"/>
      <c r="V139" s="182"/>
      <c r="W139" s="182"/>
      <c r="X139" s="183"/>
      <c r="Y139" s="183"/>
      <c r="Z139" s="182"/>
      <c r="AA139" s="182"/>
      <c r="AB139" s="182"/>
      <c r="AC139" s="182"/>
      <c r="AD139" s="182"/>
      <c r="AE139" s="182"/>
      <c r="AF139" s="182"/>
      <c r="AG139" s="182"/>
    </row>
    <row r="140" ht="15.75" customHeight="1">
      <c r="G140" s="180"/>
      <c r="H140" s="180"/>
      <c r="K140" s="181"/>
      <c r="L140" s="181"/>
      <c r="M140" s="181"/>
      <c r="N140" s="182"/>
      <c r="O140" s="182"/>
      <c r="P140" s="181"/>
      <c r="Q140" s="181"/>
      <c r="R140" s="182"/>
      <c r="S140" s="182"/>
      <c r="T140" s="181"/>
      <c r="U140" s="181"/>
      <c r="V140" s="182"/>
      <c r="W140" s="182"/>
      <c r="X140" s="183"/>
      <c r="Y140" s="183"/>
      <c r="Z140" s="182"/>
      <c r="AA140" s="182"/>
      <c r="AB140" s="182"/>
      <c r="AC140" s="182"/>
      <c r="AD140" s="182"/>
      <c r="AE140" s="182"/>
      <c r="AF140" s="182"/>
      <c r="AG140" s="182"/>
    </row>
    <row r="141" ht="15.75" customHeight="1">
      <c r="G141" s="180"/>
      <c r="H141" s="180"/>
      <c r="K141" s="181"/>
      <c r="L141" s="181"/>
      <c r="M141" s="181"/>
      <c r="N141" s="182"/>
      <c r="O141" s="182"/>
      <c r="P141" s="181"/>
      <c r="Q141" s="181"/>
      <c r="R141" s="182"/>
      <c r="S141" s="182"/>
      <c r="T141" s="181"/>
      <c r="U141" s="181"/>
      <c r="V141" s="182"/>
      <c r="W141" s="182"/>
      <c r="X141" s="183"/>
      <c r="Y141" s="183"/>
      <c r="Z141" s="182"/>
      <c r="AA141" s="182"/>
      <c r="AB141" s="182"/>
      <c r="AC141" s="182"/>
      <c r="AD141" s="182"/>
      <c r="AE141" s="182"/>
      <c r="AF141" s="182"/>
      <c r="AG141" s="182"/>
    </row>
    <row r="142" ht="15.75" customHeight="1">
      <c r="G142" s="180"/>
      <c r="H142" s="180"/>
      <c r="K142" s="181"/>
      <c r="L142" s="181"/>
      <c r="M142" s="181"/>
      <c r="N142" s="182"/>
      <c r="O142" s="182"/>
      <c r="P142" s="181"/>
      <c r="Q142" s="181"/>
      <c r="R142" s="182"/>
      <c r="S142" s="182"/>
      <c r="T142" s="181"/>
      <c r="U142" s="181"/>
      <c r="V142" s="182"/>
      <c r="W142" s="182"/>
      <c r="X142" s="183"/>
      <c r="Y142" s="183"/>
      <c r="Z142" s="182"/>
      <c r="AA142" s="182"/>
      <c r="AB142" s="182"/>
      <c r="AC142" s="182"/>
      <c r="AD142" s="182"/>
      <c r="AE142" s="182"/>
      <c r="AF142" s="182"/>
      <c r="AG142" s="182"/>
    </row>
    <row r="143" ht="15.75" customHeight="1">
      <c r="G143" s="180"/>
      <c r="H143" s="180"/>
      <c r="K143" s="181"/>
      <c r="L143" s="181"/>
      <c r="M143" s="181"/>
      <c r="N143" s="182"/>
      <c r="O143" s="182"/>
      <c r="P143" s="181"/>
      <c r="Q143" s="181"/>
      <c r="R143" s="182"/>
      <c r="S143" s="182"/>
      <c r="T143" s="181"/>
      <c r="U143" s="181"/>
      <c r="V143" s="182"/>
      <c r="W143" s="182"/>
      <c r="X143" s="183"/>
      <c r="Y143" s="183"/>
      <c r="Z143" s="182"/>
      <c r="AA143" s="182"/>
      <c r="AB143" s="182"/>
      <c r="AC143" s="182"/>
      <c r="AD143" s="182"/>
      <c r="AE143" s="182"/>
      <c r="AF143" s="182"/>
      <c r="AG143" s="182"/>
    </row>
    <row r="144" ht="15.75" customHeight="1">
      <c r="G144" s="180"/>
      <c r="H144" s="180"/>
      <c r="K144" s="181"/>
      <c r="L144" s="181"/>
      <c r="M144" s="181"/>
      <c r="N144" s="182"/>
      <c r="O144" s="182"/>
      <c r="P144" s="181"/>
      <c r="Q144" s="181"/>
      <c r="R144" s="182"/>
      <c r="S144" s="182"/>
      <c r="T144" s="181"/>
      <c r="U144" s="181"/>
      <c r="V144" s="182"/>
      <c r="W144" s="182"/>
      <c r="X144" s="183"/>
      <c r="Y144" s="183"/>
      <c r="Z144" s="182"/>
      <c r="AA144" s="182"/>
      <c r="AB144" s="182"/>
      <c r="AC144" s="182"/>
      <c r="AD144" s="182"/>
      <c r="AE144" s="182"/>
      <c r="AF144" s="182"/>
      <c r="AG144" s="182"/>
    </row>
    <row r="145" ht="15.75" customHeight="1">
      <c r="G145" s="180"/>
      <c r="H145" s="180"/>
      <c r="K145" s="181"/>
      <c r="L145" s="181"/>
      <c r="M145" s="181"/>
      <c r="N145" s="182"/>
      <c r="O145" s="182"/>
      <c r="P145" s="181"/>
      <c r="Q145" s="181"/>
      <c r="R145" s="182"/>
      <c r="S145" s="182"/>
      <c r="T145" s="181"/>
      <c r="U145" s="181"/>
      <c r="V145" s="182"/>
      <c r="W145" s="182"/>
      <c r="X145" s="183"/>
      <c r="Y145" s="183"/>
      <c r="Z145" s="182"/>
      <c r="AA145" s="182"/>
      <c r="AB145" s="182"/>
      <c r="AC145" s="182"/>
      <c r="AD145" s="182"/>
      <c r="AE145" s="182"/>
      <c r="AF145" s="182"/>
      <c r="AG145" s="182"/>
    </row>
    <row r="146" ht="15.75" customHeight="1">
      <c r="G146" s="180"/>
      <c r="H146" s="180"/>
      <c r="K146" s="181"/>
      <c r="L146" s="181"/>
      <c r="M146" s="181"/>
      <c r="N146" s="182"/>
      <c r="O146" s="182"/>
      <c r="P146" s="181"/>
      <c r="Q146" s="181"/>
      <c r="R146" s="182"/>
      <c r="S146" s="182"/>
      <c r="T146" s="181"/>
      <c r="U146" s="181"/>
      <c r="V146" s="182"/>
      <c r="W146" s="182"/>
      <c r="X146" s="183"/>
      <c r="Y146" s="183"/>
      <c r="Z146" s="182"/>
      <c r="AA146" s="182"/>
      <c r="AB146" s="182"/>
      <c r="AC146" s="182"/>
      <c r="AD146" s="182"/>
      <c r="AE146" s="182"/>
      <c r="AF146" s="182"/>
      <c r="AG146" s="182"/>
    </row>
    <row r="147" ht="15.75" customHeight="1">
      <c r="G147" s="180"/>
      <c r="H147" s="180"/>
      <c r="K147" s="181"/>
      <c r="L147" s="181"/>
      <c r="M147" s="181"/>
      <c r="N147" s="182"/>
      <c r="O147" s="182"/>
      <c r="P147" s="181"/>
      <c r="Q147" s="181"/>
      <c r="R147" s="182"/>
      <c r="S147" s="182"/>
      <c r="T147" s="181"/>
      <c r="U147" s="181"/>
      <c r="V147" s="182"/>
      <c r="W147" s="182"/>
      <c r="X147" s="183"/>
      <c r="Y147" s="183"/>
      <c r="Z147" s="182"/>
      <c r="AA147" s="182"/>
      <c r="AB147" s="182"/>
      <c r="AC147" s="182"/>
      <c r="AD147" s="182"/>
      <c r="AE147" s="182"/>
      <c r="AF147" s="182"/>
      <c r="AG147" s="182"/>
    </row>
    <row r="148" ht="15.75" customHeight="1">
      <c r="G148" s="180"/>
      <c r="H148" s="180"/>
      <c r="K148" s="181"/>
      <c r="L148" s="181"/>
      <c r="M148" s="181"/>
      <c r="N148" s="182"/>
      <c r="O148" s="182"/>
      <c r="P148" s="181"/>
      <c r="Q148" s="181"/>
      <c r="R148" s="182"/>
      <c r="S148" s="182"/>
      <c r="T148" s="181"/>
      <c r="U148" s="181"/>
      <c r="V148" s="182"/>
      <c r="W148" s="182"/>
      <c r="X148" s="183"/>
      <c r="Y148" s="183"/>
      <c r="Z148" s="182"/>
      <c r="AA148" s="182"/>
      <c r="AB148" s="182"/>
      <c r="AC148" s="182"/>
      <c r="AD148" s="182"/>
      <c r="AE148" s="182"/>
      <c r="AF148" s="182"/>
      <c r="AG148" s="182"/>
    </row>
    <row r="149" ht="15.75" customHeight="1">
      <c r="G149" s="180"/>
      <c r="H149" s="180"/>
      <c r="K149" s="181"/>
      <c r="L149" s="181"/>
      <c r="M149" s="181"/>
      <c r="N149" s="182"/>
      <c r="O149" s="182"/>
      <c r="P149" s="181"/>
      <c r="Q149" s="181"/>
      <c r="R149" s="182"/>
      <c r="S149" s="182"/>
      <c r="T149" s="181"/>
      <c r="U149" s="181"/>
      <c r="V149" s="182"/>
      <c r="W149" s="182"/>
      <c r="X149" s="183"/>
      <c r="Y149" s="183"/>
      <c r="Z149" s="182"/>
      <c r="AA149" s="182"/>
      <c r="AB149" s="182"/>
      <c r="AC149" s="182"/>
      <c r="AD149" s="182"/>
      <c r="AE149" s="182"/>
      <c r="AF149" s="182"/>
      <c r="AG149" s="182"/>
    </row>
    <row r="150" ht="15.75" customHeight="1">
      <c r="G150" s="180"/>
      <c r="H150" s="180"/>
      <c r="K150" s="181"/>
      <c r="L150" s="181"/>
      <c r="M150" s="181"/>
      <c r="N150" s="182"/>
      <c r="O150" s="182"/>
      <c r="P150" s="181"/>
      <c r="Q150" s="181"/>
      <c r="R150" s="182"/>
      <c r="S150" s="182"/>
      <c r="T150" s="181"/>
      <c r="U150" s="181"/>
      <c r="V150" s="182"/>
      <c r="W150" s="182"/>
      <c r="X150" s="183"/>
      <c r="Y150" s="183"/>
      <c r="Z150" s="182"/>
      <c r="AA150" s="182"/>
      <c r="AB150" s="182"/>
      <c r="AC150" s="182"/>
      <c r="AD150" s="182"/>
      <c r="AE150" s="182"/>
      <c r="AF150" s="182"/>
      <c r="AG150" s="182"/>
    </row>
    <row r="151" ht="15.75" customHeight="1">
      <c r="G151" s="180"/>
      <c r="H151" s="180"/>
      <c r="K151" s="181"/>
      <c r="L151" s="181"/>
      <c r="M151" s="181"/>
      <c r="N151" s="182"/>
      <c r="O151" s="182"/>
      <c r="P151" s="181"/>
      <c r="Q151" s="181"/>
      <c r="R151" s="182"/>
      <c r="S151" s="182"/>
      <c r="T151" s="181"/>
      <c r="U151" s="181"/>
      <c r="V151" s="182"/>
      <c r="W151" s="182"/>
      <c r="X151" s="183"/>
      <c r="Y151" s="183"/>
      <c r="Z151" s="182"/>
      <c r="AA151" s="182"/>
      <c r="AB151" s="182"/>
      <c r="AC151" s="182"/>
      <c r="AD151" s="182"/>
      <c r="AE151" s="182"/>
      <c r="AF151" s="182"/>
      <c r="AG151" s="182"/>
    </row>
    <row r="152" ht="15.75" customHeight="1">
      <c r="G152" s="180"/>
      <c r="H152" s="180"/>
      <c r="K152" s="181"/>
      <c r="L152" s="181"/>
      <c r="M152" s="181"/>
      <c r="N152" s="182"/>
      <c r="O152" s="182"/>
      <c r="P152" s="181"/>
      <c r="Q152" s="181"/>
      <c r="R152" s="182"/>
      <c r="S152" s="182"/>
      <c r="T152" s="181"/>
      <c r="U152" s="181"/>
      <c r="V152" s="182"/>
      <c r="W152" s="182"/>
      <c r="X152" s="183"/>
      <c r="Y152" s="183"/>
      <c r="Z152" s="182"/>
      <c r="AA152" s="182"/>
      <c r="AB152" s="182"/>
      <c r="AC152" s="182"/>
      <c r="AD152" s="182"/>
      <c r="AE152" s="182"/>
      <c r="AF152" s="182"/>
      <c r="AG152" s="182"/>
    </row>
    <row r="153" ht="15.75" customHeight="1">
      <c r="G153" s="180"/>
      <c r="H153" s="180"/>
      <c r="K153" s="181"/>
      <c r="L153" s="181"/>
      <c r="M153" s="181"/>
      <c r="N153" s="182"/>
      <c r="O153" s="182"/>
      <c r="P153" s="181"/>
      <c r="Q153" s="181"/>
      <c r="R153" s="182"/>
      <c r="S153" s="182"/>
      <c r="T153" s="181"/>
      <c r="U153" s="181"/>
      <c r="V153" s="182"/>
      <c r="W153" s="182"/>
      <c r="X153" s="183"/>
      <c r="Y153" s="183"/>
      <c r="Z153" s="182"/>
      <c r="AA153" s="182"/>
      <c r="AB153" s="182"/>
      <c r="AC153" s="182"/>
      <c r="AD153" s="182"/>
      <c r="AE153" s="182"/>
      <c r="AF153" s="182"/>
      <c r="AG153" s="182"/>
    </row>
    <row r="154" ht="15.75" customHeight="1">
      <c r="G154" s="180"/>
      <c r="H154" s="180"/>
      <c r="K154" s="181"/>
      <c r="L154" s="181"/>
      <c r="M154" s="181"/>
      <c r="N154" s="182"/>
      <c r="O154" s="182"/>
      <c r="P154" s="181"/>
      <c r="Q154" s="181"/>
      <c r="R154" s="182"/>
      <c r="S154" s="182"/>
      <c r="T154" s="181"/>
      <c r="U154" s="181"/>
      <c r="V154" s="182"/>
      <c r="W154" s="182"/>
      <c r="X154" s="183"/>
      <c r="Y154" s="183"/>
      <c r="Z154" s="182"/>
      <c r="AA154" s="182"/>
      <c r="AB154" s="182"/>
      <c r="AC154" s="182"/>
      <c r="AD154" s="182"/>
      <c r="AE154" s="182"/>
      <c r="AF154" s="182"/>
      <c r="AG154" s="182"/>
    </row>
    <row r="155" ht="15.75" customHeight="1">
      <c r="G155" s="180"/>
      <c r="H155" s="180"/>
      <c r="K155" s="181"/>
      <c r="L155" s="181"/>
      <c r="M155" s="181"/>
      <c r="N155" s="182"/>
      <c r="O155" s="182"/>
      <c r="P155" s="181"/>
      <c r="Q155" s="181"/>
      <c r="R155" s="182"/>
      <c r="S155" s="182"/>
      <c r="T155" s="181"/>
      <c r="U155" s="181"/>
      <c r="V155" s="182"/>
      <c r="W155" s="182"/>
      <c r="X155" s="183"/>
      <c r="Y155" s="183"/>
      <c r="Z155" s="182"/>
      <c r="AA155" s="182"/>
      <c r="AB155" s="182"/>
      <c r="AC155" s="182"/>
      <c r="AD155" s="182"/>
      <c r="AE155" s="182"/>
      <c r="AF155" s="182"/>
      <c r="AG155" s="182"/>
    </row>
    <row r="156" ht="15.75" customHeight="1">
      <c r="G156" s="180"/>
      <c r="H156" s="180"/>
      <c r="K156" s="181"/>
      <c r="L156" s="181"/>
      <c r="M156" s="181"/>
      <c r="N156" s="182"/>
      <c r="O156" s="182"/>
      <c r="P156" s="181"/>
      <c r="Q156" s="181"/>
      <c r="R156" s="182"/>
      <c r="S156" s="182"/>
      <c r="T156" s="181"/>
      <c r="U156" s="181"/>
      <c r="V156" s="182"/>
      <c r="W156" s="182"/>
      <c r="X156" s="183"/>
      <c r="Y156" s="183"/>
      <c r="Z156" s="182"/>
      <c r="AA156" s="182"/>
      <c r="AB156" s="182"/>
      <c r="AC156" s="182"/>
      <c r="AD156" s="182"/>
      <c r="AE156" s="182"/>
      <c r="AF156" s="182"/>
      <c r="AG156" s="182"/>
    </row>
    <row r="157" ht="15.75" customHeight="1">
      <c r="G157" s="180"/>
      <c r="H157" s="180"/>
      <c r="K157" s="181"/>
      <c r="L157" s="181"/>
      <c r="M157" s="181"/>
      <c r="N157" s="182"/>
      <c r="O157" s="182"/>
      <c r="P157" s="181"/>
      <c r="Q157" s="181"/>
      <c r="R157" s="182"/>
      <c r="S157" s="182"/>
      <c r="T157" s="181"/>
      <c r="U157" s="181"/>
      <c r="V157" s="182"/>
      <c r="W157" s="182"/>
      <c r="X157" s="183"/>
      <c r="Y157" s="183"/>
      <c r="Z157" s="182"/>
      <c r="AA157" s="182"/>
      <c r="AB157" s="182"/>
      <c r="AC157" s="182"/>
      <c r="AD157" s="182"/>
      <c r="AE157" s="182"/>
      <c r="AF157" s="182"/>
      <c r="AG157" s="182"/>
    </row>
    <row r="158" ht="15.75" customHeight="1">
      <c r="G158" s="180"/>
      <c r="H158" s="180"/>
      <c r="K158" s="181"/>
      <c r="L158" s="181"/>
      <c r="M158" s="181"/>
      <c r="N158" s="182"/>
      <c r="O158" s="182"/>
      <c r="P158" s="181"/>
      <c r="Q158" s="181"/>
      <c r="R158" s="182"/>
      <c r="S158" s="182"/>
      <c r="T158" s="181"/>
      <c r="U158" s="181"/>
      <c r="V158" s="182"/>
      <c r="W158" s="182"/>
      <c r="X158" s="183"/>
      <c r="Y158" s="183"/>
      <c r="Z158" s="182"/>
      <c r="AA158" s="182"/>
      <c r="AB158" s="182"/>
      <c r="AC158" s="182"/>
      <c r="AD158" s="182"/>
      <c r="AE158" s="182"/>
      <c r="AF158" s="182"/>
      <c r="AG158" s="182"/>
    </row>
    <row r="159" ht="15.75" customHeight="1">
      <c r="G159" s="180"/>
      <c r="H159" s="180"/>
      <c r="K159" s="181"/>
      <c r="L159" s="181"/>
      <c r="M159" s="181"/>
      <c r="N159" s="182"/>
      <c r="O159" s="182"/>
      <c r="P159" s="181"/>
      <c r="Q159" s="181"/>
      <c r="R159" s="182"/>
      <c r="S159" s="182"/>
      <c r="T159" s="181"/>
      <c r="U159" s="181"/>
      <c r="V159" s="182"/>
      <c r="W159" s="182"/>
      <c r="X159" s="183"/>
      <c r="Y159" s="183"/>
      <c r="Z159" s="182"/>
      <c r="AA159" s="182"/>
      <c r="AB159" s="182"/>
      <c r="AC159" s="182"/>
      <c r="AD159" s="182"/>
      <c r="AE159" s="182"/>
      <c r="AF159" s="182"/>
      <c r="AG159" s="182"/>
    </row>
    <row r="160" ht="15.75" customHeight="1">
      <c r="G160" s="180"/>
      <c r="H160" s="180"/>
      <c r="K160" s="181"/>
      <c r="L160" s="181"/>
      <c r="M160" s="181"/>
      <c r="N160" s="182"/>
      <c r="O160" s="182"/>
      <c r="P160" s="181"/>
      <c r="Q160" s="181"/>
      <c r="R160" s="182"/>
      <c r="S160" s="182"/>
      <c r="T160" s="181"/>
      <c r="U160" s="181"/>
      <c r="V160" s="182"/>
      <c r="W160" s="182"/>
      <c r="X160" s="183"/>
      <c r="Y160" s="183"/>
      <c r="Z160" s="182"/>
      <c r="AA160" s="182"/>
      <c r="AB160" s="182"/>
      <c r="AC160" s="182"/>
      <c r="AD160" s="182"/>
      <c r="AE160" s="182"/>
      <c r="AF160" s="182"/>
      <c r="AG160" s="182"/>
    </row>
    <row r="161" ht="15.75" customHeight="1">
      <c r="G161" s="180"/>
      <c r="H161" s="180"/>
      <c r="K161" s="181"/>
      <c r="L161" s="181"/>
      <c r="M161" s="181"/>
      <c r="N161" s="182"/>
      <c r="O161" s="182"/>
      <c r="P161" s="181"/>
      <c r="Q161" s="181"/>
      <c r="R161" s="182"/>
      <c r="S161" s="182"/>
      <c r="T161" s="181"/>
      <c r="U161" s="181"/>
      <c r="V161" s="182"/>
      <c r="W161" s="182"/>
      <c r="X161" s="183"/>
      <c r="Y161" s="183"/>
      <c r="Z161" s="182"/>
      <c r="AA161" s="182"/>
      <c r="AB161" s="182"/>
      <c r="AC161" s="182"/>
      <c r="AD161" s="182"/>
      <c r="AE161" s="182"/>
      <c r="AF161" s="182"/>
      <c r="AG161" s="182"/>
    </row>
    <row r="162" ht="15.75" customHeight="1">
      <c r="G162" s="180"/>
      <c r="H162" s="180"/>
      <c r="K162" s="181"/>
      <c r="L162" s="181"/>
      <c r="M162" s="181"/>
      <c r="N162" s="182"/>
      <c r="O162" s="182"/>
      <c r="P162" s="181"/>
      <c r="Q162" s="181"/>
      <c r="R162" s="182"/>
      <c r="S162" s="182"/>
      <c r="T162" s="181"/>
      <c r="U162" s="181"/>
      <c r="V162" s="182"/>
      <c r="W162" s="182"/>
      <c r="X162" s="183"/>
      <c r="Y162" s="183"/>
      <c r="Z162" s="182"/>
      <c r="AA162" s="182"/>
      <c r="AB162" s="182"/>
      <c r="AC162" s="182"/>
      <c r="AD162" s="182"/>
      <c r="AE162" s="182"/>
      <c r="AF162" s="182"/>
      <c r="AG162" s="182"/>
    </row>
    <row r="163" ht="15.75" customHeight="1">
      <c r="G163" s="180"/>
      <c r="H163" s="180"/>
      <c r="K163" s="181"/>
      <c r="L163" s="181"/>
      <c r="M163" s="181"/>
      <c r="N163" s="182"/>
      <c r="O163" s="182"/>
      <c r="P163" s="181"/>
      <c r="Q163" s="181"/>
      <c r="R163" s="182"/>
      <c r="S163" s="182"/>
      <c r="T163" s="181"/>
      <c r="U163" s="181"/>
      <c r="V163" s="182"/>
      <c r="W163" s="182"/>
      <c r="X163" s="183"/>
      <c r="Y163" s="183"/>
      <c r="Z163" s="182"/>
      <c r="AA163" s="182"/>
      <c r="AB163" s="182"/>
      <c r="AC163" s="182"/>
      <c r="AD163" s="182"/>
      <c r="AE163" s="182"/>
      <c r="AF163" s="182"/>
      <c r="AG163" s="182"/>
    </row>
    <row r="164" ht="15.75" customHeight="1">
      <c r="G164" s="180"/>
      <c r="H164" s="180"/>
      <c r="K164" s="181"/>
      <c r="L164" s="181"/>
      <c r="M164" s="181"/>
      <c r="N164" s="182"/>
      <c r="O164" s="182"/>
      <c r="P164" s="181"/>
      <c r="Q164" s="181"/>
      <c r="R164" s="182"/>
      <c r="S164" s="182"/>
      <c r="T164" s="181"/>
      <c r="U164" s="181"/>
      <c r="V164" s="182"/>
      <c r="W164" s="182"/>
      <c r="X164" s="183"/>
      <c r="Y164" s="183"/>
      <c r="Z164" s="182"/>
      <c r="AA164" s="182"/>
      <c r="AB164" s="182"/>
      <c r="AC164" s="182"/>
      <c r="AD164" s="182"/>
      <c r="AE164" s="182"/>
      <c r="AF164" s="182"/>
      <c r="AG164" s="182"/>
    </row>
    <row r="165" ht="15.75" customHeight="1">
      <c r="G165" s="180"/>
      <c r="H165" s="180"/>
      <c r="K165" s="181"/>
      <c r="L165" s="181"/>
      <c r="M165" s="181"/>
      <c r="N165" s="182"/>
      <c r="O165" s="182"/>
      <c r="P165" s="181"/>
      <c r="Q165" s="181"/>
      <c r="R165" s="182"/>
      <c r="S165" s="182"/>
      <c r="T165" s="181"/>
      <c r="U165" s="181"/>
      <c r="V165" s="182"/>
      <c r="W165" s="182"/>
      <c r="X165" s="183"/>
      <c r="Y165" s="183"/>
      <c r="Z165" s="182"/>
      <c r="AA165" s="182"/>
      <c r="AB165" s="182"/>
      <c r="AC165" s="182"/>
      <c r="AD165" s="182"/>
      <c r="AE165" s="182"/>
      <c r="AF165" s="182"/>
      <c r="AG165" s="182"/>
    </row>
    <row r="166" ht="15.75" customHeight="1">
      <c r="G166" s="180"/>
      <c r="H166" s="180"/>
      <c r="K166" s="181"/>
      <c r="L166" s="181"/>
      <c r="M166" s="181"/>
      <c r="N166" s="182"/>
      <c r="O166" s="182"/>
      <c r="P166" s="181"/>
      <c r="Q166" s="181"/>
      <c r="R166" s="182"/>
      <c r="S166" s="182"/>
      <c r="T166" s="181"/>
      <c r="U166" s="181"/>
      <c r="V166" s="182"/>
      <c r="W166" s="182"/>
      <c r="X166" s="183"/>
      <c r="Y166" s="183"/>
      <c r="Z166" s="182"/>
      <c r="AA166" s="182"/>
      <c r="AB166" s="182"/>
      <c r="AC166" s="182"/>
      <c r="AD166" s="182"/>
      <c r="AE166" s="182"/>
      <c r="AF166" s="182"/>
      <c r="AG166" s="182"/>
    </row>
    <row r="167" ht="15.75" customHeight="1">
      <c r="G167" s="180"/>
      <c r="H167" s="180"/>
      <c r="K167" s="181"/>
      <c r="L167" s="181"/>
      <c r="M167" s="181"/>
      <c r="N167" s="182"/>
      <c r="O167" s="182"/>
      <c r="P167" s="181"/>
      <c r="Q167" s="181"/>
      <c r="R167" s="182"/>
      <c r="S167" s="182"/>
      <c r="T167" s="181"/>
      <c r="U167" s="181"/>
      <c r="V167" s="182"/>
      <c r="W167" s="182"/>
      <c r="X167" s="183"/>
      <c r="Y167" s="183"/>
      <c r="Z167" s="182"/>
      <c r="AA167" s="182"/>
      <c r="AB167" s="182"/>
      <c r="AC167" s="182"/>
      <c r="AD167" s="182"/>
      <c r="AE167" s="182"/>
      <c r="AF167" s="182"/>
      <c r="AG167" s="182"/>
    </row>
    <row r="168" ht="15.75" customHeight="1">
      <c r="G168" s="180"/>
      <c r="H168" s="180"/>
      <c r="K168" s="181"/>
      <c r="L168" s="181"/>
      <c r="M168" s="181"/>
      <c r="N168" s="182"/>
      <c r="O168" s="182"/>
      <c r="P168" s="181"/>
      <c r="Q168" s="181"/>
      <c r="R168" s="182"/>
      <c r="S168" s="182"/>
      <c r="T168" s="181"/>
      <c r="U168" s="181"/>
      <c r="V168" s="182"/>
      <c r="W168" s="182"/>
      <c r="X168" s="183"/>
      <c r="Y168" s="183"/>
      <c r="Z168" s="182"/>
      <c r="AA168" s="182"/>
      <c r="AB168" s="182"/>
      <c r="AC168" s="182"/>
      <c r="AD168" s="182"/>
      <c r="AE168" s="182"/>
      <c r="AF168" s="182"/>
      <c r="AG168" s="182"/>
    </row>
    <row r="169" ht="15.75" customHeight="1">
      <c r="G169" s="180"/>
      <c r="H169" s="180"/>
      <c r="K169" s="181"/>
      <c r="L169" s="181"/>
      <c r="M169" s="181"/>
      <c r="N169" s="182"/>
      <c r="O169" s="182"/>
      <c r="P169" s="181"/>
      <c r="Q169" s="181"/>
      <c r="R169" s="182"/>
      <c r="S169" s="182"/>
      <c r="T169" s="181"/>
      <c r="U169" s="181"/>
      <c r="V169" s="182"/>
      <c r="W169" s="182"/>
      <c r="X169" s="183"/>
      <c r="Y169" s="183"/>
      <c r="Z169" s="182"/>
      <c r="AA169" s="182"/>
      <c r="AB169" s="182"/>
      <c r="AC169" s="182"/>
      <c r="AD169" s="182"/>
      <c r="AE169" s="182"/>
      <c r="AF169" s="182"/>
      <c r="AG169" s="182"/>
    </row>
    <row r="170" ht="15.75" customHeight="1">
      <c r="G170" s="180"/>
      <c r="H170" s="180"/>
      <c r="K170" s="181"/>
      <c r="L170" s="181"/>
      <c r="M170" s="181"/>
      <c r="N170" s="182"/>
      <c r="O170" s="182"/>
      <c r="P170" s="181"/>
      <c r="Q170" s="181"/>
      <c r="R170" s="182"/>
      <c r="S170" s="182"/>
      <c r="T170" s="181"/>
      <c r="U170" s="181"/>
      <c r="V170" s="182"/>
      <c r="W170" s="182"/>
      <c r="X170" s="183"/>
      <c r="Y170" s="183"/>
      <c r="Z170" s="182"/>
      <c r="AA170" s="182"/>
      <c r="AB170" s="182"/>
      <c r="AC170" s="182"/>
      <c r="AD170" s="182"/>
      <c r="AE170" s="182"/>
      <c r="AF170" s="182"/>
      <c r="AG170" s="182"/>
    </row>
    <row r="171" ht="15.75" customHeight="1">
      <c r="G171" s="180"/>
      <c r="H171" s="180"/>
      <c r="K171" s="181"/>
      <c r="L171" s="181"/>
      <c r="M171" s="181"/>
      <c r="N171" s="182"/>
      <c r="O171" s="182"/>
      <c r="P171" s="181"/>
      <c r="Q171" s="181"/>
      <c r="R171" s="182"/>
      <c r="S171" s="182"/>
      <c r="T171" s="181"/>
      <c r="U171" s="181"/>
      <c r="V171" s="182"/>
      <c r="W171" s="182"/>
      <c r="X171" s="183"/>
      <c r="Y171" s="183"/>
      <c r="Z171" s="182"/>
      <c r="AA171" s="182"/>
      <c r="AB171" s="182"/>
      <c r="AC171" s="182"/>
      <c r="AD171" s="182"/>
      <c r="AE171" s="182"/>
      <c r="AF171" s="182"/>
      <c r="AG171" s="182"/>
    </row>
    <row r="172" ht="15.75" customHeight="1">
      <c r="G172" s="180"/>
      <c r="H172" s="180"/>
      <c r="K172" s="181"/>
      <c r="L172" s="181"/>
      <c r="M172" s="181"/>
      <c r="N172" s="182"/>
      <c r="O172" s="182"/>
      <c r="P172" s="181"/>
      <c r="Q172" s="181"/>
      <c r="R172" s="182"/>
      <c r="S172" s="182"/>
      <c r="T172" s="181"/>
      <c r="U172" s="181"/>
      <c r="V172" s="182"/>
      <c r="W172" s="182"/>
      <c r="X172" s="183"/>
      <c r="Y172" s="183"/>
      <c r="Z172" s="182"/>
      <c r="AA172" s="182"/>
      <c r="AB172" s="182"/>
      <c r="AC172" s="182"/>
      <c r="AD172" s="182"/>
      <c r="AE172" s="182"/>
      <c r="AF172" s="182"/>
      <c r="AG172" s="182"/>
    </row>
    <row r="173" ht="15.75" customHeight="1">
      <c r="G173" s="180"/>
      <c r="H173" s="180"/>
      <c r="K173" s="181"/>
      <c r="L173" s="181"/>
      <c r="M173" s="181"/>
      <c r="N173" s="182"/>
      <c r="O173" s="182"/>
      <c r="P173" s="181"/>
      <c r="Q173" s="181"/>
      <c r="R173" s="182"/>
      <c r="S173" s="182"/>
      <c r="T173" s="181"/>
      <c r="U173" s="181"/>
      <c r="V173" s="182"/>
      <c r="W173" s="182"/>
      <c r="X173" s="183"/>
      <c r="Y173" s="183"/>
      <c r="Z173" s="182"/>
      <c r="AA173" s="182"/>
      <c r="AB173" s="182"/>
      <c r="AC173" s="182"/>
      <c r="AD173" s="182"/>
      <c r="AE173" s="182"/>
      <c r="AF173" s="182"/>
      <c r="AG173" s="182"/>
    </row>
    <row r="174" ht="15.75" customHeight="1">
      <c r="G174" s="180"/>
      <c r="H174" s="180"/>
      <c r="K174" s="181"/>
      <c r="L174" s="181"/>
      <c r="M174" s="181"/>
      <c r="N174" s="182"/>
      <c r="O174" s="182"/>
      <c r="P174" s="181"/>
      <c r="Q174" s="181"/>
      <c r="R174" s="182"/>
      <c r="S174" s="182"/>
      <c r="T174" s="181"/>
      <c r="U174" s="181"/>
      <c r="V174" s="182"/>
      <c r="W174" s="182"/>
      <c r="X174" s="183"/>
      <c r="Y174" s="183"/>
      <c r="Z174" s="182"/>
      <c r="AA174" s="182"/>
      <c r="AB174" s="182"/>
      <c r="AC174" s="182"/>
      <c r="AD174" s="182"/>
      <c r="AE174" s="182"/>
      <c r="AF174" s="182"/>
      <c r="AG174" s="182"/>
    </row>
    <row r="175" ht="15.75" customHeight="1">
      <c r="G175" s="180"/>
      <c r="H175" s="180"/>
      <c r="K175" s="181"/>
      <c r="L175" s="181"/>
      <c r="M175" s="181"/>
      <c r="N175" s="182"/>
      <c r="O175" s="182"/>
      <c r="P175" s="181"/>
      <c r="Q175" s="181"/>
      <c r="R175" s="182"/>
      <c r="S175" s="182"/>
      <c r="T175" s="181"/>
      <c r="U175" s="181"/>
      <c r="V175" s="182"/>
      <c r="W175" s="182"/>
      <c r="X175" s="183"/>
      <c r="Y175" s="183"/>
      <c r="Z175" s="182"/>
      <c r="AA175" s="182"/>
      <c r="AB175" s="182"/>
      <c r="AC175" s="182"/>
      <c r="AD175" s="182"/>
      <c r="AE175" s="182"/>
      <c r="AF175" s="182"/>
      <c r="AG175" s="182"/>
    </row>
    <row r="176" ht="15.75" customHeight="1">
      <c r="G176" s="180"/>
      <c r="H176" s="180"/>
      <c r="K176" s="181"/>
      <c r="L176" s="181"/>
      <c r="M176" s="181"/>
      <c r="N176" s="182"/>
      <c r="O176" s="182"/>
      <c r="P176" s="181"/>
      <c r="Q176" s="181"/>
      <c r="R176" s="182"/>
      <c r="S176" s="182"/>
      <c r="T176" s="181"/>
      <c r="U176" s="181"/>
      <c r="V176" s="182"/>
      <c r="W176" s="182"/>
      <c r="X176" s="183"/>
      <c r="Y176" s="183"/>
      <c r="Z176" s="182"/>
      <c r="AA176" s="182"/>
      <c r="AB176" s="182"/>
      <c r="AC176" s="182"/>
      <c r="AD176" s="182"/>
      <c r="AE176" s="182"/>
      <c r="AF176" s="182"/>
      <c r="AG176" s="182"/>
    </row>
    <row r="177" ht="15.75" customHeight="1">
      <c r="G177" s="180"/>
      <c r="H177" s="180"/>
      <c r="K177" s="181"/>
      <c r="L177" s="181"/>
      <c r="M177" s="181"/>
      <c r="N177" s="182"/>
      <c r="O177" s="182"/>
      <c r="P177" s="181"/>
      <c r="Q177" s="181"/>
      <c r="R177" s="182"/>
      <c r="S177" s="182"/>
      <c r="T177" s="181"/>
      <c r="U177" s="181"/>
      <c r="V177" s="182"/>
      <c r="W177" s="182"/>
      <c r="X177" s="183"/>
      <c r="Y177" s="183"/>
      <c r="Z177" s="182"/>
      <c r="AA177" s="182"/>
      <c r="AB177" s="182"/>
      <c r="AC177" s="182"/>
      <c r="AD177" s="182"/>
      <c r="AE177" s="182"/>
      <c r="AF177" s="182"/>
      <c r="AG177" s="182"/>
    </row>
    <row r="178" ht="15.75" customHeight="1">
      <c r="G178" s="180"/>
      <c r="H178" s="180"/>
      <c r="K178" s="181"/>
      <c r="L178" s="181"/>
      <c r="M178" s="181"/>
      <c r="N178" s="182"/>
      <c r="O178" s="182"/>
      <c r="P178" s="181"/>
      <c r="Q178" s="181"/>
      <c r="R178" s="182"/>
      <c r="S178" s="182"/>
      <c r="T178" s="181"/>
      <c r="U178" s="181"/>
      <c r="V178" s="182"/>
      <c r="W178" s="182"/>
      <c r="X178" s="183"/>
      <c r="Y178" s="183"/>
      <c r="Z178" s="182"/>
      <c r="AA178" s="182"/>
      <c r="AB178" s="182"/>
      <c r="AC178" s="182"/>
      <c r="AD178" s="182"/>
      <c r="AE178" s="182"/>
      <c r="AF178" s="182"/>
      <c r="AG178" s="182"/>
    </row>
    <row r="179" ht="15.75" customHeight="1">
      <c r="G179" s="180"/>
      <c r="H179" s="180"/>
      <c r="K179" s="181"/>
      <c r="L179" s="181"/>
      <c r="M179" s="181"/>
      <c r="N179" s="182"/>
      <c r="O179" s="182"/>
      <c r="P179" s="181"/>
      <c r="Q179" s="181"/>
      <c r="R179" s="182"/>
      <c r="S179" s="182"/>
      <c r="T179" s="181"/>
      <c r="U179" s="181"/>
      <c r="V179" s="182"/>
      <c r="W179" s="182"/>
      <c r="X179" s="183"/>
      <c r="Y179" s="183"/>
      <c r="Z179" s="182"/>
      <c r="AA179" s="182"/>
      <c r="AB179" s="182"/>
      <c r="AC179" s="182"/>
      <c r="AD179" s="182"/>
      <c r="AE179" s="182"/>
      <c r="AF179" s="182"/>
      <c r="AG179" s="182"/>
    </row>
    <row r="180" ht="15.75" customHeight="1">
      <c r="G180" s="180"/>
      <c r="H180" s="180"/>
      <c r="K180" s="181"/>
      <c r="L180" s="181"/>
      <c r="M180" s="181"/>
      <c r="N180" s="182"/>
      <c r="O180" s="182"/>
      <c r="P180" s="181"/>
      <c r="Q180" s="181"/>
      <c r="R180" s="182"/>
      <c r="S180" s="182"/>
      <c r="T180" s="181"/>
      <c r="U180" s="181"/>
      <c r="V180" s="182"/>
      <c r="W180" s="182"/>
      <c r="X180" s="183"/>
      <c r="Y180" s="183"/>
      <c r="Z180" s="182"/>
      <c r="AA180" s="182"/>
      <c r="AB180" s="182"/>
      <c r="AC180" s="182"/>
      <c r="AD180" s="182"/>
      <c r="AE180" s="182"/>
      <c r="AF180" s="182"/>
      <c r="AG180" s="182"/>
    </row>
    <row r="181" ht="15.75" customHeight="1">
      <c r="G181" s="180"/>
      <c r="H181" s="180"/>
      <c r="K181" s="181"/>
      <c r="L181" s="181"/>
      <c r="M181" s="181"/>
      <c r="N181" s="182"/>
      <c r="O181" s="182"/>
      <c r="P181" s="181"/>
      <c r="Q181" s="181"/>
      <c r="R181" s="182"/>
      <c r="S181" s="182"/>
      <c r="T181" s="181"/>
      <c r="U181" s="181"/>
      <c r="V181" s="182"/>
      <c r="W181" s="182"/>
      <c r="X181" s="183"/>
      <c r="Y181" s="183"/>
      <c r="Z181" s="182"/>
      <c r="AA181" s="182"/>
      <c r="AB181" s="182"/>
      <c r="AC181" s="182"/>
      <c r="AD181" s="182"/>
      <c r="AE181" s="182"/>
      <c r="AF181" s="182"/>
      <c r="AG181" s="182"/>
    </row>
    <row r="182" ht="15.75" customHeight="1">
      <c r="G182" s="180"/>
      <c r="H182" s="180"/>
      <c r="K182" s="181"/>
      <c r="L182" s="181"/>
      <c r="M182" s="181"/>
      <c r="N182" s="182"/>
      <c r="O182" s="182"/>
      <c r="P182" s="181"/>
      <c r="Q182" s="181"/>
      <c r="R182" s="182"/>
      <c r="S182" s="182"/>
      <c r="T182" s="181"/>
      <c r="U182" s="181"/>
      <c r="V182" s="182"/>
      <c r="W182" s="182"/>
      <c r="X182" s="183"/>
      <c r="Y182" s="183"/>
      <c r="Z182" s="182"/>
      <c r="AA182" s="182"/>
      <c r="AB182" s="182"/>
      <c r="AC182" s="182"/>
      <c r="AD182" s="182"/>
      <c r="AE182" s="182"/>
      <c r="AF182" s="182"/>
      <c r="AG182" s="182"/>
    </row>
    <row r="183" ht="15.75" customHeight="1">
      <c r="G183" s="180"/>
      <c r="H183" s="180"/>
      <c r="K183" s="181"/>
      <c r="L183" s="181"/>
      <c r="M183" s="181"/>
      <c r="N183" s="182"/>
      <c r="O183" s="182"/>
      <c r="P183" s="181"/>
      <c r="Q183" s="181"/>
      <c r="R183" s="182"/>
      <c r="S183" s="182"/>
      <c r="T183" s="181"/>
      <c r="U183" s="181"/>
      <c r="V183" s="182"/>
      <c r="W183" s="182"/>
      <c r="X183" s="183"/>
      <c r="Y183" s="183"/>
      <c r="Z183" s="182"/>
      <c r="AA183" s="182"/>
      <c r="AB183" s="182"/>
      <c r="AC183" s="182"/>
      <c r="AD183" s="182"/>
      <c r="AE183" s="182"/>
      <c r="AF183" s="182"/>
      <c r="AG183" s="182"/>
    </row>
    <row r="184" ht="15.75" customHeight="1">
      <c r="G184" s="180"/>
      <c r="H184" s="180"/>
      <c r="K184" s="181"/>
      <c r="L184" s="181"/>
      <c r="M184" s="181"/>
      <c r="N184" s="182"/>
      <c r="O184" s="182"/>
      <c r="P184" s="181"/>
      <c r="Q184" s="181"/>
      <c r="R184" s="182"/>
      <c r="S184" s="182"/>
      <c r="T184" s="181"/>
      <c r="U184" s="181"/>
      <c r="V184" s="182"/>
      <c r="W184" s="182"/>
      <c r="X184" s="183"/>
      <c r="Y184" s="183"/>
      <c r="Z184" s="182"/>
      <c r="AA184" s="182"/>
      <c r="AB184" s="182"/>
      <c r="AC184" s="182"/>
      <c r="AD184" s="182"/>
      <c r="AE184" s="182"/>
      <c r="AF184" s="182"/>
      <c r="AG184" s="182"/>
    </row>
    <row r="185" ht="15.75" customHeight="1">
      <c r="G185" s="180"/>
      <c r="H185" s="180"/>
      <c r="K185" s="181"/>
      <c r="L185" s="181"/>
      <c r="M185" s="181"/>
      <c r="N185" s="182"/>
      <c r="O185" s="182"/>
      <c r="P185" s="181"/>
      <c r="Q185" s="181"/>
      <c r="R185" s="182"/>
      <c r="S185" s="182"/>
      <c r="T185" s="181"/>
      <c r="U185" s="181"/>
      <c r="V185" s="182"/>
      <c r="W185" s="182"/>
      <c r="X185" s="183"/>
      <c r="Y185" s="183"/>
      <c r="Z185" s="182"/>
      <c r="AA185" s="182"/>
      <c r="AB185" s="182"/>
      <c r="AC185" s="182"/>
      <c r="AD185" s="182"/>
      <c r="AE185" s="182"/>
      <c r="AF185" s="182"/>
      <c r="AG185" s="182"/>
    </row>
    <row r="186" ht="15.75" customHeight="1">
      <c r="G186" s="180"/>
      <c r="H186" s="180"/>
      <c r="K186" s="181"/>
      <c r="L186" s="181"/>
      <c r="M186" s="181"/>
      <c r="N186" s="182"/>
      <c r="O186" s="182"/>
      <c r="P186" s="181"/>
      <c r="Q186" s="181"/>
      <c r="R186" s="182"/>
      <c r="S186" s="182"/>
      <c r="T186" s="181"/>
      <c r="U186" s="181"/>
      <c r="V186" s="182"/>
      <c r="W186" s="182"/>
      <c r="X186" s="183"/>
      <c r="Y186" s="183"/>
      <c r="Z186" s="182"/>
      <c r="AA186" s="182"/>
      <c r="AB186" s="182"/>
      <c r="AC186" s="182"/>
      <c r="AD186" s="182"/>
      <c r="AE186" s="182"/>
      <c r="AF186" s="182"/>
      <c r="AG186" s="182"/>
    </row>
    <row r="187" ht="15.75" customHeight="1">
      <c r="G187" s="180"/>
      <c r="H187" s="180"/>
      <c r="K187" s="181"/>
      <c r="L187" s="181"/>
      <c r="M187" s="181"/>
      <c r="N187" s="182"/>
      <c r="O187" s="182"/>
      <c r="P187" s="181"/>
      <c r="Q187" s="181"/>
      <c r="R187" s="182"/>
      <c r="S187" s="182"/>
      <c r="T187" s="181"/>
      <c r="U187" s="181"/>
      <c r="V187" s="182"/>
      <c r="W187" s="182"/>
      <c r="X187" s="183"/>
      <c r="Y187" s="183"/>
      <c r="Z187" s="182"/>
      <c r="AA187" s="182"/>
      <c r="AB187" s="182"/>
      <c r="AC187" s="182"/>
      <c r="AD187" s="182"/>
      <c r="AE187" s="182"/>
      <c r="AF187" s="182"/>
      <c r="AG187" s="182"/>
    </row>
    <row r="188" ht="15.75" customHeight="1">
      <c r="G188" s="180"/>
      <c r="H188" s="180"/>
      <c r="K188" s="181"/>
      <c r="L188" s="181"/>
      <c r="M188" s="181"/>
      <c r="N188" s="182"/>
      <c r="O188" s="182"/>
      <c r="P188" s="181"/>
      <c r="Q188" s="181"/>
      <c r="R188" s="182"/>
      <c r="S188" s="182"/>
      <c r="T188" s="181"/>
      <c r="U188" s="181"/>
      <c r="V188" s="182"/>
      <c r="W188" s="182"/>
      <c r="X188" s="183"/>
      <c r="Y188" s="183"/>
      <c r="Z188" s="182"/>
      <c r="AA188" s="182"/>
      <c r="AB188" s="182"/>
      <c r="AC188" s="182"/>
      <c r="AD188" s="182"/>
      <c r="AE188" s="182"/>
      <c r="AF188" s="182"/>
      <c r="AG188" s="182"/>
    </row>
    <row r="189" ht="15.75" customHeight="1">
      <c r="G189" s="180"/>
      <c r="H189" s="180"/>
      <c r="K189" s="181"/>
      <c r="L189" s="181"/>
      <c r="M189" s="181"/>
      <c r="N189" s="182"/>
      <c r="O189" s="182"/>
      <c r="P189" s="181"/>
      <c r="Q189" s="181"/>
      <c r="R189" s="182"/>
      <c r="S189" s="182"/>
      <c r="T189" s="181"/>
      <c r="U189" s="181"/>
      <c r="V189" s="182"/>
      <c r="W189" s="182"/>
      <c r="X189" s="183"/>
      <c r="Y189" s="183"/>
      <c r="Z189" s="182"/>
      <c r="AA189" s="182"/>
      <c r="AB189" s="182"/>
      <c r="AC189" s="182"/>
      <c r="AD189" s="182"/>
      <c r="AE189" s="182"/>
      <c r="AF189" s="182"/>
      <c r="AG189" s="182"/>
    </row>
    <row r="190" ht="15.75" customHeight="1">
      <c r="G190" s="180"/>
      <c r="H190" s="180"/>
      <c r="K190" s="181"/>
      <c r="L190" s="181"/>
      <c r="M190" s="181"/>
      <c r="N190" s="182"/>
      <c r="O190" s="182"/>
      <c r="P190" s="181"/>
      <c r="Q190" s="181"/>
      <c r="R190" s="182"/>
      <c r="S190" s="182"/>
      <c r="T190" s="181"/>
      <c r="U190" s="181"/>
      <c r="V190" s="182"/>
      <c r="W190" s="182"/>
      <c r="X190" s="183"/>
      <c r="Y190" s="183"/>
      <c r="Z190" s="182"/>
      <c r="AA190" s="182"/>
      <c r="AB190" s="182"/>
      <c r="AC190" s="182"/>
      <c r="AD190" s="182"/>
      <c r="AE190" s="182"/>
      <c r="AF190" s="182"/>
      <c r="AG190" s="182"/>
    </row>
    <row r="191" ht="15.75" customHeight="1">
      <c r="G191" s="180"/>
      <c r="H191" s="180"/>
      <c r="K191" s="181"/>
      <c r="L191" s="181"/>
      <c r="M191" s="181"/>
      <c r="N191" s="182"/>
      <c r="O191" s="182"/>
      <c r="P191" s="181"/>
      <c r="Q191" s="181"/>
      <c r="R191" s="182"/>
      <c r="S191" s="182"/>
      <c r="T191" s="181"/>
      <c r="U191" s="181"/>
      <c r="V191" s="182"/>
      <c r="W191" s="182"/>
      <c r="X191" s="183"/>
      <c r="Y191" s="183"/>
      <c r="Z191" s="182"/>
      <c r="AA191" s="182"/>
      <c r="AB191" s="182"/>
      <c r="AC191" s="182"/>
      <c r="AD191" s="182"/>
      <c r="AE191" s="182"/>
      <c r="AF191" s="182"/>
      <c r="AG191" s="182"/>
    </row>
    <row r="192" ht="15.75" customHeight="1">
      <c r="G192" s="180"/>
      <c r="H192" s="180"/>
      <c r="K192" s="181"/>
      <c r="L192" s="181"/>
      <c r="M192" s="181"/>
      <c r="N192" s="182"/>
      <c r="O192" s="182"/>
      <c r="P192" s="181"/>
      <c r="Q192" s="181"/>
      <c r="R192" s="182"/>
      <c r="S192" s="182"/>
      <c r="T192" s="181"/>
      <c r="U192" s="181"/>
      <c r="V192" s="182"/>
      <c r="W192" s="182"/>
      <c r="X192" s="183"/>
      <c r="Y192" s="183"/>
      <c r="Z192" s="182"/>
      <c r="AA192" s="182"/>
      <c r="AB192" s="182"/>
      <c r="AC192" s="182"/>
      <c r="AD192" s="182"/>
      <c r="AE192" s="182"/>
      <c r="AF192" s="182"/>
      <c r="AG192" s="182"/>
    </row>
    <row r="193" ht="15.75" customHeight="1">
      <c r="G193" s="180"/>
      <c r="H193" s="180"/>
      <c r="K193" s="181"/>
      <c r="L193" s="181"/>
      <c r="M193" s="181"/>
      <c r="N193" s="182"/>
      <c r="O193" s="182"/>
      <c r="P193" s="181"/>
      <c r="Q193" s="181"/>
      <c r="R193" s="182"/>
      <c r="S193" s="182"/>
      <c r="T193" s="181"/>
      <c r="U193" s="181"/>
      <c r="V193" s="182"/>
      <c r="W193" s="182"/>
      <c r="X193" s="183"/>
      <c r="Y193" s="183"/>
      <c r="Z193" s="182"/>
      <c r="AA193" s="182"/>
      <c r="AB193" s="182"/>
      <c r="AC193" s="182"/>
      <c r="AD193" s="182"/>
      <c r="AE193" s="182"/>
      <c r="AF193" s="182"/>
      <c r="AG193" s="182"/>
    </row>
    <row r="194" ht="15.75" customHeight="1">
      <c r="G194" s="180"/>
      <c r="H194" s="180"/>
      <c r="K194" s="181"/>
      <c r="L194" s="181"/>
      <c r="M194" s="181"/>
      <c r="N194" s="182"/>
      <c r="O194" s="182"/>
      <c r="P194" s="181"/>
      <c r="Q194" s="181"/>
      <c r="R194" s="182"/>
      <c r="S194" s="182"/>
      <c r="T194" s="181"/>
      <c r="U194" s="181"/>
      <c r="V194" s="182"/>
      <c r="W194" s="182"/>
      <c r="X194" s="183"/>
      <c r="Y194" s="183"/>
      <c r="Z194" s="182"/>
      <c r="AA194" s="182"/>
      <c r="AB194" s="182"/>
      <c r="AC194" s="182"/>
      <c r="AD194" s="182"/>
      <c r="AE194" s="182"/>
      <c r="AF194" s="182"/>
      <c r="AG194" s="182"/>
    </row>
    <row r="195" ht="15.75" customHeight="1">
      <c r="G195" s="180"/>
      <c r="H195" s="180"/>
      <c r="K195" s="181"/>
      <c r="L195" s="181"/>
      <c r="M195" s="181"/>
      <c r="N195" s="182"/>
      <c r="O195" s="182"/>
      <c r="P195" s="181"/>
      <c r="Q195" s="181"/>
      <c r="R195" s="182"/>
      <c r="S195" s="182"/>
      <c r="T195" s="181"/>
      <c r="U195" s="181"/>
      <c r="V195" s="182"/>
      <c r="W195" s="182"/>
      <c r="X195" s="183"/>
      <c r="Y195" s="183"/>
      <c r="Z195" s="182"/>
      <c r="AA195" s="182"/>
      <c r="AB195" s="182"/>
      <c r="AC195" s="182"/>
      <c r="AD195" s="182"/>
      <c r="AE195" s="182"/>
      <c r="AF195" s="182"/>
      <c r="AG195" s="182"/>
    </row>
    <row r="196" ht="15.75" customHeight="1">
      <c r="G196" s="180"/>
      <c r="H196" s="180"/>
      <c r="K196" s="181"/>
      <c r="L196" s="181"/>
      <c r="M196" s="181"/>
      <c r="N196" s="182"/>
      <c r="O196" s="182"/>
      <c r="P196" s="181"/>
      <c r="Q196" s="181"/>
      <c r="R196" s="182"/>
      <c r="S196" s="182"/>
      <c r="T196" s="181"/>
      <c r="U196" s="181"/>
      <c r="V196" s="182"/>
      <c r="W196" s="182"/>
      <c r="X196" s="183"/>
      <c r="Y196" s="183"/>
      <c r="Z196" s="182"/>
      <c r="AA196" s="182"/>
      <c r="AB196" s="182"/>
      <c r="AC196" s="182"/>
      <c r="AD196" s="182"/>
      <c r="AE196" s="182"/>
      <c r="AF196" s="182"/>
      <c r="AG196" s="182"/>
    </row>
    <row r="197" ht="15.75" customHeight="1">
      <c r="G197" s="180"/>
      <c r="H197" s="180"/>
      <c r="K197" s="181"/>
      <c r="L197" s="181"/>
      <c r="M197" s="181"/>
      <c r="N197" s="182"/>
      <c r="O197" s="182"/>
      <c r="P197" s="181"/>
      <c r="Q197" s="181"/>
      <c r="R197" s="182"/>
      <c r="S197" s="182"/>
      <c r="T197" s="181"/>
      <c r="U197" s="181"/>
      <c r="V197" s="182"/>
      <c r="W197" s="182"/>
      <c r="X197" s="183"/>
      <c r="Y197" s="183"/>
      <c r="Z197" s="182"/>
      <c r="AA197" s="182"/>
      <c r="AB197" s="182"/>
      <c r="AC197" s="182"/>
      <c r="AD197" s="182"/>
      <c r="AE197" s="182"/>
      <c r="AF197" s="182"/>
      <c r="AG197" s="182"/>
    </row>
    <row r="198" ht="15.75" customHeight="1">
      <c r="G198" s="180"/>
      <c r="H198" s="180"/>
      <c r="K198" s="181"/>
      <c r="L198" s="181"/>
      <c r="M198" s="181"/>
      <c r="N198" s="182"/>
      <c r="O198" s="182"/>
      <c r="P198" s="181"/>
      <c r="Q198" s="181"/>
      <c r="R198" s="182"/>
      <c r="S198" s="182"/>
      <c r="T198" s="181"/>
      <c r="U198" s="181"/>
      <c r="V198" s="182"/>
      <c r="W198" s="182"/>
      <c r="X198" s="183"/>
      <c r="Y198" s="183"/>
      <c r="Z198" s="182"/>
      <c r="AA198" s="182"/>
      <c r="AB198" s="182"/>
      <c r="AC198" s="182"/>
      <c r="AD198" s="182"/>
      <c r="AE198" s="182"/>
      <c r="AF198" s="182"/>
      <c r="AG198" s="182"/>
    </row>
    <row r="199" ht="15.75" customHeight="1">
      <c r="G199" s="180"/>
      <c r="H199" s="180"/>
      <c r="K199" s="181"/>
      <c r="L199" s="181"/>
      <c r="M199" s="181"/>
      <c r="N199" s="182"/>
      <c r="O199" s="182"/>
      <c r="P199" s="181"/>
      <c r="Q199" s="181"/>
      <c r="R199" s="182"/>
      <c r="S199" s="182"/>
      <c r="T199" s="181"/>
      <c r="U199" s="181"/>
      <c r="V199" s="182"/>
      <c r="W199" s="182"/>
      <c r="X199" s="183"/>
      <c r="Y199" s="183"/>
      <c r="Z199" s="182"/>
      <c r="AA199" s="182"/>
      <c r="AB199" s="182"/>
      <c r="AC199" s="182"/>
      <c r="AD199" s="182"/>
      <c r="AE199" s="182"/>
      <c r="AF199" s="182"/>
      <c r="AG199" s="182"/>
    </row>
    <row r="200" ht="15.75" customHeight="1">
      <c r="G200" s="180"/>
      <c r="H200" s="180"/>
      <c r="K200" s="181"/>
      <c r="L200" s="181"/>
      <c r="M200" s="181"/>
      <c r="N200" s="182"/>
      <c r="O200" s="182"/>
      <c r="P200" s="181"/>
      <c r="Q200" s="181"/>
      <c r="R200" s="182"/>
      <c r="S200" s="182"/>
      <c r="T200" s="181"/>
      <c r="U200" s="181"/>
      <c r="V200" s="182"/>
      <c r="W200" s="182"/>
      <c r="X200" s="183"/>
      <c r="Y200" s="183"/>
      <c r="Z200" s="182"/>
      <c r="AA200" s="182"/>
      <c r="AB200" s="182"/>
      <c r="AC200" s="182"/>
      <c r="AD200" s="182"/>
      <c r="AE200" s="182"/>
      <c r="AF200" s="182"/>
      <c r="AG200" s="182"/>
    </row>
    <row r="201" ht="15.75" customHeight="1">
      <c r="G201" s="180"/>
      <c r="H201" s="180"/>
      <c r="K201" s="181"/>
      <c r="L201" s="181"/>
      <c r="M201" s="181"/>
      <c r="N201" s="182"/>
      <c r="O201" s="182"/>
      <c r="P201" s="181"/>
      <c r="Q201" s="181"/>
      <c r="R201" s="182"/>
      <c r="S201" s="182"/>
      <c r="T201" s="181"/>
      <c r="U201" s="181"/>
      <c r="V201" s="182"/>
      <c r="W201" s="182"/>
      <c r="X201" s="183"/>
      <c r="Y201" s="183"/>
      <c r="Z201" s="182"/>
      <c r="AA201" s="182"/>
      <c r="AB201" s="182"/>
      <c r="AC201" s="182"/>
      <c r="AD201" s="182"/>
      <c r="AE201" s="182"/>
      <c r="AF201" s="182"/>
      <c r="AG201" s="182"/>
    </row>
    <row r="202" ht="15.75" customHeight="1">
      <c r="G202" s="180"/>
      <c r="H202" s="180"/>
      <c r="K202" s="181"/>
      <c r="L202" s="181"/>
      <c r="M202" s="181"/>
      <c r="N202" s="182"/>
      <c r="O202" s="182"/>
      <c r="P202" s="181"/>
      <c r="Q202" s="181"/>
      <c r="R202" s="182"/>
      <c r="S202" s="182"/>
      <c r="T202" s="181"/>
      <c r="U202" s="181"/>
      <c r="V202" s="182"/>
      <c r="W202" s="182"/>
      <c r="X202" s="183"/>
      <c r="Y202" s="183"/>
      <c r="Z202" s="182"/>
      <c r="AA202" s="182"/>
      <c r="AB202" s="182"/>
      <c r="AC202" s="182"/>
      <c r="AD202" s="182"/>
      <c r="AE202" s="182"/>
      <c r="AF202" s="182"/>
      <c r="AG202" s="182"/>
    </row>
    <row r="203" ht="15.75" customHeight="1">
      <c r="G203" s="180"/>
      <c r="H203" s="180"/>
      <c r="K203" s="181"/>
      <c r="L203" s="181"/>
      <c r="M203" s="181"/>
      <c r="N203" s="182"/>
      <c r="O203" s="182"/>
      <c r="P203" s="181"/>
      <c r="Q203" s="181"/>
      <c r="R203" s="182"/>
      <c r="S203" s="182"/>
      <c r="T203" s="181"/>
      <c r="U203" s="181"/>
      <c r="V203" s="182"/>
      <c r="W203" s="182"/>
      <c r="X203" s="183"/>
      <c r="Y203" s="183"/>
      <c r="Z203" s="182"/>
      <c r="AA203" s="182"/>
      <c r="AB203" s="182"/>
      <c r="AC203" s="182"/>
      <c r="AD203" s="182"/>
      <c r="AE203" s="182"/>
      <c r="AF203" s="182"/>
      <c r="AG203" s="182"/>
    </row>
    <row r="204" ht="15.75" customHeight="1">
      <c r="G204" s="180"/>
      <c r="H204" s="180"/>
      <c r="K204" s="181"/>
      <c r="L204" s="181"/>
      <c r="M204" s="181"/>
      <c r="N204" s="182"/>
      <c r="O204" s="182"/>
      <c r="P204" s="181"/>
      <c r="Q204" s="181"/>
      <c r="R204" s="182"/>
      <c r="S204" s="182"/>
      <c r="T204" s="181"/>
      <c r="U204" s="181"/>
      <c r="V204" s="182"/>
      <c r="W204" s="182"/>
      <c r="X204" s="183"/>
      <c r="Y204" s="183"/>
      <c r="Z204" s="182"/>
      <c r="AA204" s="182"/>
      <c r="AB204" s="182"/>
      <c r="AC204" s="182"/>
      <c r="AD204" s="182"/>
      <c r="AE204" s="182"/>
      <c r="AF204" s="182"/>
      <c r="AG204" s="182"/>
    </row>
    <row r="205" ht="15.75" customHeight="1">
      <c r="G205" s="180"/>
      <c r="H205" s="180"/>
      <c r="K205" s="181"/>
      <c r="L205" s="181"/>
      <c r="M205" s="181"/>
      <c r="N205" s="182"/>
      <c r="O205" s="182"/>
      <c r="P205" s="181"/>
      <c r="Q205" s="181"/>
      <c r="R205" s="182"/>
      <c r="S205" s="182"/>
      <c r="T205" s="181"/>
      <c r="U205" s="181"/>
      <c r="V205" s="182"/>
      <c r="W205" s="182"/>
      <c r="X205" s="183"/>
      <c r="Y205" s="183"/>
      <c r="Z205" s="182"/>
      <c r="AA205" s="182"/>
      <c r="AB205" s="182"/>
      <c r="AC205" s="182"/>
      <c r="AD205" s="182"/>
      <c r="AE205" s="182"/>
      <c r="AF205" s="182"/>
      <c r="AG205" s="182"/>
    </row>
    <row r="206" ht="15.75" customHeight="1">
      <c r="G206" s="180"/>
      <c r="H206" s="180"/>
      <c r="K206" s="181"/>
      <c r="L206" s="181"/>
      <c r="M206" s="181"/>
      <c r="N206" s="182"/>
      <c r="O206" s="182"/>
      <c r="P206" s="181"/>
      <c r="Q206" s="181"/>
      <c r="R206" s="182"/>
      <c r="S206" s="182"/>
      <c r="T206" s="181"/>
      <c r="U206" s="181"/>
      <c r="V206" s="182"/>
      <c r="W206" s="182"/>
      <c r="X206" s="183"/>
      <c r="Y206" s="183"/>
      <c r="Z206" s="182"/>
      <c r="AA206" s="182"/>
      <c r="AB206" s="182"/>
      <c r="AC206" s="182"/>
      <c r="AD206" s="182"/>
      <c r="AE206" s="182"/>
      <c r="AF206" s="182"/>
      <c r="AG206" s="182"/>
    </row>
    <row r="207" ht="15.75" customHeight="1">
      <c r="G207" s="180"/>
      <c r="H207" s="180"/>
      <c r="K207" s="181"/>
      <c r="L207" s="181"/>
      <c r="M207" s="181"/>
      <c r="N207" s="182"/>
      <c r="O207" s="182"/>
      <c r="P207" s="181"/>
      <c r="Q207" s="181"/>
      <c r="R207" s="182"/>
      <c r="S207" s="182"/>
      <c r="T207" s="181"/>
      <c r="U207" s="181"/>
      <c r="V207" s="182"/>
      <c r="W207" s="182"/>
      <c r="X207" s="183"/>
      <c r="Y207" s="183"/>
      <c r="Z207" s="182"/>
      <c r="AA207" s="182"/>
      <c r="AB207" s="182"/>
      <c r="AC207" s="182"/>
      <c r="AD207" s="182"/>
      <c r="AE207" s="182"/>
      <c r="AF207" s="182"/>
      <c r="AG207" s="182"/>
    </row>
    <row r="208" ht="15.75" customHeight="1">
      <c r="G208" s="180"/>
      <c r="H208" s="180"/>
      <c r="K208" s="181"/>
      <c r="L208" s="181"/>
      <c r="M208" s="181"/>
      <c r="N208" s="182"/>
      <c r="O208" s="182"/>
      <c r="P208" s="181"/>
      <c r="Q208" s="181"/>
      <c r="R208" s="182"/>
      <c r="S208" s="182"/>
      <c r="T208" s="181"/>
      <c r="U208" s="181"/>
      <c r="V208" s="182"/>
      <c r="W208" s="182"/>
      <c r="X208" s="183"/>
      <c r="Y208" s="183"/>
      <c r="Z208" s="182"/>
      <c r="AA208" s="182"/>
      <c r="AB208" s="182"/>
      <c r="AC208" s="182"/>
      <c r="AD208" s="182"/>
      <c r="AE208" s="182"/>
      <c r="AF208" s="182"/>
      <c r="AG208" s="182"/>
    </row>
    <row r="209" ht="15.75" customHeight="1">
      <c r="G209" s="180"/>
      <c r="H209" s="180"/>
      <c r="K209" s="181"/>
      <c r="L209" s="181"/>
      <c r="M209" s="181"/>
      <c r="N209" s="182"/>
      <c r="O209" s="182"/>
      <c r="P209" s="181"/>
      <c r="Q209" s="181"/>
      <c r="R209" s="182"/>
      <c r="S209" s="182"/>
      <c r="T209" s="181"/>
      <c r="U209" s="181"/>
      <c r="V209" s="182"/>
      <c r="W209" s="182"/>
      <c r="X209" s="183"/>
      <c r="Y209" s="183"/>
      <c r="Z209" s="182"/>
      <c r="AA209" s="182"/>
      <c r="AB209" s="182"/>
      <c r="AC209" s="182"/>
      <c r="AD209" s="182"/>
      <c r="AE209" s="182"/>
      <c r="AF209" s="182"/>
      <c r="AG209" s="182"/>
    </row>
    <row r="210" ht="15.75" customHeight="1">
      <c r="G210" s="180"/>
      <c r="H210" s="180"/>
      <c r="K210" s="181"/>
      <c r="L210" s="181"/>
      <c r="M210" s="181"/>
      <c r="N210" s="182"/>
      <c r="O210" s="182"/>
      <c r="P210" s="181"/>
      <c r="Q210" s="181"/>
      <c r="R210" s="182"/>
      <c r="S210" s="182"/>
      <c r="T210" s="181"/>
      <c r="U210" s="181"/>
      <c r="V210" s="182"/>
      <c r="W210" s="182"/>
      <c r="X210" s="183"/>
      <c r="Y210" s="183"/>
      <c r="Z210" s="182"/>
      <c r="AA210" s="182"/>
      <c r="AB210" s="182"/>
      <c r="AC210" s="182"/>
      <c r="AD210" s="182"/>
      <c r="AE210" s="182"/>
      <c r="AF210" s="182"/>
      <c r="AG210" s="182"/>
    </row>
    <row r="211" ht="15.75" customHeight="1">
      <c r="G211" s="180"/>
      <c r="H211" s="180"/>
      <c r="K211" s="181"/>
      <c r="L211" s="181"/>
      <c r="M211" s="181"/>
      <c r="N211" s="182"/>
      <c r="O211" s="182"/>
      <c r="P211" s="181"/>
      <c r="Q211" s="181"/>
      <c r="R211" s="182"/>
      <c r="S211" s="182"/>
      <c r="T211" s="181"/>
      <c r="U211" s="181"/>
      <c r="V211" s="182"/>
      <c r="W211" s="182"/>
      <c r="X211" s="183"/>
      <c r="Y211" s="183"/>
      <c r="Z211" s="182"/>
      <c r="AA211" s="182"/>
      <c r="AB211" s="182"/>
      <c r="AC211" s="182"/>
      <c r="AD211" s="182"/>
      <c r="AE211" s="182"/>
      <c r="AF211" s="182"/>
      <c r="AG211" s="182"/>
    </row>
    <row r="212" ht="15.75" customHeight="1">
      <c r="G212" s="180"/>
      <c r="H212" s="180"/>
      <c r="K212" s="181"/>
      <c r="L212" s="181"/>
      <c r="M212" s="181"/>
      <c r="N212" s="182"/>
      <c r="O212" s="182"/>
      <c r="P212" s="181"/>
      <c r="Q212" s="181"/>
      <c r="R212" s="182"/>
      <c r="S212" s="182"/>
      <c r="T212" s="181"/>
      <c r="U212" s="181"/>
      <c r="V212" s="182"/>
      <c r="W212" s="182"/>
      <c r="X212" s="183"/>
      <c r="Y212" s="183"/>
      <c r="Z212" s="182"/>
      <c r="AA212" s="182"/>
      <c r="AB212" s="182"/>
      <c r="AC212" s="182"/>
      <c r="AD212" s="182"/>
      <c r="AE212" s="182"/>
      <c r="AF212" s="182"/>
      <c r="AG212" s="182"/>
    </row>
    <row r="213" ht="15.75" customHeight="1">
      <c r="G213" s="180"/>
      <c r="H213" s="180"/>
      <c r="K213" s="181"/>
      <c r="L213" s="181"/>
      <c r="M213" s="181"/>
      <c r="N213" s="182"/>
      <c r="O213" s="182"/>
      <c r="P213" s="181"/>
      <c r="Q213" s="181"/>
      <c r="R213" s="182"/>
      <c r="S213" s="182"/>
      <c r="T213" s="181"/>
      <c r="U213" s="181"/>
      <c r="V213" s="182"/>
      <c r="W213" s="182"/>
      <c r="X213" s="183"/>
      <c r="Y213" s="183"/>
      <c r="Z213" s="182"/>
      <c r="AA213" s="182"/>
      <c r="AB213" s="182"/>
      <c r="AC213" s="182"/>
      <c r="AD213" s="182"/>
      <c r="AE213" s="182"/>
      <c r="AF213" s="182"/>
      <c r="AG213" s="182"/>
    </row>
    <row r="214" ht="15.75" customHeight="1">
      <c r="G214" s="180"/>
      <c r="H214" s="180"/>
      <c r="K214" s="181"/>
      <c r="L214" s="181"/>
      <c r="M214" s="181"/>
      <c r="N214" s="182"/>
      <c r="O214" s="182"/>
      <c r="P214" s="181"/>
      <c r="Q214" s="181"/>
      <c r="R214" s="182"/>
      <c r="S214" s="182"/>
      <c r="T214" s="181"/>
      <c r="U214" s="181"/>
      <c r="V214" s="182"/>
      <c r="W214" s="182"/>
      <c r="X214" s="183"/>
      <c r="Y214" s="183"/>
      <c r="Z214" s="182"/>
      <c r="AA214" s="182"/>
      <c r="AB214" s="182"/>
      <c r="AC214" s="182"/>
      <c r="AD214" s="182"/>
      <c r="AE214" s="182"/>
      <c r="AF214" s="182"/>
      <c r="AG214" s="182"/>
    </row>
    <row r="215" ht="15.75" customHeight="1">
      <c r="G215" s="180"/>
      <c r="H215" s="180"/>
      <c r="K215" s="181"/>
      <c r="L215" s="181"/>
      <c r="M215" s="181"/>
      <c r="N215" s="182"/>
      <c r="O215" s="182"/>
      <c r="P215" s="181"/>
      <c r="Q215" s="181"/>
      <c r="R215" s="182"/>
      <c r="S215" s="182"/>
      <c r="T215" s="181"/>
      <c r="U215" s="181"/>
      <c r="V215" s="182"/>
      <c r="W215" s="182"/>
      <c r="X215" s="183"/>
      <c r="Y215" s="183"/>
      <c r="Z215" s="182"/>
      <c r="AA215" s="182"/>
      <c r="AB215" s="182"/>
      <c r="AC215" s="182"/>
      <c r="AD215" s="182"/>
      <c r="AE215" s="182"/>
      <c r="AF215" s="182"/>
      <c r="AG215" s="182"/>
    </row>
    <row r="216" ht="15.75" customHeight="1">
      <c r="G216" s="180"/>
      <c r="H216" s="180"/>
      <c r="K216" s="181"/>
      <c r="L216" s="181"/>
      <c r="M216" s="181"/>
      <c r="N216" s="182"/>
      <c r="O216" s="182"/>
      <c r="P216" s="181"/>
      <c r="Q216" s="181"/>
      <c r="R216" s="182"/>
      <c r="S216" s="182"/>
      <c r="T216" s="181"/>
      <c r="U216" s="181"/>
      <c r="V216" s="182"/>
      <c r="W216" s="182"/>
      <c r="X216" s="183"/>
      <c r="Y216" s="183"/>
      <c r="Z216" s="182"/>
      <c r="AA216" s="182"/>
      <c r="AB216" s="182"/>
      <c r="AC216" s="182"/>
      <c r="AD216" s="182"/>
      <c r="AE216" s="182"/>
      <c r="AF216" s="182"/>
      <c r="AG216" s="182"/>
    </row>
    <row r="217" ht="15.75" customHeight="1">
      <c r="G217" s="180"/>
      <c r="H217" s="180"/>
      <c r="K217" s="181"/>
      <c r="L217" s="181"/>
      <c r="M217" s="181"/>
      <c r="N217" s="182"/>
      <c r="O217" s="182"/>
      <c r="P217" s="181"/>
      <c r="Q217" s="181"/>
      <c r="R217" s="182"/>
      <c r="S217" s="182"/>
      <c r="T217" s="181"/>
      <c r="U217" s="181"/>
      <c r="V217" s="182"/>
      <c r="W217" s="182"/>
      <c r="X217" s="183"/>
      <c r="Y217" s="183"/>
      <c r="Z217" s="182"/>
      <c r="AA217" s="182"/>
      <c r="AB217" s="182"/>
      <c r="AC217" s="182"/>
      <c r="AD217" s="182"/>
      <c r="AE217" s="182"/>
      <c r="AF217" s="182"/>
      <c r="AG217" s="182"/>
    </row>
    <row r="218" ht="15.75" customHeight="1">
      <c r="G218" s="180"/>
      <c r="H218" s="180"/>
      <c r="K218" s="181"/>
      <c r="L218" s="181"/>
      <c r="M218" s="181"/>
      <c r="N218" s="182"/>
      <c r="O218" s="182"/>
      <c r="P218" s="181"/>
      <c r="Q218" s="181"/>
      <c r="R218" s="182"/>
      <c r="S218" s="182"/>
      <c r="T218" s="181"/>
      <c r="U218" s="181"/>
      <c r="V218" s="182"/>
      <c r="W218" s="182"/>
      <c r="X218" s="183"/>
      <c r="Y218" s="183"/>
      <c r="Z218" s="182"/>
      <c r="AA218" s="182"/>
      <c r="AB218" s="182"/>
      <c r="AC218" s="182"/>
      <c r="AD218" s="182"/>
      <c r="AE218" s="182"/>
      <c r="AF218" s="182"/>
      <c r="AG218" s="182"/>
    </row>
    <row r="219" ht="15.75" customHeight="1">
      <c r="G219" s="180"/>
      <c r="H219" s="180"/>
      <c r="K219" s="181"/>
      <c r="L219" s="181"/>
      <c r="M219" s="181"/>
      <c r="N219" s="182"/>
      <c r="O219" s="182"/>
      <c r="P219" s="181"/>
      <c r="Q219" s="181"/>
      <c r="R219" s="182"/>
      <c r="S219" s="182"/>
      <c r="T219" s="181"/>
      <c r="U219" s="181"/>
      <c r="V219" s="182"/>
      <c r="W219" s="182"/>
      <c r="X219" s="183"/>
      <c r="Y219" s="183"/>
      <c r="Z219" s="182"/>
      <c r="AA219" s="182"/>
      <c r="AB219" s="182"/>
      <c r="AC219" s="182"/>
      <c r="AD219" s="182"/>
      <c r="AE219" s="182"/>
      <c r="AF219" s="182"/>
      <c r="AG219" s="182"/>
    </row>
    <row r="220" ht="15.75" customHeight="1">
      <c r="G220" s="180"/>
      <c r="H220" s="180"/>
      <c r="K220" s="181"/>
      <c r="L220" s="181"/>
      <c r="M220" s="181"/>
      <c r="N220" s="182"/>
      <c r="O220" s="182"/>
      <c r="P220" s="181"/>
      <c r="Q220" s="181"/>
      <c r="R220" s="182"/>
      <c r="S220" s="182"/>
      <c r="T220" s="181"/>
      <c r="U220" s="181"/>
      <c r="V220" s="182"/>
      <c r="W220" s="182"/>
      <c r="X220" s="183"/>
      <c r="Y220" s="183"/>
      <c r="Z220" s="182"/>
      <c r="AA220" s="182"/>
      <c r="AB220" s="182"/>
      <c r="AC220" s="182"/>
      <c r="AD220" s="182"/>
      <c r="AE220" s="182"/>
      <c r="AF220" s="182"/>
      <c r="AG220" s="182"/>
    </row>
    <row r="221" ht="15.75" customHeight="1">
      <c r="G221" s="180"/>
      <c r="H221" s="180"/>
      <c r="K221" s="181"/>
      <c r="L221" s="181"/>
      <c r="M221" s="181"/>
      <c r="N221" s="182"/>
      <c r="O221" s="182"/>
      <c r="P221" s="181"/>
      <c r="Q221" s="181"/>
      <c r="R221" s="182"/>
      <c r="S221" s="182"/>
      <c r="T221" s="181"/>
      <c r="U221" s="181"/>
      <c r="V221" s="182"/>
      <c r="W221" s="182"/>
      <c r="X221" s="183"/>
      <c r="Y221" s="183"/>
      <c r="Z221" s="182"/>
      <c r="AA221" s="182"/>
      <c r="AB221" s="182"/>
      <c r="AC221" s="182"/>
      <c r="AD221" s="182"/>
      <c r="AE221" s="182"/>
      <c r="AF221" s="182"/>
      <c r="AG221" s="182"/>
    </row>
    <row r="222" ht="15.75" customHeight="1">
      <c r="G222" s="180"/>
      <c r="H222" s="180"/>
      <c r="K222" s="181"/>
      <c r="L222" s="181"/>
      <c r="M222" s="181"/>
      <c r="N222" s="182"/>
      <c r="O222" s="182"/>
      <c r="P222" s="181"/>
      <c r="Q222" s="181"/>
      <c r="R222" s="182"/>
      <c r="S222" s="182"/>
      <c r="T222" s="181"/>
      <c r="U222" s="181"/>
      <c r="V222" s="182"/>
      <c r="W222" s="182"/>
      <c r="X222" s="183"/>
      <c r="Y222" s="183"/>
      <c r="Z222" s="182"/>
      <c r="AA222" s="182"/>
      <c r="AB222" s="182"/>
      <c r="AC222" s="182"/>
      <c r="AD222" s="182"/>
      <c r="AE222" s="182"/>
      <c r="AF222" s="182"/>
      <c r="AG222" s="182"/>
    </row>
    <row r="223" ht="15.75" customHeight="1">
      <c r="G223" s="180"/>
      <c r="H223" s="180"/>
      <c r="K223" s="181"/>
      <c r="L223" s="181"/>
      <c r="M223" s="181"/>
      <c r="N223" s="182"/>
      <c r="O223" s="182"/>
      <c r="P223" s="181"/>
      <c r="Q223" s="181"/>
      <c r="R223" s="182"/>
      <c r="S223" s="182"/>
      <c r="T223" s="181"/>
      <c r="U223" s="181"/>
      <c r="V223" s="182"/>
      <c r="W223" s="182"/>
      <c r="X223" s="183"/>
      <c r="Y223" s="183"/>
      <c r="Z223" s="182"/>
      <c r="AA223" s="182"/>
      <c r="AB223" s="182"/>
      <c r="AC223" s="182"/>
      <c r="AD223" s="182"/>
      <c r="AE223" s="182"/>
      <c r="AF223" s="182"/>
      <c r="AG223" s="182"/>
    </row>
    <row r="224" ht="15.75" customHeight="1">
      <c r="G224" s="180"/>
      <c r="H224" s="180"/>
      <c r="K224" s="181"/>
      <c r="L224" s="181"/>
      <c r="M224" s="181"/>
      <c r="N224" s="182"/>
      <c r="O224" s="182"/>
      <c r="P224" s="181"/>
      <c r="Q224" s="181"/>
      <c r="R224" s="182"/>
      <c r="S224" s="182"/>
      <c r="T224" s="181"/>
      <c r="U224" s="181"/>
      <c r="V224" s="182"/>
      <c r="W224" s="182"/>
      <c r="X224" s="183"/>
      <c r="Y224" s="183"/>
      <c r="Z224" s="182"/>
      <c r="AA224" s="182"/>
      <c r="AB224" s="182"/>
      <c r="AC224" s="182"/>
      <c r="AD224" s="182"/>
      <c r="AE224" s="182"/>
      <c r="AF224" s="182"/>
      <c r="AG224" s="182"/>
    </row>
    <row r="225" ht="15.75" customHeight="1">
      <c r="G225" s="180"/>
      <c r="H225" s="180"/>
      <c r="K225" s="181"/>
      <c r="L225" s="181"/>
      <c r="M225" s="181"/>
      <c r="N225" s="182"/>
      <c r="O225" s="182"/>
      <c r="P225" s="181"/>
      <c r="Q225" s="181"/>
      <c r="R225" s="182"/>
      <c r="S225" s="182"/>
      <c r="T225" s="181"/>
      <c r="U225" s="181"/>
      <c r="V225" s="182"/>
      <c r="W225" s="182"/>
      <c r="X225" s="183"/>
      <c r="Y225" s="183"/>
      <c r="Z225" s="182"/>
      <c r="AA225" s="182"/>
      <c r="AB225" s="182"/>
      <c r="AC225" s="182"/>
      <c r="AD225" s="182"/>
      <c r="AE225" s="182"/>
      <c r="AF225" s="182"/>
      <c r="AG225" s="182"/>
    </row>
    <row r="226" ht="15.75" customHeight="1">
      <c r="G226" s="180"/>
      <c r="H226" s="180"/>
      <c r="K226" s="181"/>
      <c r="L226" s="181"/>
      <c r="M226" s="181"/>
      <c r="N226" s="182"/>
      <c r="O226" s="182"/>
      <c r="P226" s="181"/>
      <c r="Q226" s="181"/>
      <c r="R226" s="182"/>
      <c r="S226" s="182"/>
      <c r="T226" s="181"/>
      <c r="U226" s="181"/>
      <c r="V226" s="182"/>
      <c r="W226" s="182"/>
      <c r="X226" s="183"/>
      <c r="Y226" s="183"/>
      <c r="Z226" s="182"/>
      <c r="AA226" s="182"/>
      <c r="AB226" s="182"/>
      <c r="AC226" s="182"/>
      <c r="AD226" s="182"/>
      <c r="AE226" s="182"/>
      <c r="AF226" s="182"/>
      <c r="AG226" s="182"/>
    </row>
    <row r="227" ht="15.75" customHeight="1">
      <c r="G227" s="180"/>
      <c r="H227" s="180"/>
      <c r="K227" s="181"/>
      <c r="L227" s="181"/>
      <c r="M227" s="181"/>
      <c r="N227" s="182"/>
      <c r="O227" s="182"/>
      <c r="P227" s="181"/>
      <c r="Q227" s="181"/>
      <c r="R227" s="182"/>
      <c r="S227" s="182"/>
      <c r="T227" s="181"/>
      <c r="U227" s="181"/>
      <c r="V227" s="182"/>
      <c r="W227" s="182"/>
      <c r="X227" s="183"/>
      <c r="Y227" s="183"/>
      <c r="Z227" s="182"/>
      <c r="AA227" s="182"/>
      <c r="AB227" s="182"/>
      <c r="AC227" s="182"/>
      <c r="AD227" s="182"/>
      <c r="AE227" s="182"/>
      <c r="AF227" s="182"/>
      <c r="AG227" s="182"/>
    </row>
    <row r="228" ht="15.75" customHeight="1">
      <c r="G228" s="180"/>
      <c r="H228" s="180"/>
      <c r="K228" s="181"/>
      <c r="L228" s="181"/>
      <c r="M228" s="181"/>
      <c r="N228" s="182"/>
      <c r="O228" s="182"/>
      <c r="P228" s="181"/>
      <c r="Q228" s="181"/>
      <c r="R228" s="182"/>
      <c r="S228" s="182"/>
      <c r="T228" s="181"/>
      <c r="U228" s="181"/>
      <c r="V228" s="182"/>
      <c r="W228" s="182"/>
      <c r="X228" s="183"/>
      <c r="Y228" s="183"/>
      <c r="Z228" s="182"/>
      <c r="AA228" s="182"/>
      <c r="AB228" s="182"/>
      <c r="AC228" s="182"/>
      <c r="AD228" s="182"/>
      <c r="AE228" s="182"/>
      <c r="AF228" s="182"/>
      <c r="AG228" s="182"/>
    </row>
    <row r="229" ht="15.75" customHeight="1">
      <c r="G229" s="180"/>
      <c r="H229" s="180"/>
      <c r="K229" s="181"/>
      <c r="L229" s="181"/>
      <c r="M229" s="181"/>
      <c r="N229" s="182"/>
      <c r="O229" s="182"/>
      <c r="P229" s="181"/>
      <c r="Q229" s="181"/>
      <c r="R229" s="182"/>
      <c r="S229" s="182"/>
      <c r="T229" s="181"/>
      <c r="U229" s="181"/>
      <c r="V229" s="182"/>
      <c r="W229" s="182"/>
      <c r="X229" s="183"/>
      <c r="Y229" s="183"/>
      <c r="Z229" s="182"/>
      <c r="AA229" s="182"/>
      <c r="AB229" s="182"/>
      <c r="AC229" s="182"/>
      <c r="AD229" s="182"/>
      <c r="AE229" s="182"/>
      <c r="AF229" s="182"/>
      <c r="AG229" s="182"/>
    </row>
    <row r="230" ht="15.75" customHeight="1">
      <c r="G230" s="180"/>
      <c r="H230" s="180"/>
      <c r="K230" s="181"/>
      <c r="L230" s="181"/>
      <c r="M230" s="181"/>
      <c r="N230" s="182"/>
      <c r="O230" s="182"/>
      <c r="P230" s="181"/>
      <c r="Q230" s="181"/>
      <c r="R230" s="182"/>
      <c r="S230" s="182"/>
      <c r="T230" s="181"/>
      <c r="U230" s="181"/>
      <c r="V230" s="182"/>
      <c r="W230" s="182"/>
      <c r="X230" s="183"/>
      <c r="Y230" s="183"/>
      <c r="Z230" s="182"/>
      <c r="AA230" s="182"/>
      <c r="AB230" s="182"/>
      <c r="AC230" s="182"/>
      <c r="AD230" s="182"/>
      <c r="AE230" s="182"/>
      <c r="AF230" s="182"/>
      <c r="AG230" s="182"/>
    </row>
    <row r="231" ht="15.75" customHeight="1">
      <c r="G231" s="180"/>
      <c r="H231" s="180"/>
      <c r="K231" s="181"/>
      <c r="L231" s="181"/>
      <c r="M231" s="181"/>
      <c r="N231" s="182"/>
      <c r="O231" s="182"/>
      <c r="P231" s="181"/>
      <c r="Q231" s="181"/>
      <c r="R231" s="182"/>
      <c r="S231" s="182"/>
      <c r="T231" s="181"/>
      <c r="U231" s="181"/>
      <c r="V231" s="182"/>
      <c r="W231" s="182"/>
      <c r="X231" s="183"/>
      <c r="Y231" s="183"/>
      <c r="Z231" s="182"/>
      <c r="AA231" s="182"/>
      <c r="AB231" s="182"/>
      <c r="AC231" s="182"/>
      <c r="AD231" s="182"/>
      <c r="AE231" s="182"/>
      <c r="AF231" s="182"/>
      <c r="AG231" s="182"/>
    </row>
    <row r="232" ht="15.75" customHeight="1">
      <c r="G232" s="180"/>
      <c r="H232" s="180"/>
      <c r="K232" s="181"/>
      <c r="L232" s="181"/>
      <c r="M232" s="181"/>
      <c r="N232" s="182"/>
      <c r="O232" s="182"/>
      <c r="P232" s="181"/>
      <c r="Q232" s="181"/>
      <c r="R232" s="182"/>
      <c r="S232" s="182"/>
      <c r="T232" s="181"/>
      <c r="U232" s="181"/>
      <c r="V232" s="182"/>
      <c r="W232" s="182"/>
      <c r="X232" s="183"/>
      <c r="Y232" s="183"/>
      <c r="Z232" s="182"/>
      <c r="AA232" s="182"/>
      <c r="AB232" s="182"/>
      <c r="AC232" s="182"/>
      <c r="AD232" s="182"/>
      <c r="AE232" s="182"/>
      <c r="AF232" s="182"/>
      <c r="AG232" s="182"/>
    </row>
    <row r="233" ht="15.75" customHeight="1">
      <c r="G233" s="180"/>
      <c r="H233" s="180"/>
      <c r="K233" s="181"/>
      <c r="L233" s="181"/>
      <c r="M233" s="181"/>
      <c r="N233" s="182"/>
      <c r="O233" s="182"/>
      <c r="P233" s="181"/>
      <c r="Q233" s="181"/>
      <c r="R233" s="182"/>
      <c r="S233" s="182"/>
      <c r="T233" s="181"/>
      <c r="U233" s="181"/>
      <c r="V233" s="182"/>
      <c r="W233" s="182"/>
      <c r="X233" s="183"/>
      <c r="Y233" s="183"/>
      <c r="Z233" s="182"/>
      <c r="AA233" s="182"/>
      <c r="AB233" s="182"/>
      <c r="AC233" s="182"/>
      <c r="AD233" s="182"/>
      <c r="AE233" s="182"/>
      <c r="AF233" s="182"/>
      <c r="AG233" s="182"/>
    </row>
    <row r="234" ht="15.75" customHeight="1">
      <c r="G234" s="180"/>
      <c r="H234" s="180"/>
      <c r="K234" s="181"/>
      <c r="L234" s="181"/>
      <c r="M234" s="181"/>
      <c r="N234" s="182"/>
      <c r="O234" s="182"/>
      <c r="P234" s="181"/>
      <c r="Q234" s="181"/>
      <c r="R234" s="182"/>
      <c r="S234" s="182"/>
      <c r="T234" s="181"/>
      <c r="U234" s="181"/>
      <c r="V234" s="182"/>
      <c r="W234" s="182"/>
      <c r="X234" s="183"/>
      <c r="Y234" s="183"/>
      <c r="Z234" s="182"/>
      <c r="AA234" s="182"/>
      <c r="AB234" s="182"/>
      <c r="AC234" s="182"/>
      <c r="AD234" s="182"/>
      <c r="AE234" s="182"/>
      <c r="AF234" s="182"/>
      <c r="AG234" s="182"/>
    </row>
    <row r="235" ht="15.75" customHeight="1">
      <c r="G235" s="180"/>
      <c r="H235" s="180"/>
      <c r="K235" s="181"/>
      <c r="L235" s="181"/>
      <c r="M235" s="181"/>
      <c r="N235" s="182"/>
      <c r="O235" s="182"/>
      <c r="P235" s="181"/>
      <c r="Q235" s="181"/>
      <c r="R235" s="182"/>
      <c r="S235" s="182"/>
      <c r="T235" s="181"/>
      <c r="U235" s="181"/>
      <c r="V235" s="182"/>
      <c r="W235" s="182"/>
      <c r="X235" s="183"/>
      <c r="Y235" s="183"/>
      <c r="Z235" s="182"/>
      <c r="AA235" s="182"/>
      <c r="AB235" s="182"/>
      <c r="AC235" s="182"/>
      <c r="AD235" s="182"/>
      <c r="AE235" s="182"/>
      <c r="AF235" s="182"/>
      <c r="AG235" s="182"/>
    </row>
    <row r="236" ht="15.75" customHeight="1">
      <c r="G236" s="180"/>
      <c r="H236" s="180"/>
      <c r="K236" s="181"/>
      <c r="L236" s="181"/>
      <c r="M236" s="181"/>
      <c r="N236" s="182"/>
      <c r="O236" s="182"/>
      <c r="P236" s="181"/>
      <c r="Q236" s="181"/>
      <c r="R236" s="182"/>
      <c r="S236" s="182"/>
      <c r="T236" s="181"/>
      <c r="U236" s="181"/>
      <c r="V236" s="182"/>
      <c r="W236" s="182"/>
      <c r="X236" s="183"/>
      <c r="Y236" s="183"/>
      <c r="Z236" s="182"/>
      <c r="AA236" s="182"/>
      <c r="AB236" s="182"/>
      <c r="AC236" s="182"/>
      <c r="AD236" s="182"/>
      <c r="AE236" s="182"/>
      <c r="AF236" s="182"/>
      <c r="AG236" s="182"/>
    </row>
    <row r="237" ht="15.75" customHeight="1">
      <c r="G237" s="180"/>
      <c r="H237" s="180"/>
      <c r="K237" s="181"/>
      <c r="L237" s="181"/>
      <c r="M237" s="181"/>
      <c r="N237" s="182"/>
      <c r="O237" s="182"/>
      <c r="P237" s="181"/>
      <c r="Q237" s="181"/>
      <c r="R237" s="182"/>
      <c r="S237" s="182"/>
      <c r="T237" s="181"/>
      <c r="U237" s="181"/>
      <c r="V237" s="182"/>
      <c r="W237" s="182"/>
      <c r="X237" s="183"/>
      <c r="Y237" s="183"/>
      <c r="Z237" s="182"/>
      <c r="AA237" s="182"/>
      <c r="AB237" s="182"/>
      <c r="AC237" s="182"/>
      <c r="AD237" s="182"/>
      <c r="AE237" s="182"/>
      <c r="AF237" s="182"/>
      <c r="AG237" s="182"/>
    </row>
    <row r="238" ht="15.75" customHeight="1">
      <c r="G238" s="180"/>
      <c r="H238" s="180"/>
      <c r="K238" s="181"/>
      <c r="L238" s="181"/>
      <c r="M238" s="181"/>
      <c r="N238" s="182"/>
      <c r="O238" s="182"/>
      <c r="P238" s="181"/>
      <c r="Q238" s="181"/>
      <c r="R238" s="182"/>
      <c r="S238" s="182"/>
      <c r="T238" s="181"/>
      <c r="U238" s="181"/>
      <c r="V238" s="182"/>
      <c r="W238" s="182"/>
      <c r="X238" s="183"/>
      <c r="Y238" s="183"/>
      <c r="Z238" s="182"/>
      <c r="AA238" s="182"/>
      <c r="AB238" s="182"/>
      <c r="AC238" s="182"/>
      <c r="AD238" s="182"/>
      <c r="AE238" s="182"/>
      <c r="AF238" s="182"/>
      <c r="AG238" s="182"/>
    </row>
    <row r="239" ht="15.75" customHeight="1">
      <c r="G239" s="180"/>
      <c r="H239" s="180"/>
      <c r="K239" s="181"/>
      <c r="L239" s="181"/>
      <c r="M239" s="181"/>
      <c r="N239" s="182"/>
      <c r="O239" s="182"/>
      <c r="P239" s="181"/>
      <c r="Q239" s="181"/>
      <c r="R239" s="182"/>
      <c r="S239" s="182"/>
      <c r="T239" s="181"/>
      <c r="U239" s="181"/>
      <c r="V239" s="182"/>
      <c r="W239" s="182"/>
      <c r="X239" s="183"/>
      <c r="Y239" s="183"/>
      <c r="Z239" s="182"/>
      <c r="AA239" s="182"/>
      <c r="AB239" s="182"/>
      <c r="AC239" s="182"/>
      <c r="AD239" s="182"/>
      <c r="AE239" s="182"/>
      <c r="AF239" s="182"/>
      <c r="AG239" s="182"/>
    </row>
    <row r="240" ht="15.75" customHeight="1">
      <c r="G240" s="180"/>
      <c r="H240" s="180"/>
      <c r="K240" s="181"/>
      <c r="L240" s="181"/>
      <c r="M240" s="181"/>
      <c r="N240" s="182"/>
      <c r="O240" s="182"/>
      <c r="P240" s="181"/>
      <c r="Q240" s="181"/>
      <c r="R240" s="182"/>
      <c r="S240" s="182"/>
      <c r="T240" s="181"/>
      <c r="U240" s="181"/>
      <c r="V240" s="182"/>
      <c r="W240" s="182"/>
      <c r="X240" s="183"/>
      <c r="Y240" s="183"/>
      <c r="Z240" s="182"/>
      <c r="AA240" s="182"/>
      <c r="AB240" s="182"/>
      <c r="AC240" s="182"/>
      <c r="AD240" s="182"/>
      <c r="AE240" s="182"/>
      <c r="AF240" s="182"/>
      <c r="AG240" s="182"/>
    </row>
    <row r="241" ht="15.75" customHeight="1">
      <c r="G241" s="180"/>
      <c r="H241" s="180"/>
      <c r="K241" s="181"/>
      <c r="L241" s="181"/>
      <c r="M241" s="181"/>
      <c r="N241" s="182"/>
      <c r="O241" s="182"/>
      <c r="P241" s="181"/>
      <c r="Q241" s="181"/>
      <c r="R241" s="182"/>
      <c r="S241" s="182"/>
      <c r="T241" s="181"/>
      <c r="U241" s="181"/>
      <c r="V241" s="182"/>
      <c r="W241" s="182"/>
      <c r="X241" s="183"/>
      <c r="Y241" s="183"/>
      <c r="Z241" s="182"/>
      <c r="AA241" s="182"/>
      <c r="AB241" s="182"/>
      <c r="AC241" s="182"/>
      <c r="AD241" s="182"/>
      <c r="AE241" s="182"/>
      <c r="AF241" s="182"/>
      <c r="AG241" s="182"/>
    </row>
    <row r="242" ht="15.75" customHeight="1">
      <c r="G242" s="180"/>
      <c r="H242" s="180"/>
      <c r="K242" s="181"/>
      <c r="L242" s="181"/>
      <c r="M242" s="181"/>
      <c r="N242" s="182"/>
      <c r="O242" s="182"/>
      <c r="P242" s="181"/>
      <c r="Q242" s="181"/>
      <c r="R242" s="182"/>
      <c r="S242" s="182"/>
      <c r="T242" s="181"/>
      <c r="U242" s="181"/>
      <c r="V242" s="182"/>
      <c r="W242" s="182"/>
      <c r="X242" s="183"/>
      <c r="Y242" s="183"/>
      <c r="Z242" s="182"/>
      <c r="AA242" s="182"/>
      <c r="AB242" s="182"/>
      <c r="AC242" s="182"/>
      <c r="AD242" s="182"/>
      <c r="AE242" s="182"/>
      <c r="AF242" s="182"/>
      <c r="AG242" s="182"/>
    </row>
    <row r="243" ht="15.75" customHeight="1">
      <c r="G243" s="180"/>
      <c r="H243" s="180"/>
      <c r="K243" s="181"/>
      <c r="L243" s="181"/>
      <c r="M243" s="181"/>
      <c r="N243" s="182"/>
      <c r="O243" s="182"/>
      <c r="P243" s="181"/>
      <c r="Q243" s="181"/>
      <c r="R243" s="182"/>
      <c r="S243" s="182"/>
      <c r="T243" s="181"/>
      <c r="U243" s="181"/>
      <c r="V243" s="182"/>
      <c r="W243" s="182"/>
      <c r="X243" s="183"/>
      <c r="Y243" s="183"/>
      <c r="Z243" s="182"/>
      <c r="AA243" s="182"/>
      <c r="AB243" s="182"/>
      <c r="AC243" s="182"/>
      <c r="AD243" s="182"/>
      <c r="AE243" s="182"/>
      <c r="AF243" s="182"/>
      <c r="AG243" s="182"/>
    </row>
    <row r="244" ht="15.75" customHeight="1">
      <c r="G244" s="180"/>
      <c r="H244" s="180"/>
      <c r="K244" s="181"/>
      <c r="L244" s="181"/>
      <c r="M244" s="181"/>
      <c r="N244" s="182"/>
      <c r="O244" s="182"/>
      <c r="P244" s="181"/>
      <c r="Q244" s="181"/>
      <c r="R244" s="182"/>
      <c r="S244" s="182"/>
      <c r="T244" s="181"/>
      <c r="U244" s="181"/>
      <c r="V244" s="182"/>
      <c r="W244" s="182"/>
      <c r="X244" s="183"/>
      <c r="Y244" s="183"/>
      <c r="Z244" s="182"/>
      <c r="AA244" s="182"/>
      <c r="AB244" s="182"/>
      <c r="AC244" s="182"/>
      <c r="AD244" s="182"/>
      <c r="AE244" s="182"/>
      <c r="AF244" s="182"/>
      <c r="AG244" s="182"/>
    </row>
    <row r="245" ht="15.75" customHeight="1">
      <c r="G245" s="180"/>
      <c r="H245" s="180"/>
      <c r="K245" s="181"/>
      <c r="L245" s="181"/>
      <c r="M245" s="181"/>
      <c r="N245" s="182"/>
      <c r="O245" s="182"/>
      <c r="P245" s="181"/>
      <c r="Q245" s="181"/>
      <c r="R245" s="182"/>
      <c r="S245" s="182"/>
      <c r="T245" s="181"/>
      <c r="U245" s="181"/>
      <c r="V245" s="182"/>
      <c r="W245" s="182"/>
      <c r="X245" s="183"/>
      <c r="Y245" s="183"/>
      <c r="Z245" s="182"/>
      <c r="AA245" s="182"/>
      <c r="AB245" s="182"/>
      <c r="AC245" s="182"/>
      <c r="AD245" s="182"/>
      <c r="AE245" s="182"/>
      <c r="AF245" s="182"/>
      <c r="AG245" s="182"/>
    </row>
    <row r="246" ht="15.75" customHeight="1">
      <c r="G246" s="180"/>
      <c r="H246" s="180"/>
      <c r="K246" s="181"/>
      <c r="L246" s="181"/>
      <c r="M246" s="181"/>
      <c r="N246" s="182"/>
      <c r="O246" s="182"/>
      <c r="P246" s="181"/>
      <c r="Q246" s="181"/>
      <c r="R246" s="182"/>
      <c r="S246" s="182"/>
      <c r="T246" s="181"/>
      <c r="U246" s="181"/>
      <c r="V246" s="182"/>
      <c r="W246" s="182"/>
      <c r="X246" s="183"/>
      <c r="Y246" s="183"/>
      <c r="Z246" s="182"/>
      <c r="AA246" s="182"/>
      <c r="AB246" s="182"/>
      <c r="AC246" s="182"/>
      <c r="AD246" s="182"/>
      <c r="AE246" s="182"/>
      <c r="AF246" s="182"/>
      <c r="AG246" s="182"/>
    </row>
    <row r="247" ht="15.75" customHeight="1">
      <c r="G247" s="180"/>
      <c r="H247" s="180"/>
      <c r="K247" s="181"/>
      <c r="L247" s="181"/>
      <c r="M247" s="181"/>
      <c r="N247" s="182"/>
      <c r="O247" s="182"/>
      <c r="P247" s="181"/>
      <c r="Q247" s="181"/>
      <c r="R247" s="182"/>
      <c r="S247" s="182"/>
      <c r="T247" s="181"/>
      <c r="U247" s="181"/>
      <c r="V247" s="182"/>
      <c r="W247" s="182"/>
      <c r="X247" s="183"/>
      <c r="Y247" s="183"/>
      <c r="Z247" s="182"/>
      <c r="AA247" s="182"/>
      <c r="AB247" s="182"/>
      <c r="AC247" s="182"/>
      <c r="AD247" s="182"/>
      <c r="AE247" s="182"/>
      <c r="AF247" s="182"/>
      <c r="AG247" s="182"/>
    </row>
    <row r="248" ht="15.75" customHeight="1">
      <c r="G248" s="180"/>
      <c r="H248" s="180"/>
      <c r="K248" s="181"/>
      <c r="L248" s="181"/>
      <c r="M248" s="181"/>
      <c r="N248" s="182"/>
      <c r="O248" s="182"/>
      <c r="P248" s="181"/>
      <c r="Q248" s="181"/>
      <c r="R248" s="182"/>
      <c r="S248" s="182"/>
      <c r="T248" s="181"/>
      <c r="U248" s="181"/>
      <c r="V248" s="182"/>
      <c r="W248" s="182"/>
      <c r="X248" s="183"/>
      <c r="Y248" s="183"/>
      <c r="Z248" s="182"/>
      <c r="AA248" s="182"/>
      <c r="AB248" s="182"/>
      <c r="AC248" s="182"/>
      <c r="AD248" s="182"/>
      <c r="AE248" s="182"/>
      <c r="AF248" s="182"/>
      <c r="AG248" s="182"/>
    </row>
    <row r="249" ht="15.75" customHeight="1">
      <c r="G249" s="180"/>
      <c r="H249" s="180"/>
      <c r="K249" s="181"/>
      <c r="L249" s="181"/>
      <c r="M249" s="181"/>
      <c r="N249" s="182"/>
      <c r="O249" s="182"/>
      <c r="P249" s="181"/>
      <c r="Q249" s="181"/>
      <c r="R249" s="182"/>
      <c r="S249" s="182"/>
      <c r="T249" s="181"/>
      <c r="U249" s="181"/>
      <c r="V249" s="182"/>
      <c r="W249" s="182"/>
      <c r="X249" s="183"/>
      <c r="Y249" s="183"/>
      <c r="Z249" s="182"/>
      <c r="AA249" s="182"/>
      <c r="AB249" s="182"/>
      <c r="AC249" s="182"/>
      <c r="AD249" s="182"/>
      <c r="AE249" s="182"/>
      <c r="AF249" s="182"/>
      <c r="AG249" s="182"/>
    </row>
    <row r="250" ht="15.75" customHeight="1">
      <c r="G250" s="180"/>
      <c r="H250" s="180"/>
      <c r="K250" s="181"/>
      <c r="L250" s="181"/>
      <c r="M250" s="181"/>
      <c r="N250" s="182"/>
      <c r="O250" s="182"/>
      <c r="P250" s="181"/>
      <c r="Q250" s="181"/>
      <c r="R250" s="182"/>
      <c r="S250" s="182"/>
      <c r="T250" s="181"/>
      <c r="U250" s="181"/>
      <c r="V250" s="182"/>
      <c r="W250" s="182"/>
      <c r="X250" s="183"/>
      <c r="Y250" s="183"/>
      <c r="Z250" s="182"/>
      <c r="AA250" s="182"/>
      <c r="AB250" s="182"/>
      <c r="AC250" s="182"/>
      <c r="AD250" s="182"/>
      <c r="AE250" s="182"/>
      <c r="AF250" s="182"/>
      <c r="AG250" s="182"/>
    </row>
    <row r="251" ht="15.75" customHeight="1">
      <c r="G251" s="180"/>
      <c r="H251" s="180"/>
      <c r="K251" s="181"/>
      <c r="L251" s="181"/>
      <c r="M251" s="181"/>
      <c r="N251" s="182"/>
      <c r="O251" s="182"/>
      <c r="P251" s="181"/>
      <c r="Q251" s="181"/>
      <c r="R251" s="182"/>
      <c r="S251" s="182"/>
      <c r="T251" s="181"/>
      <c r="U251" s="181"/>
      <c r="V251" s="182"/>
      <c r="W251" s="182"/>
      <c r="X251" s="183"/>
      <c r="Y251" s="183"/>
      <c r="Z251" s="182"/>
      <c r="AA251" s="182"/>
      <c r="AB251" s="182"/>
      <c r="AC251" s="182"/>
      <c r="AD251" s="182"/>
      <c r="AE251" s="182"/>
      <c r="AF251" s="182"/>
      <c r="AG251" s="182"/>
    </row>
    <row r="252" ht="15.75" customHeight="1">
      <c r="G252" s="180"/>
      <c r="H252" s="180"/>
      <c r="K252" s="181"/>
      <c r="L252" s="181"/>
      <c r="M252" s="181"/>
      <c r="N252" s="182"/>
      <c r="O252" s="182"/>
      <c r="P252" s="181"/>
      <c r="Q252" s="181"/>
      <c r="R252" s="182"/>
      <c r="S252" s="182"/>
      <c r="T252" s="181"/>
      <c r="U252" s="181"/>
      <c r="V252" s="182"/>
      <c r="W252" s="182"/>
      <c r="X252" s="183"/>
      <c r="Y252" s="183"/>
      <c r="Z252" s="182"/>
      <c r="AA252" s="182"/>
      <c r="AB252" s="182"/>
      <c r="AC252" s="182"/>
      <c r="AD252" s="182"/>
      <c r="AE252" s="182"/>
      <c r="AF252" s="182"/>
      <c r="AG252" s="182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E1:H1"/>
    <mergeCell ref="I1:L1"/>
    <mergeCell ref="N1:Q1"/>
    <mergeCell ref="R1:U1"/>
    <mergeCell ref="V1:Y1"/>
    <mergeCell ref="Z1:AC1"/>
    <mergeCell ref="AD1:AG1"/>
    <mergeCell ref="N2:Q2"/>
    <mergeCell ref="R2:U2"/>
    <mergeCell ref="V2:Y2"/>
    <mergeCell ref="Z2:AC2"/>
    <mergeCell ref="AD2:AG2"/>
    <mergeCell ref="A52:D52"/>
    <mergeCell ref="I52:K52"/>
    <mergeCell ref="M52:P52"/>
    <mergeCell ref="Q52:T52"/>
    <mergeCell ref="A1:D1"/>
    <mergeCell ref="A2:A3"/>
    <mergeCell ref="B2:B3"/>
    <mergeCell ref="C2:C3"/>
    <mergeCell ref="D2:D3"/>
    <mergeCell ref="E2:H2"/>
    <mergeCell ref="I2:L2"/>
  </mergeCell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0"/>
    <col customWidth="1" min="23" max="23" width="4.5"/>
  </cols>
  <sheetData>
    <row r="1" ht="14.25" customHeight="1">
      <c r="A1" s="3" t="s">
        <v>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12"/>
      <c r="W1" s="15"/>
      <c r="X1" s="14"/>
      <c r="Y1" s="14"/>
    </row>
    <row r="2">
      <c r="A2" s="19"/>
      <c r="B2" s="23" t="s">
        <v>24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2"/>
      <c r="W2" s="15"/>
      <c r="X2" s="14"/>
      <c r="Y2" s="14"/>
    </row>
    <row r="3">
      <c r="A3" s="19"/>
      <c r="B3" s="26">
        <v>1.0</v>
      </c>
      <c r="C3" s="26">
        <v>2.0</v>
      </c>
      <c r="D3" s="26">
        <v>3.0</v>
      </c>
      <c r="E3" s="26">
        <v>4.0</v>
      </c>
      <c r="F3" s="26">
        <v>5.0</v>
      </c>
      <c r="G3" s="26">
        <v>6.0</v>
      </c>
      <c r="H3" s="26">
        <v>7.0</v>
      </c>
      <c r="I3" s="26">
        <v>8.0</v>
      </c>
      <c r="J3" s="26">
        <v>9.0</v>
      </c>
      <c r="K3" s="26">
        <v>10.0</v>
      </c>
      <c r="L3" s="26">
        <v>11.0</v>
      </c>
      <c r="M3" s="26">
        <v>12.0</v>
      </c>
      <c r="N3" s="26">
        <v>13.0</v>
      </c>
      <c r="O3" s="26">
        <v>14.0</v>
      </c>
      <c r="P3" s="26">
        <v>15.0</v>
      </c>
      <c r="Q3" s="26">
        <v>16.0</v>
      </c>
      <c r="R3" s="26">
        <v>17.0</v>
      </c>
      <c r="S3" s="26">
        <v>18.0</v>
      </c>
      <c r="T3" s="26">
        <v>19.0</v>
      </c>
      <c r="U3" s="26">
        <v>20.0</v>
      </c>
      <c r="V3" s="26">
        <v>21.0</v>
      </c>
      <c r="W3" s="15"/>
      <c r="X3" s="14"/>
      <c r="Y3" s="14"/>
    </row>
    <row r="4">
      <c r="A4" s="19"/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6"/>
      <c r="W4" s="15"/>
      <c r="X4" s="14"/>
      <c r="Y4" s="14"/>
    </row>
    <row r="5">
      <c r="A5" s="19"/>
      <c r="B5" s="32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6"/>
      <c r="W5" s="15"/>
      <c r="X5" s="14"/>
      <c r="Y5" s="14"/>
    </row>
    <row r="6">
      <c r="A6" s="19"/>
      <c r="B6" s="3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6"/>
      <c r="W6" s="15"/>
      <c r="X6" s="14"/>
      <c r="Y6" s="14"/>
    </row>
    <row r="7">
      <c r="A7" s="19"/>
      <c r="B7" s="32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6"/>
      <c r="W7" s="15"/>
      <c r="X7" s="14"/>
      <c r="Y7" s="14"/>
    </row>
    <row r="8">
      <c r="A8" s="19"/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6"/>
      <c r="W8" s="15"/>
      <c r="X8" s="14"/>
      <c r="Y8" s="14"/>
    </row>
    <row r="9">
      <c r="A9" s="19"/>
      <c r="B9" s="32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6"/>
      <c r="W9" s="15"/>
      <c r="X9" s="14"/>
      <c r="Y9" s="14"/>
    </row>
    <row r="10">
      <c r="A10" s="19"/>
      <c r="B10" s="26">
        <v>22.0</v>
      </c>
      <c r="C10" s="26">
        <v>23.0</v>
      </c>
      <c r="D10" s="26">
        <v>24.0</v>
      </c>
      <c r="E10" s="26">
        <v>25.0</v>
      </c>
      <c r="F10" s="26">
        <v>26.0</v>
      </c>
      <c r="G10" s="26">
        <v>27.0</v>
      </c>
      <c r="H10" s="26">
        <v>28.0</v>
      </c>
      <c r="I10" s="26">
        <v>29.0</v>
      </c>
      <c r="J10" s="26">
        <v>30.0</v>
      </c>
      <c r="K10" s="26">
        <v>31.0</v>
      </c>
      <c r="L10" s="26">
        <v>32.0</v>
      </c>
      <c r="M10" s="26">
        <v>33.0</v>
      </c>
      <c r="N10" s="26">
        <v>34.0</v>
      </c>
      <c r="O10" s="26">
        <v>35.0</v>
      </c>
      <c r="P10" s="26">
        <v>36.0</v>
      </c>
      <c r="Q10" s="26">
        <v>37.0</v>
      </c>
      <c r="R10" s="26">
        <v>38.0</v>
      </c>
      <c r="S10" s="26">
        <v>39.0</v>
      </c>
      <c r="T10" s="26">
        <v>40.0</v>
      </c>
      <c r="U10" s="26">
        <v>41.0</v>
      </c>
      <c r="V10" s="26">
        <v>42.0</v>
      </c>
      <c r="W10" s="15"/>
      <c r="X10" s="14"/>
      <c r="Y10" s="14"/>
    </row>
    <row r="11">
      <c r="A11" s="19"/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6"/>
      <c r="W11" s="15"/>
      <c r="X11" s="14"/>
      <c r="Y11" s="14"/>
    </row>
    <row r="12">
      <c r="A12" s="19"/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6"/>
      <c r="W12" s="15"/>
      <c r="X12" s="14"/>
      <c r="Y12" s="14"/>
    </row>
    <row r="13">
      <c r="A13" s="19"/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6"/>
      <c r="W13" s="15"/>
      <c r="X13" s="14"/>
      <c r="Y13" s="14"/>
    </row>
    <row r="14">
      <c r="A14" s="19"/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6"/>
      <c r="W14" s="15"/>
      <c r="X14" s="14"/>
      <c r="Y14" s="14"/>
    </row>
    <row r="15">
      <c r="A15" s="19"/>
      <c r="B15" s="32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6"/>
      <c r="W15" s="15"/>
      <c r="X15" s="14"/>
      <c r="Y15" s="14"/>
    </row>
    <row r="16">
      <c r="A16" s="19"/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6"/>
      <c r="W16" s="15"/>
      <c r="X16" s="14"/>
      <c r="Y16" s="14"/>
    </row>
    <row r="17">
      <c r="A17" s="19"/>
      <c r="B17" s="32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6"/>
      <c r="W17" s="15"/>
      <c r="X17" s="14"/>
      <c r="Y17" s="14"/>
    </row>
    <row r="18">
      <c r="A18" s="19"/>
      <c r="B18" s="26">
        <v>43.0</v>
      </c>
      <c r="C18" s="26">
        <v>44.0</v>
      </c>
      <c r="D18" s="26">
        <v>45.0</v>
      </c>
      <c r="E18" s="26">
        <v>46.0</v>
      </c>
      <c r="F18" s="26">
        <v>47.0</v>
      </c>
      <c r="G18" s="26">
        <v>48.0</v>
      </c>
      <c r="H18" s="26">
        <v>49.0</v>
      </c>
      <c r="I18" s="26">
        <v>50.0</v>
      </c>
      <c r="J18" s="26">
        <v>51.0</v>
      </c>
      <c r="K18" s="26">
        <v>52.0</v>
      </c>
      <c r="L18" s="26">
        <v>53.0</v>
      </c>
      <c r="M18" s="26">
        <v>54.0</v>
      </c>
      <c r="N18" s="26">
        <v>55.0</v>
      </c>
      <c r="O18" s="26">
        <v>56.0</v>
      </c>
      <c r="P18" s="26">
        <v>57.0</v>
      </c>
      <c r="Q18" s="26">
        <v>58.0</v>
      </c>
      <c r="R18" s="26">
        <v>59.0</v>
      </c>
      <c r="S18" s="26">
        <v>60.0</v>
      </c>
      <c r="T18" s="26">
        <v>61.0</v>
      </c>
      <c r="U18" s="26">
        <v>62.0</v>
      </c>
      <c r="V18" s="26">
        <v>63.0</v>
      </c>
      <c r="W18" s="15"/>
      <c r="X18" s="14"/>
      <c r="Y18" s="14"/>
    </row>
    <row r="19">
      <c r="A19" s="19"/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6"/>
      <c r="W19" s="15"/>
      <c r="X19" s="14"/>
      <c r="Y19" s="14"/>
    </row>
    <row r="20">
      <c r="A20" s="19"/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6"/>
      <c r="W20" s="15"/>
      <c r="X20" s="14"/>
      <c r="Y20" s="14"/>
    </row>
    <row r="21">
      <c r="A21" s="19"/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6"/>
      <c r="W21" s="15"/>
      <c r="X21" s="14"/>
      <c r="Y21" s="14"/>
    </row>
    <row r="22">
      <c r="A22" s="19"/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6"/>
      <c r="W22" s="15"/>
      <c r="X22" s="14"/>
      <c r="Y22" s="14"/>
    </row>
    <row r="23">
      <c r="A23" s="19"/>
      <c r="B23" s="32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6"/>
      <c r="W23" s="15"/>
      <c r="X23" s="14"/>
      <c r="Y23" s="14"/>
    </row>
    <row r="24">
      <c r="A24" s="19"/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6"/>
      <c r="W24" s="15"/>
      <c r="X24" s="14"/>
      <c r="Y24" s="14"/>
    </row>
    <row r="25">
      <c r="A25" s="19"/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6"/>
      <c r="W25" s="15"/>
      <c r="X25" s="14"/>
      <c r="Y25" s="14"/>
    </row>
    <row r="26">
      <c r="A26" s="19"/>
      <c r="B26" s="86">
        <v>64.0</v>
      </c>
      <c r="C26" s="86">
        <v>65.0</v>
      </c>
      <c r="D26" s="86">
        <v>66.0</v>
      </c>
      <c r="E26" s="86">
        <v>67.0</v>
      </c>
      <c r="F26" s="86">
        <v>68.0</v>
      </c>
      <c r="G26" s="86">
        <v>69.0</v>
      </c>
      <c r="H26" s="86">
        <v>70.0</v>
      </c>
      <c r="I26" s="86">
        <v>71.0</v>
      </c>
      <c r="J26" s="86">
        <v>72.0</v>
      </c>
      <c r="K26" s="86">
        <v>73.0</v>
      </c>
      <c r="L26" s="86">
        <v>74.0</v>
      </c>
      <c r="M26" s="86">
        <v>75.0</v>
      </c>
      <c r="N26" s="86">
        <v>76.0</v>
      </c>
      <c r="O26" s="86">
        <v>77.0</v>
      </c>
      <c r="P26" s="86">
        <v>78.0</v>
      </c>
      <c r="Q26" s="86">
        <v>79.0</v>
      </c>
      <c r="R26" s="86">
        <v>80.0</v>
      </c>
      <c r="S26" s="86">
        <v>81.0</v>
      </c>
      <c r="T26" s="86">
        <v>82.0</v>
      </c>
      <c r="U26" s="86">
        <v>83.0</v>
      </c>
      <c r="V26" s="86">
        <v>84.0</v>
      </c>
      <c r="W26" s="15"/>
      <c r="X26" s="14"/>
      <c r="Y26" s="14"/>
    </row>
    <row r="27">
      <c r="A27" s="19"/>
      <c r="B27" s="87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46"/>
      <c r="W27" s="15"/>
      <c r="X27" s="14"/>
      <c r="Y27" s="14"/>
    </row>
    <row r="28">
      <c r="A28" s="19"/>
      <c r="B28" s="87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46"/>
      <c r="W28" s="15"/>
      <c r="X28" s="14"/>
      <c r="Y28" s="14"/>
    </row>
    <row r="29">
      <c r="A29" s="19"/>
      <c r="B29" s="87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46"/>
      <c r="W29" s="15"/>
      <c r="X29" s="14"/>
      <c r="Y29" s="14"/>
    </row>
    <row r="30">
      <c r="A30" s="19"/>
      <c r="B30" s="87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46"/>
      <c r="W30" s="15"/>
      <c r="X30" s="14"/>
      <c r="Y30" s="14"/>
    </row>
    <row r="31">
      <c r="A31" s="19"/>
      <c r="B31" s="87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46"/>
      <c r="W31" s="15"/>
      <c r="X31" s="14"/>
      <c r="Y31" s="14"/>
    </row>
    <row r="32">
      <c r="A32" s="19"/>
      <c r="B32" s="86">
        <v>85.0</v>
      </c>
      <c r="C32" s="86">
        <v>86.0</v>
      </c>
      <c r="D32" s="86">
        <v>87.0</v>
      </c>
      <c r="E32" s="86">
        <v>88.0</v>
      </c>
      <c r="F32" s="86">
        <v>89.0</v>
      </c>
      <c r="G32" s="86">
        <v>90.0</v>
      </c>
      <c r="H32" s="86">
        <v>91.0</v>
      </c>
      <c r="I32" s="86">
        <v>92.0</v>
      </c>
      <c r="J32" s="86">
        <v>93.0</v>
      </c>
      <c r="K32" s="86">
        <v>94.0</v>
      </c>
      <c r="L32" s="86">
        <v>95.0</v>
      </c>
      <c r="M32" s="86">
        <v>96.0</v>
      </c>
      <c r="N32" s="86">
        <v>97.0</v>
      </c>
      <c r="O32" s="86">
        <v>98.0</v>
      </c>
      <c r="P32" s="86">
        <v>99.0</v>
      </c>
      <c r="Q32" s="86">
        <v>100.0</v>
      </c>
      <c r="R32" s="86">
        <v>101.0</v>
      </c>
      <c r="S32" s="86">
        <v>102.0</v>
      </c>
      <c r="T32" s="86">
        <v>103.0</v>
      </c>
      <c r="U32" s="86">
        <v>104.0</v>
      </c>
      <c r="V32" s="86">
        <v>105.0</v>
      </c>
      <c r="W32" s="15"/>
      <c r="X32" s="14"/>
      <c r="Y32" s="14"/>
    </row>
    <row r="33">
      <c r="A33" s="19"/>
      <c r="B33" s="87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46"/>
      <c r="W33" s="15"/>
      <c r="X33" s="14"/>
      <c r="Y33" s="14"/>
    </row>
    <row r="34">
      <c r="A34" s="19"/>
      <c r="B34" s="87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46"/>
      <c r="W34" s="15"/>
      <c r="X34" s="14"/>
      <c r="Y34" s="14"/>
    </row>
    <row r="35">
      <c r="A35" s="19"/>
      <c r="B35" s="8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46"/>
      <c r="W35" s="15"/>
      <c r="X35" s="14"/>
      <c r="Y35" s="14"/>
    </row>
    <row r="36">
      <c r="A36" s="19"/>
      <c r="B36" s="87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46"/>
      <c r="W36" s="15"/>
      <c r="X36" s="14"/>
      <c r="Y36" s="14"/>
    </row>
    <row r="37" ht="33.75" customHeight="1">
      <c r="A37" s="19"/>
      <c r="B37" s="87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46"/>
      <c r="W37" s="15"/>
      <c r="X37" s="14"/>
      <c r="Y37" s="14"/>
    </row>
    <row r="38" ht="9.0" customHeight="1">
      <c r="A38" s="19"/>
      <c r="B38" s="19"/>
      <c r="V38" s="96"/>
      <c r="W38" s="15"/>
      <c r="X38" s="14"/>
      <c r="Y38" s="14"/>
    </row>
    <row r="39" ht="6.75" customHeight="1">
      <c r="A39" s="19"/>
      <c r="B39" s="97"/>
      <c r="V39" s="96"/>
      <c r="W39" s="15"/>
      <c r="X39" s="14"/>
      <c r="Y39" s="14"/>
    </row>
    <row r="40" ht="9.75" customHeight="1">
      <c r="A40" s="19"/>
      <c r="B40" s="97"/>
      <c r="V40" s="96"/>
      <c r="W40" s="15"/>
      <c r="X40" s="14"/>
      <c r="Y40" s="14"/>
    </row>
    <row r="41" ht="1.5" customHeight="1">
      <c r="A41" s="19"/>
      <c r="B41" s="97"/>
      <c r="V41" s="96"/>
      <c r="W41" s="15"/>
      <c r="X41" s="14"/>
      <c r="Y41" s="14"/>
    </row>
    <row r="42">
      <c r="A42" s="19"/>
      <c r="B42" s="23" t="s">
        <v>215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12"/>
      <c r="W42" s="15"/>
      <c r="X42" s="14"/>
      <c r="Y42" s="14"/>
    </row>
    <row r="43">
      <c r="A43" s="19"/>
      <c r="B43" s="98" t="s">
        <v>219</v>
      </c>
      <c r="C43" s="99"/>
      <c r="D43" s="99"/>
      <c r="E43" s="99"/>
      <c r="F43" s="100"/>
      <c r="G43" s="98" t="s">
        <v>220</v>
      </c>
      <c r="H43" s="99"/>
      <c r="I43" s="99"/>
      <c r="J43" s="99"/>
      <c r="K43" s="100"/>
      <c r="L43" s="98" t="s">
        <v>221</v>
      </c>
      <c r="M43" s="99"/>
      <c r="N43" s="99"/>
      <c r="O43" s="99"/>
      <c r="P43" s="99"/>
      <c r="Q43" s="100"/>
      <c r="R43" s="98" t="s">
        <v>32</v>
      </c>
      <c r="S43" s="99"/>
      <c r="T43" s="99"/>
      <c r="U43" s="99"/>
      <c r="V43" s="100"/>
      <c r="W43" s="15"/>
      <c r="X43" s="14"/>
      <c r="Y43" s="14"/>
    </row>
    <row r="44">
      <c r="A44" s="19"/>
      <c r="B44" s="101" t="s">
        <v>225</v>
      </c>
      <c r="C44" s="14"/>
      <c r="D44" s="14"/>
      <c r="E44" s="14"/>
      <c r="F44" s="102"/>
      <c r="G44" s="103"/>
      <c r="H44" s="14"/>
      <c r="I44" s="14"/>
      <c r="J44" s="14"/>
      <c r="K44" s="102"/>
      <c r="L44" s="14"/>
      <c r="M44" s="14"/>
      <c r="N44" s="14"/>
      <c r="O44" s="14"/>
      <c r="P44" s="14"/>
      <c r="Q44" s="14"/>
      <c r="R44" s="101" t="s">
        <v>230</v>
      </c>
      <c r="S44" s="14"/>
      <c r="T44" s="14"/>
      <c r="U44" s="14"/>
      <c r="V44" s="102"/>
      <c r="W44" s="15"/>
      <c r="X44" s="14"/>
      <c r="Y44" s="14"/>
    </row>
    <row r="45">
      <c r="A45" s="19"/>
      <c r="B45" s="101" t="s">
        <v>231</v>
      </c>
      <c r="C45" s="14"/>
      <c r="D45" s="14"/>
      <c r="E45" s="14"/>
      <c r="F45" s="102"/>
      <c r="G45" s="103"/>
      <c r="H45" s="14"/>
      <c r="I45" s="14"/>
      <c r="J45" s="14"/>
      <c r="K45" s="102"/>
      <c r="L45" s="14"/>
      <c r="M45" s="14"/>
      <c r="N45" s="14"/>
      <c r="O45" s="14"/>
      <c r="P45" s="14"/>
      <c r="Q45" s="14"/>
      <c r="R45" s="101" t="s">
        <v>232</v>
      </c>
      <c r="S45" s="14"/>
      <c r="T45" s="14"/>
      <c r="U45" s="14"/>
      <c r="V45" s="102"/>
      <c r="W45" s="15"/>
      <c r="X45" s="14"/>
      <c r="Y45" s="14"/>
    </row>
    <row r="46">
      <c r="A46" s="19"/>
      <c r="B46" s="101" t="s">
        <v>236</v>
      </c>
      <c r="C46" s="14"/>
      <c r="D46" s="14"/>
      <c r="E46" s="14"/>
      <c r="F46" s="102"/>
      <c r="G46" s="103"/>
      <c r="H46" s="14"/>
      <c r="I46" s="14"/>
      <c r="J46" s="14"/>
      <c r="K46" s="102"/>
      <c r="L46" s="14"/>
      <c r="M46" s="14"/>
      <c r="N46" s="14"/>
      <c r="O46" s="14"/>
      <c r="P46" s="14"/>
      <c r="Q46" s="14"/>
      <c r="R46" s="101" t="s">
        <v>237</v>
      </c>
      <c r="S46" s="14"/>
      <c r="T46" s="14"/>
      <c r="U46" s="14"/>
      <c r="V46" s="102"/>
      <c r="W46" s="15"/>
      <c r="X46" s="14"/>
      <c r="Y46" s="14"/>
    </row>
    <row r="47">
      <c r="A47" s="19"/>
      <c r="B47" s="101" t="s">
        <v>238</v>
      </c>
      <c r="C47" s="14"/>
      <c r="D47" s="14"/>
      <c r="E47" s="14"/>
      <c r="F47" s="102"/>
      <c r="G47" s="103"/>
      <c r="H47" s="14"/>
      <c r="I47" s="14"/>
      <c r="J47" s="14"/>
      <c r="K47" s="102"/>
      <c r="L47" s="14"/>
      <c r="M47" s="14"/>
      <c r="N47" s="14"/>
      <c r="O47" s="14"/>
      <c r="P47" s="14"/>
      <c r="Q47" s="14"/>
      <c r="R47" s="101" t="s">
        <v>243</v>
      </c>
      <c r="S47" s="14"/>
      <c r="T47" s="14"/>
      <c r="U47" s="14"/>
      <c r="V47" s="102"/>
      <c r="W47" s="15"/>
      <c r="X47" s="14"/>
      <c r="Y47" s="14"/>
    </row>
    <row r="48">
      <c r="A48" s="19"/>
      <c r="B48" s="101" t="s">
        <v>244</v>
      </c>
      <c r="C48" s="14"/>
      <c r="D48" s="14"/>
      <c r="E48" s="14"/>
      <c r="F48" s="102"/>
      <c r="G48" s="103"/>
      <c r="H48" s="14"/>
      <c r="I48" s="14"/>
      <c r="J48" s="14"/>
      <c r="K48" s="102"/>
      <c r="L48" s="14"/>
      <c r="M48" s="14"/>
      <c r="N48" s="14"/>
      <c r="O48" s="14"/>
      <c r="P48" s="14"/>
      <c r="Q48" s="14"/>
      <c r="R48" s="101" t="s">
        <v>248</v>
      </c>
      <c r="S48" s="14"/>
      <c r="T48" s="14"/>
      <c r="U48" s="14"/>
      <c r="V48" s="102"/>
      <c r="W48" s="15"/>
      <c r="X48" s="14"/>
      <c r="Y48" s="14"/>
    </row>
    <row r="49">
      <c r="A49" s="19"/>
      <c r="B49" s="101" t="s">
        <v>231</v>
      </c>
      <c r="C49" s="14"/>
      <c r="D49" s="14"/>
      <c r="E49" s="14"/>
      <c r="F49" s="102"/>
      <c r="G49" s="103"/>
      <c r="H49" s="14"/>
      <c r="I49" s="14"/>
      <c r="J49" s="14"/>
      <c r="K49" s="102"/>
      <c r="L49" s="14"/>
      <c r="M49" s="14"/>
      <c r="N49" s="14"/>
      <c r="O49" s="14"/>
      <c r="P49" s="14"/>
      <c r="Q49" s="14"/>
      <c r="R49" s="101" t="s">
        <v>251</v>
      </c>
      <c r="S49" s="14"/>
      <c r="T49" s="14"/>
      <c r="U49" s="14"/>
      <c r="V49" s="102"/>
      <c r="W49" s="15"/>
      <c r="X49" s="14"/>
      <c r="Y49" s="14"/>
    </row>
    <row r="50">
      <c r="A50" s="19"/>
      <c r="B50" s="101" t="s">
        <v>253</v>
      </c>
      <c r="C50" s="14"/>
      <c r="D50" s="14"/>
      <c r="E50" s="14"/>
      <c r="F50" s="102"/>
      <c r="G50" s="103"/>
      <c r="H50" s="14"/>
      <c r="I50" s="14"/>
      <c r="J50" s="14"/>
      <c r="K50" s="102"/>
      <c r="L50" s="14"/>
      <c r="M50" s="14"/>
      <c r="N50" s="14"/>
      <c r="O50" s="14"/>
      <c r="P50" s="14"/>
      <c r="Q50" s="14"/>
      <c r="R50" s="101" t="s">
        <v>254</v>
      </c>
      <c r="S50" s="14"/>
      <c r="T50" s="14"/>
      <c r="U50" s="14"/>
      <c r="V50" s="102"/>
      <c r="W50" s="15"/>
      <c r="X50" s="14"/>
      <c r="Y50" s="14"/>
    </row>
    <row r="51">
      <c r="A51" s="19"/>
      <c r="B51" s="101" t="s">
        <v>257</v>
      </c>
      <c r="C51" s="14"/>
      <c r="D51" s="14"/>
      <c r="E51" s="14"/>
      <c r="F51" s="102"/>
      <c r="G51" s="103"/>
      <c r="H51" s="14"/>
      <c r="I51" s="14"/>
      <c r="J51" s="14"/>
      <c r="K51" s="102"/>
      <c r="L51" s="14"/>
      <c r="M51" s="14"/>
      <c r="N51" s="14"/>
      <c r="O51" s="14"/>
      <c r="P51" s="14"/>
      <c r="Q51" s="14"/>
      <c r="R51" s="103"/>
      <c r="S51" s="14"/>
      <c r="T51" s="14"/>
      <c r="U51" s="14"/>
      <c r="V51" s="102"/>
      <c r="W51" s="15"/>
      <c r="X51" s="14"/>
      <c r="Y51" s="14"/>
    </row>
    <row r="52">
      <c r="A52" s="19"/>
      <c r="B52" s="101" t="s">
        <v>259</v>
      </c>
      <c r="C52" s="14"/>
      <c r="D52" s="14"/>
      <c r="E52" s="14"/>
      <c r="F52" s="102"/>
      <c r="G52" s="14"/>
      <c r="H52" s="14"/>
      <c r="I52" s="14"/>
      <c r="J52" s="14"/>
      <c r="K52" s="102"/>
      <c r="L52" s="14"/>
      <c r="M52" s="14"/>
      <c r="N52" s="14"/>
      <c r="O52" s="14"/>
      <c r="P52" s="14"/>
      <c r="Q52" s="14"/>
      <c r="R52" s="103"/>
      <c r="S52" s="14"/>
      <c r="T52" s="14"/>
      <c r="U52" s="14"/>
      <c r="V52" s="102"/>
      <c r="W52" s="15"/>
      <c r="X52" s="14"/>
      <c r="Y52" s="14"/>
    </row>
    <row r="53">
      <c r="A53" s="19"/>
      <c r="B53" s="101" t="s">
        <v>259</v>
      </c>
      <c r="C53" s="14"/>
      <c r="D53" s="14"/>
      <c r="E53" s="14"/>
      <c r="F53" s="102"/>
      <c r="G53" s="14"/>
      <c r="H53" s="14"/>
      <c r="I53" s="14"/>
      <c r="J53" s="14"/>
      <c r="K53" s="102"/>
      <c r="L53" s="14"/>
      <c r="M53" s="14"/>
      <c r="N53" s="14"/>
      <c r="O53" s="14"/>
      <c r="P53" s="14"/>
      <c r="Q53" s="14"/>
      <c r="R53" s="103"/>
      <c r="S53" s="14"/>
      <c r="T53" s="14"/>
      <c r="U53" s="14"/>
      <c r="V53" s="102"/>
      <c r="W53" s="15"/>
      <c r="X53" s="14"/>
      <c r="Y53" s="14"/>
    </row>
    <row r="54">
      <c r="A54" s="19"/>
      <c r="B54" s="101" t="s">
        <v>268</v>
      </c>
      <c r="C54" s="14"/>
      <c r="D54" s="14"/>
      <c r="E54" s="14"/>
      <c r="F54" s="102"/>
      <c r="G54" s="103"/>
      <c r="H54" s="14"/>
      <c r="I54" s="14"/>
      <c r="J54" s="14"/>
      <c r="K54" s="102"/>
      <c r="L54" s="14"/>
      <c r="M54" s="14"/>
      <c r="N54" s="14"/>
      <c r="O54" s="14"/>
      <c r="P54" s="14"/>
      <c r="Q54" s="14"/>
      <c r="R54" s="103"/>
      <c r="S54" s="14"/>
      <c r="T54" s="14"/>
      <c r="U54" s="14"/>
      <c r="V54" s="102"/>
      <c r="W54" s="15"/>
      <c r="X54" s="14"/>
      <c r="Y54" s="14"/>
    </row>
    <row r="55">
      <c r="A55" s="19"/>
      <c r="B55" s="101" t="s">
        <v>271</v>
      </c>
      <c r="C55" s="14"/>
      <c r="D55" s="14"/>
      <c r="E55" s="14"/>
      <c r="F55" s="102"/>
      <c r="G55" s="103"/>
      <c r="H55" s="14"/>
      <c r="I55" s="14"/>
      <c r="J55" s="14"/>
      <c r="K55" s="102"/>
      <c r="L55" s="14"/>
      <c r="M55" s="14"/>
      <c r="N55" s="14"/>
      <c r="O55" s="14"/>
      <c r="P55" s="14"/>
      <c r="Q55" s="14"/>
      <c r="R55" s="103"/>
      <c r="S55" s="14"/>
      <c r="T55" s="14"/>
      <c r="U55" s="14"/>
      <c r="V55" s="102"/>
      <c r="W55" s="15"/>
      <c r="X55" s="14"/>
      <c r="Y55" s="14"/>
    </row>
    <row r="56">
      <c r="A56" s="19"/>
      <c r="B56" s="101" t="s">
        <v>275</v>
      </c>
      <c r="C56" s="14"/>
      <c r="D56" s="14"/>
      <c r="E56" s="14"/>
      <c r="F56" s="102"/>
      <c r="G56" s="103"/>
      <c r="H56" s="14"/>
      <c r="I56" s="14"/>
      <c r="J56" s="14"/>
      <c r="K56" s="102"/>
      <c r="L56" s="14"/>
      <c r="M56" s="14"/>
      <c r="N56" s="14"/>
      <c r="O56" s="14"/>
      <c r="P56" s="14"/>
      <c r="Q56" s="14"/>
      <c r="R56" s="103"/>
      <c r="S56" s="14"/>
      <c r="T56" s="14"/>
      <c r="U56" s="14"/>
      <c r="V56" s="102"/>
      <c r="W56" s="15"/>
      <c r="X56" s="14"/>
      <c r="Y56" s="14"/>
    </row>
    <row r="57">
      <c r="A57" s="19"/>
      <c r="B57" s="101" t="s">
        <v>280</v>
      </c>
      <c r="C57" s="14"/>
      <c r="D57" s="14"/>
      <c r="E57" s="14"/>
      <c r="F57" s="102"/>
      <c r="G57" s="103"/>
      <c r="H57" s="14"/>
      <c r="I57" s="14"/>
      <c r="J57" s="14"/>
      <c r="K57" s="102"/>
      <c r="L57" s="14"/>
      <c r="M57" s="14"/>
      <c r="N57" s="14"/>
      <c r="O57" s="14"/>
      <c r="P57" s="14"/>
      <c r="Q57" s="14"/>
      <c r="R57" s="103"/>
      <c r="S57" s="14"/>
      <c r="T57" s="14"/>
      <c r="U57" s="14"/>
      <c r="V57" s="102"/>
      <c r="W57" s="15"/>
      <c r="X57" s="14"/>
      <c r="Y57" s="14"/>
    </row>
    <row r="58">
      <c r="A58" s="19"/>
      <c r="B58" s="101" t="s">
        <v>284</v>
      </c>
      <c r="C58" s="14"/>
      <c r="D58" s="14"/>
      <c r="E58" s="14"/>
      <c r="F58" s="102"/>
      <c r="G58" s="103"/>
      <c r="H58" s="14"/>
      <c r="I58" s="14"/>
      <c r="J58" s="14"/>
      <c r="K58" s="102"/>
      <c r="L58" s="14"/>
      <c r="M58" s="14"/>
      <c r="N58" s="14"/>
      <c r="O58" s="14"/>
      <c r="P58" s="14"/>
      <c r="Q58" s="14"/>
      <c r="R58" s="103"/>
      <c r="S58" s="14"/>
      <c r="T58" s="14"/>
      <c r="U58" s="14"/>
      <c r="V58" s="102"/>
      <c r="W58" s="15"/>
      <c r="X58" s="14"/>
      <c r="Y58" s="14"/>
    </row>
    <row r="59">
      <c r="A59" s="19"/>
      <c r="B59" s="101" t="s">
        <v>285</v>
      </c>
      <c r="C59" s="14"/>
      <c r="D59" s="14"/>
      <c r="E59" s="14"/>
      <c r="F59" s="102"/>
      <c r="G59" s="103"/>
      <c r="H59" s="14"/>
      <c r="I59" s="14"/>
      <c r="J59" s="14"/>
      <c r="K59" s="102"/>
      <c r="L59" s="14"/>
      <c r="M59" s="14"/>
      <c r="N59" s="14"/>
      <c r="O59" s="14"/>
      <c r="P59" s="14"/>
      <c r="Q59" s="14"/>
      <c r="R59" s="103"/>
      <c r="S59" s="14"/>
      <c r="T59" s="14"/>
      <c r="U59" s="14"/>
      <c r="V59" s="102"/>
      <c r="W59" s="15"/>
      <c r="X59" s="14"/>
      <c r="Y59" s="14"/>
    </row>
    <row r="60">
      <c r="A60" s="19"/>
      <c r="B60" s="101" t="s">
        <v>285</v>
      </c>
      <c r="C60" s="14"/>
      <c r="D60" s="14"/>
      <c r="E60" s="14"/>
      <c r="F60" s="102"/>
      <c r="G60" s="103"/>
      <c r="H60" s="14"/>
      <c r="I60" s="14"/>
      <c r="J60" s="14"/>
      <c r="K60" s="102"/>
      <c r="L60" s="14"/>
      <c r="M60" s="14"/>
      <c r="N60" s="14"/>
      <c r="O60" s="14"/>
      <c r="P60" s="14"/>
      <c r="Q60" s="14"/>
      <c r="R60" s="103"/>
      <c r="S60" s="14"/>
      <c r="T60" s="14"/>
      <c r="U60" s="14"/>
      <c r="V60" s="102"/>
      <c r="W60" s="15"/>
      <c r="X60" s="14"/>
      <c r="Y60" s="14"/>
    </row>
    <row r="61">
      <c r="A61" s="19"/>
      <c r="B61" s="101" t="s">
        <v>292</v>
      </c>
      <c r="C61" s="14"/>
      <c r="D61" s="14"/>
      <c r="E61" s="14"/>
      <c r="F61" s="102"/>
      <c r="G61" s="103"/>
      <c r="H61" s="14"/>
      <c r="I61" s="14"/>
      <c r="J61" s="14"/>
      <c r="K61" s="102"/>
      <c r="L61" s="14"/>
      <c r="M61" s="14"/>
      <c r="N61" s="14"/>
      <c r="O61" s="14"/>
      <c r="P61" s="14"/>
      <c r="Q61" s="14"/>
      <c r="R61" s="103"/>
      <c r="S61" s="14"/>
      <c r="T61" s="14"/>
      <c r="U61" s="14"/>
      <c r="V61" s="102"/>
      <c r="W61" s="15"/>
      <c r="X61" s="14"/>
      <c r="Y61" s="14"/>
    </row>
    <row r="62">
      <c r="A62" s="19"/>
      <c r="B62" s="101" t="s">
        <v>296</v>
      </c>
      <c r="C62" s="14"/>
      <c r="D62" s="14"/>
      <c r="E62" s="14"/>
      <c r="F62" s="102"/>
      <c r="G62" s="103"/>
      <c r="H62" s="14"/>
      <c r="I62" s="14"/>
      <c r="J62" s="14"/>
      <c r="K62" s="102"/>
      <c r="L62" s="14"/>
      <c r="M62" s="14"/>
      <c r="N62" s="14"/>
      <c r="O62" s="14"/>
      <c r="P62" s="14"/>
      <c r="Q62" s="14"/>
      <c r="R62" s="103"/>
      <c r="S62" s="14"/>
      <c r="T62" s="14"/>
      <c r="U62" s="14"/>
      <c r="V62" s="102"/>
      <c r="W62" s="15"/>
      <c r="X62" s="14"/>
      <c r="Y62" s="14"/>
    </row>
    <row r="63">
      <c r="A63" s="19"/>
      <c r="B63" s="109" t="s">
        <v>298</v>
      </c>
      <c r="C63" s="110"/>
      <c r="D63" s="110"/>
      <c r="E63" s="110"/>
      <c r="F63" s="111"/>
      <c r="G63" s="112"/>
      <c r="H63" s="110"/>
      <c r="I63" s="110"/>
      <c r="J63" s="110"/>
      <c r="K63" s="111"/>
      <c r="L63" s="14"/>
      <c r="M63" s="14"/>
      <c r="N63" s="14"/>
      <c r="O63" s="14"/>
      <c r="P63" s="14"/>
      <c r="Q63" s="14"/>
      <c r="R63" s="112"/>
      <c r="S63" s="110"/>
      <c r="T63" s="110"/>
      <c r="U63" s="110"/>
      <c r="V63" s="111"/>
      <c r="W63" s="15"/>
      <c r="X63" s="14"/>
      <c r="Y63" s="14"/>
    </row>
    <row r="64">
      <c r="A64" s="19"/>
      <c r="B64" s="19"/>
      <c r="V64" s="96"/>
      <c r="W64" s="15"/>
      <c r="X64" s="14"/>
      <c r="Y64" s="14"/>
    </row>
    <row r="65">
      <c r="A65" s="19"/>
      <c r="B65" s="113" t="s">
        <v>304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12"/>
      <c r="W65" s="15"/>
      <c r="X65" s="14"/>
      <c r="Y65" s="14"/>
    </row>
    <row r="66">
      <c r="A66" s="19"/>
      <c r="B66" s="114" t="s">
        <v>309</v>
      </c>
      <c r="C66" s="115"/>
      <c r="D66" s="116" t="s">
        <v>309</v>
      </c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7"/>
      <c r="W66" s="15"/>
      <c r="X66" s="14"/>
      <c r="Y66" s="14"/>
    </row>
    <row r="67">
      <c r="A67" s="19"/>
      <c r="B67" s="118" t="s">
        <v>309</v>
      </c>
      <c r="C67" s="119"/>
      <c r="D67" s="120" t="s">
        <v>271</v>
      </c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21"/>
      <c r="W67" s="15"/>
      <c r="X67" s="14"/>
      <c r="Y67" s="14"/>
    </row>
    <row r="68">
      <c r="A68" s="19"/>
      <c r="B68" s="118" t="s">
        <v>316</v>
      </c>
      <c r="C68" s="119"/>
      <c r="D68" s="120" t="s">
        <v>317</v>
      </c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21"/>
      <c r="W68" s="15"/>
      <c r="X68" s="14"/>
      <c r="Y68" s="14"/>
    </row>
    <row r="69">
      <c r="A69" s="19"/>
      <c r="B69" s="118" t="s">
        <v>321</v>
      </c>
      <c r="C69" s="119"/>
      <c r="D69" s="120" t="s">
        <v>321</v>
      </c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21"/>
      <c r="W69" s="15"/>
      <c r="X69" s="14"/>
      <c r="Y69" s="14"/>
    </row>
    <row r="70">
      <c r="A70" s="19"/>
      <c r="B70" s="118" t="s">
        <v>325</v>
      </c>
      <c r="C70" s="119"/>
      <c r="D70" s="120" t="s">
        <v>285</v>
      </c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21"/>
      <c r="W70" s="15"/>
      <c r="X70" s="14"/>
      <c r="Y70" s="14"/>
    </row>
    <row r="71">
      <c r="A71" s="19"/>
      <c r="B71" s="118" t="s">
        <v>325</v>
      </c>
      <c r="C71" s="119"/>
      <c r="D71" s="120" t="s">
        <v>285</v>
      </c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21"/>
      <c r="W71" s="15"/>
      <c r="X71" s="14"/>
      <c r="Y71" s="14"/>
    </row>
    <row r="72">
      <c r="A72" s="19"/>
      <c r="B72" s="118" t="s">
        <v>317</v>
      </c>
      <c r="C72" s="119"/>
      <c r="D72" s="120" t="s">
        <v>329</v>
      </c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21"/>
      <c r="W72" s="15"/>
      <c r="X72" s="14"/>
      <c r="Y72" s="14"/>
    </row>
    <row r="73">
      <c r="A73" s="19"/>
      <c r="B73" s="122" t="s">
        <v>329</v>
      </c>
      <c r="C73" s="119"/>
      <c r="D73" s="120" t="s">
        <v>334</v>
      </c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21"/>
      <c r="W73" s="15"/>
      <c r="X73" s="14"/>
      <c r="Y73" s="14"/>
    </row>
    <row r="74">
      <c r="A74" s="19"/>
      <c r="B74" s="122" t="s">
        <v>321</v>
      </c>
      <c r="C74" s="119"/>
      <c r="D74" s="120" t="s">
        <v>284</v>
      </c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21"/>
      <c r="W74" s="15"/>
      <c r="X74" s="14"/>
      <c r="Y74" s="14"/>
    </row>
    <row r="75">
      <c r="A75" s="124"/>
      <c r="B75" s="122" t="s">
        <v>342</v>
      </c>
      <c r="C75" s="119"/>
      <c r="D75" s="120" t="s">
        <v>292</v>
      </c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21"/>
      <c r="W75" s="15"/>
      <c r="X75" s="14"/>
      <c r="Y75" s="14"/>
    </row>
    <row r="76">
      <c r="A76" s="15"/>
      <c r="B76" s="122" t="s">
        <v>343</v>
      </c>
      <c r="C76" s="119"/>
      <c r="D76" s="120" t="s">
        <v>285</v>
      </c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21"/>
      <c r="W76" s="15"/>
      <c r="X76" s="14"/>
      <c r="Y76" s="14"/>
    </row>
    <row r="77">
      <c r="A77" s="15"/>
      <c r="B77" s="122" t="s">
        <v>321</v>
      </c>
      <c r="C77" s="119"/>
      <c r="D77" s="120" t="s">
        <v>253</v>
      </c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21"/>
      <c r="W77" s="15"/>
      <c r="X77" s="14"/>
      <c r="Y77" s="14"/>
    </row>
    <row r="78">
      <c r="A78" s="15"/>
      <c r="B78" s="122" t="s">
        <v>309</v>
      </c>
      <c r="C78" s="119"/>
      <c r="D78" s="120" t="s">
        <v>350</v>
      </c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21"/>
      <c r="W78" s="15"/>
      <c r="X78" s="14"/>
      <c r="Y78" s="14"/>
    </row>
    <row r="79">
      <c r="A79" s="15"/>
      <c r="X79" s="14"/>
      <c r="Y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</row>
  </sheetData>
  <mergeCells count="11">
    <mergeCell ref="L43:Q43"/>
    <mergeCell ref="B64:V64"/>
    <mergeCell ref="B65:V65"/>
    <mergeCell ref="A79:W79"/>
    <mergeCell ref="A1:V1"/>
    <mergeCell ref="B2:V2"/>
    <mergeCell ref="B38:V41"/>
    <mergeCell ref="B42:V42"/>
    <mergeCell ref="B43:F43"/>
    <mergeCell ref="G43:K43"/>
    <mergeCell ref="R43:V4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10.75"/>
    <col customWidth="1" min="3" max="3" width="15.5"/>
    <col customWidth="1" min="4" max="4" width="5.88"/>
    <col customWidth="1" min="8" max="8" width="6.5"/>
    <col customWidth="1" min="12" max="12" width="4.88"/>
  </cols>
  <sheetData>
    <row r="1">
      <c r="A1" s="5">
        <f>TODAY()</f>
        <v>46265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11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>
      <c r="A2" s="22" t="s">
        <v>23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11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ht="11.2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22" t="s">
        <v>28</v>
      </c>
      <c r="B4" s="7"/>
      <c r="C4" s="11"/>
      <c r="D4" s="14"/>
      <c r="E4" s="22" t="s">
        <v>29</v>
      </c>
      <c r="F4" s="7"/>
      <c r="G4" s="11"/>
      <c r="H4" s="14"/>
      <c r="I4" s="22" t="s">
        <v>31</v>
      </c>
      <c r="J4" s="7"/>
      <c r="K4" s="11"/>
      <c r="L4" s="14"/>
      <c r="M4" s="22" t="s">
        <v>32</v>
      </c>
      <c r="N4" s="7"/>
      <c r="O4" s="11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30" t="str">
        <f>IFERROR(__xludf.DUMMYFUNCTION("IFERROR(QUERY(TOCOL(Mapa!B66:V78, 1), ""SELECT Col1, COUNT(Col1) GROUP BY Col1 LABEL Col1 'Rota', COUNT(Col1) 'Quantidade'""), ""Sem dados"")"),"Rota")</f>
        <v>Rota</v>
      </c>
      <c r="B5" s="30" t="str">
        <f>IFERROR(__xludf.DUMMYFUNCTION("""COMPUTED_VALUE"""),"Quantidade")</f>
        <v>Quantidade</v>
      </c>
      <c r="C5" s="31" t="s">
        <v>13</v>
      </c>
      <c r="D5" s="14"/>
      <c r="E5" s="30" t="str">
        <f>IFERROR(__xludf.DUMMYFUNCTION("IFERROR(QUERY(TOCOL(Mapa!B44:F63, 1), ""SELECT Col1, COUNT(Col1) GROUP BY Col1 LABEL Col1 'Rota', COUNT(Col1) 'Quantidade'""), ""Sem dados"")"),"Rota")</f>
        <v>Rota</v>
      </c>
      <c r="F5" s="30" t="str">
        <f>IFERROR(__xludf.DUMMYFUNCTION("""COMPUTED_VALUE"""),"Quantidade")</f>
        <v>Quantidade</v>
      </c>
      <c r="G5" s="30" t="s">
        <v>0</v>
      </c>
      <c r="H5" s="14"/>
      <c r="I5" s="30" t="str">
        <f>IFERROR(__xludf.DUMMYFUNCTION("IFERROR(QUERY(TOCOL(Mapa!G44:K63, 1), ""SELECT Col1, COUNT(Col1) GROUP BY Col1 LABEL Col1 'Rota', COUNT(Col1) 'Quantidade'""), ""Sem dados"")"),"Sem dados")</f>
        <v>Sem dados</v>
      </c>
      <c r="J5" s="30"/>
      <c r="K5" s="30" t="s">
        <v>0</v>
      </c>
      <c r="L5" s="14"/>
      <c r="M5" s="30" t="str">
        <f>IFERROR(__xludf.DUMMYFUNCTION("IFERROR(QUERY(TOCOL(Mapa!R44:V63, 1), ""SELECT Col1, COUNT(Col1) GROUP BY Col1 LABEL Col1 'Rota', COUNT(Col1) 'Quantidade'""), ""Sem dados"")"),"Rota")</f>
        <v>Rota</v>
      </c>
      <c r="N5" s="30" t="str">
        <f>IFERROR(__xludf.DUMMYFUNCTION("""COMPUTED_VALUE"""),"Quantidade")</f>
        <v>Quantidade</v>
      </c>
      <c r="O5" s="30" t="s">
        <v>0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38" t="str">
        <f>IFERROR(__xludf.DUMMYFUNCTION("""COMPUTED_VALUE"""),"C3")</f>
        <v>C3</v>
      </c>
      <c r="B6" s="40">
        <f>IFERROR(__xludf.DUMMYFUNCTION("""COMPUTED_VALUE"""),1.0)</f>
        <v>1</v>
      </c>
      <c r="C6" s="46" t="str">
        <f>IFERROR(VLOOKUP(CONCATENATE(A6,"_AM1"),'Dist expedição'!C:P,14,0),"")</f>
        <v>Onda 5 - 19</v>
      </c>
      <c r="D6" s="14"/>
      <c r="E6" s="38" t="str">
        <f>IFERROR(__xludf.DUMMYFUNCTION("""COMPUTED_VALUE"""),"A2")</f>
        <v>A2</v>
      </c>
      <c r="F6" s="40">
        <f>IFERROR(__xludf.DUMMYFUNCTION("""COMPUTED_VALUE"""),1.0)</f>
        <v>1</v>
      </c>
      <c r="G6" s="46" t="str">
        <f>IFERROR(VLOOKUP(CONCATENATE(E6,"_AM1"),'Dist expedição'!C:P,14,0),"")</f>
        <v>Onda 4 - 24</v>
      </c>
      <c r="H6" s="14"/>
      <c r="I6" s="38"/>
      <c r="J6" s="38"/>
      <c r="K6" s="46" t="str">
        <f>IFERROR(VLOOKUP(CONCATENATE(I6,"_AM1"),'Dist expedição'!C:P,14,0),"")</f>
        <v/>
      </c>
      <c r="L6" s="14"/>
      <c r="M6" s="38" t="str">
        <f>IFERROR(__xludf.DUMMYFUNCTION("""COMPUTED_VALUE"""),"B7")</f>
        <v>B7</v>
      </c>
      <c r="N6" s="40">
        <f>IFERROR(__xludf.DUMMYFUNCTION("""COMPUTED_VALUE"""),1.0)</f>
        <v>1</v>
      </c>
      <c r="O6" s="46" t="str">
        <f>IFERROR(VLOOKUP(CONCATENATE(M6,"_AM1"),'Dist expedição'!C:P,14,0),"")</f>
        <v>Onda 5 - 27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38" t="str">
        <f>IFERROR(__xludf.DUMMYFUNCTION("""COMPUTED_VALUE"""),"D1")</f>
        <v>D1</v>
      </c>
      <c r="B7" s="40">
        <f>IFERROR(__xludf.DUMMYFUNCTION("""COMPUTED_VALUE"""),1.0)</f>
        <v>1</v>
      </c>
      <c r="C7" s="46" t="str">
        <f>IFERROR(VLOOKUP(CONCATENATE(A7,"_AM1"),'Dist expedição'!C:P,14,0),"")</f>
        <v>Onda 4 - 18</v>
      </c>
      <c r="D7" s="14"/>
      <c r="E7" s="38" t="str">
        <f>IFERROR(__xludf.DUMMYFUNCTION("""COMPUTED_VALUE"""),"A3")</f>
        <v>A3</v>
      </c>
      <c r="F7" s="40">
        <f>IFERROR(__xludf.DUMMYFUNCTION("""COMPUTED_VALUE"""),1.0)</f>
        <v>1</v>
      </c>
      <c r="G7" s="46" t="str">
        <f>IFERROR(VLOOKUP(CONCATENATE(E7,"_AM1"),'Dist expedição'!C:P,14,0),"")</f>
        <v>Onda 5 - 24</v>
      </c>
      <c r="H7" s="14"/>
      <c r="I7" s="38"/>
      <c r="J7" s="38"/>
      <c r="K7" s="46" t="str">
        <f>IFERROR(VLOOKUP(CONCATENATE(I7,"_AM1"),'Dist expedição'!C:P,12,0),"")</f>
        <v/>
      </c>
      <c r="L7" s="14"/>
      <c r="M7" s="38" t="str">
        <f>IFERROR(__xludf.DUMMYFUNCTION("""COMPUTED_VALUE"""),"D3")</f>
        <v>D3</v>
      </c>
      <c r="N7" s="40">
        <f>IFERROR(__xludf.DUMMYFUNCTION("""COMPUTED_VALUE"""),1.0)</f>
        <v>1</v>
      </c>
      <c r="O7" s="46" t="str">
        <f>IFERROR(VLOOKUP(CONCATENATE(M7,"_AM1"),'Dist expedição'!C:P,14,0),"")</f>
        <v>Onda 5 - 9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38" t="str">
        <f>IFERROR(__xludf.DUMMYFUNCTION("""COMPUTED_VALUE"""),"I1")</f>
        <v>I1</v>
      </c>
      <c r="B8" s="40">
        <f>IFERROR(__xludf.DUMMYFUNCTION("""COMPUTED_VALUE"""),1.0)</f>
        <v>1</v>
      </c>
      <c r="C8" s="46" t="str">
        <f>IFERROR(VLOOKUP(CONCATENATE(A8,"_AM1"),'Dist expedição'!C:P,14,0),"")</f>
        <v>Onda 4 - 19</v>
      </c>
      <c r="D8" s="14"/>
      <c r="E8" s="38" t="str">
        <f>IFERROR(__xludf.DUMMYFUNCTION("""COMPUTED_VALUE"""),"A6")</f>
        <v>A6</v>
      </c>
      <c r="F8" s="40">
        <f>IFERROR(__xludf.DUMMYFUNCTION("""COMPUTED_VALUE"""),1.0)</f>
        <v>1</v>
      </c>
      <c r="G8" s="46" t="str">
        <f>IFERROR(VLOOKUP(CONCATENATE(E8,"_AM1"),'Dist expedição'!C:P,14,0),"")</f>
        <v>Onda 4 - 23</v>
      </c>
      <c r="H8" s="14"/>
      <c r="I8" s="38"/>
      <c r="J8" s="38"/>
      <c r="K8" s="46" t="str">
        <f>IFERROR(VLOOKUP(CONCATENATE(I8,"_AM1"),'Dist expedição'!C:P,12,0),"")</f>
        <v/>
      </c>
      <c r="L8" s="14"/>
      <c r="M8" s="38" t="str">
        <f>IFERROR(__xludf.DUMMYFUNCTION("""COMPUTED_VALUE"""),"P9")</f>
        <v>P9</v>
      </c>
      <c r="N8" s="40">
        <f>IFERROR(__xludf.DUMMYFUNCTION("""COMPUTED_VALUE"""),1.0)</f>
        <v>1</v>
      </c>
      <c r="O8" s="46" t="str">
        <f>IFERROR(VLOOKUP(CONCATENATE(M8,"_AM1"),'Dist expedição'!C:P,14,0),"")</f>
        <v>Onda 3 - 27</v>
      </c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38" t="str">
        <f>IFERROR(__xludf.DUMMYFUNCTION("""COMPUTED_VALUE"""),"I10")</f>
        <v>I10</v>
      </c>
      <c r="B9" s="40">
        <f>IFERROR(__xludf.DUMMYFUNCTION("""COMPUTED_VALUE"""),1.0)</f>
        <v>1</v>
      </c>
      <c r="C9" s="46" t="str">
        <f>IFERROR(VLOOKUP(CONCATENATE(A9,"_AM1"),'Dist expedição'!C:P,14,0),"")</f>
        <v>Onda 4 - 29</v>
      </c>
      <c r="D9" s="14"/>
      <c r="E9" s="38" t="str">
        <f>IFERROR(__xludf.DUMMYFUNCTION("""COMPUTED_VALUE"""),"B8")</f>
        <v>B8</v>
      </c>
      <c r="F9" s="40">
        <f>IFERROR(__xludf.DUMMYFUNCTION("""COMPUTED_VALUE"""),1.0)</f>
        <v>1</v>
      </c>
      <c r="G9" s="46" t="str">
        <f>IFERROR(VLOOKUP(CONCATENATE(E9,"_AM1"),'Dist expedição'!C:P,14,0),"")</f>
        <v>Onda 5 - 16</v>
      </c>
      <c r="H9" s="14"/>
      <c r="I9" s="38"/>
      <c r="J9" s="38"/>
      <c r="K9" s="46" t="str">
        <f>IFERROR(VLOOKUP(CONCATENATE(I9,"_AM1"),'Dist expedição'!C:P,12,0),"")</f>
        <v/>
      </c>
      <c r="L9" s="14"/>
      <c r="M9" s="38" t="str">
        <f>IFERROR(__xludf.DUMMYFUNCTION("""COMPUTED_VALUE"""),"Q5")</f>
        <v>Q5</v>
      </c>
      <c r="N9" s="40">
        <f>IFERROR(__xludf.DUMMYFUNCTION("""COMPUTED_VALUE"""),1.0)</f>
        <v>1</v>
      </c>
      <c r="O9" s="46" t="str">
        <f>IFERROR(VLOOKUP(CONCATENATE(M9,"_AM1"),'Dist expedição'!C:P,14,0),"")</f>
        <v>Onda 3 - 20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38" t="str">
        <f>IFERROR(__xludf.DUMMYFUNCTION("""COMPUTED_VALUE"""),"I7")</f>
        <v>I7</v>
      </c>
      <c r="B10" s="40">
        <f>IFERROR(__xludf.DUMMYFUNCTION("""COMPUTED_VALUE"""),1.0)</f>
        <v>1</v>
      </c>
      <c r="C10" s="46" t="str">
        <f>IFERROR(VLOOKUP(CONCATENATE(A10,"_AM1"),'Dist expedição'!C:P,14,0),"")</f>
        <v>Onda 6 - 26</v>
      </c>
      <c r="D10" s="14"/>
      <c r="E10" s="38" t="str">
        <f>IFERROR(__xludf.DUMMYFUNCTION("""COMPUTED_VALUE"""),"B9")</f>
        <v>B9</v>
      </c>
      <c r="F10" s="40">
        <f>IFERROR(__xludf.DUMMYFUNCTION("""COMPUTED_VALUE"""),2.0)</f>
        <v>2</v>
      </c>
      <c r="G10" s="46" t="str">
        <f>IFERROR(VLOOKUP(CONCATENATE(E10,"_AM1"),'Dist expedição'!C:P,14,0),"")</f>
        <v>Onda 5 - 13</v>
      </c>
      <c r="H10" s="14"/>
      <c r="I10" s="38"/>
      <c r="J10" s="38"/>
      <c r="K10" s="46" t="str">
        <f>IFERROR(VLOOKUP(CONCATENATE(I10,"_AM1"),'Dist expedição'!C:P,12,0),"")</f>
        <v/>
      </c>
      <c r="L10" s="14"/>
      <c r="M10" s="38" t="str">
        <f>IFERROR(__xludf.DUMMYFUNCTION("""COMPUTED_VALUE"""),"Q7")</f>
        <v>Q7</v>
      </c>
      <c r="N10" s="40">
        <f>IFERROR(__xludf.DUMMYFUNCTION("""COMPUTED_VALUE"""),1.0)</f>
        <v>1</v>
      </c>
      <c r="O10" s="46" t="str">
        <f>IFERROR(VLOOKUP(CONCATENATE(M10,"_AM1"),'Dist expedição'!C:P,14,0),"")</f>
        <v>Onda 4 - 16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38" t="str">
        <f>IFERROR(__xludf.DUMMYFUNCTION("""COMPUTED_VALUE"""),"VM10")</f>
        <v>VM10</v>
      </c>
      <c r="B11" s="40">
        <f>IFERROR(__xludf.DUMMYFUNCTION("""COMPUTED_VALUE"""),1.0)</f>
        <v>1</v>
      </c>
      <c r="C11" s="46" t="str">
        <f>IFERROR(VLOOKUP(CONCATENATE(A11,"_AM1"),'Dist expedição'!C:P,14,0),"")</f>
        <v>Onda 6 - DOCA 1</v>
      </c>
      <c r="D11" s="14"/>
      <c r="E11" s="38" t="str">
        <f>IFERROR(__xludf.DUMMYFUNCTION("""COMPUTED_VALUE"""),"C2")</f>
        <v>C2</v>
      </c>
      <c r="F11" s="40">
        <f>IFERROR(__xludf.DUMMYFUNCTION("""COMPUTED_VALUE"""),1.0)</f>
        <v>1</v>
      </c>
      <c r="G11" s="46" t="str">
        <f>IFERROR(VLOOKUP(CONCATENATE(E11,"_AM1"),'Dist expedição'!C:P,14,0),"")</f>
        <v>Onda 6 - 18</v>
      </c>
      <c r="H11" s="14"/>
      <c r="I11" s="38"/>
      <c r="J11" s="38"/>
      <c r="K11" s="46" t="str">
        <f>IFERROR(VLOOKUP(CONCATENATE(I11,"_AM1"),'Dist expedição'!C:P,12,0),"")</f>
        <v/>
      </c>
      <c r="L11" s="14"/>
      <c r="M11" s="38" t="str">
        <f>IFERROR(__xludf.DUMMYFUNCTION("""COMPUTED_VALUE"""),"VG1")</f>
        <v>VG1</v>
      </c>
      <c r="N11" s="40">
        <f>IFERROR(__xludf.DUMMYFUNCTION("""COMPUTED_VALUE"""),1.0)</f>
        <v>1</v>
      </c>
      <c r="O11" s="46" t="str">
        <f>IFERROR(VLOOKUP(CONCATENATE(M11,"_AM1"),'Dist expedição'!C:P,14,0),"")</f>
        <v/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38" t="str">
        <f>IFERROR(__xludf.DUMMYFUNCTION("""COMPUTED_VALUE"""),"VM11")</f>
        <v>VM11</v>
      </c>
      <c r="B12" s="40">
        <f>IFERROR(__xludf.DUMMYFUNCTION("""COMPUTED_VALUE"""),2.0)</f>
        <v>2</v>
      </c>
      <c r="C12" s="46" t="str">
        <f>IFERROR(VLOOKUP(CONCATENATE(A12,"_AM1"),'Dist expedição'!C:P,14,0),"")</f>
        <v>Onda 6 - DOCA 2</v>
      </c>
      <c r="D12" s="14"/>
      <c r="E12" s="38" t="str">
        <f>IFERROR(__xludf.DUMMYFUNCTION("""COMPUTED_VALUE"""),"C3")</f>
        <v>C3</v>
      </c>
      <c r="F12" s="40">
        <f>IFERROR(__xludf.DUMMYFUNCTION("""COMPUTED_VALUE"""),1.0)</f>
        <v>1</v>
      </c>
      <c r="G12" s="46" t="str">
        <f>IFERROR(VLOOKUP(CONCATENATE(E12,"_AM1"),'Dist expedição'!C:P,14,0),"")</f>
        <v>Onda 5 - 19</v>
      </c>
      <c r="H12" s="14"/>
      <c r="I12" s="38"/>
      <c r="J12" s="38"/>
      <c r="K12" s="46" t="str">
        <f>IFERROR(VLOOKUP(CONCATENATE(I12,"_AM1"),'Dist expedição'!C:P,12,0),"")</f>
        <v/>
      </c>
      <c r="L12" s="14"/>
      <c r="M12" s="38" t="str">
        <f>IFERROR(__xludf.DUMMYFUNCTION("""COMPUTED_VALUE"""),"VJ3")</f>
        <v>VJ3</v>
      </c>
      <c r="N12" s="40">
        <f>IFERROR(__xludf.DUMMYFUNCTION("""COMPUTED_VALUE"""),1.0)</f>
        <v>1</v>
      </c>
      <c r="O12" s="46" t="str">
        <f>IFERROR(VLOOKUP(CONCATENATE(M12,"_AM1"),'Dist expedição'!C:P,14,0),"")</f>
        <v/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38" t="str">
        <f>IFERROR(__xludf.DUMMYFUNCTION("""COMPUTED_VALUE"""),"VM8")</f>
        <v>VM8</v>
      </c>
      <c r="B13" s="40">
        <f>IFERROR(__xludf.DUMMYFUNCTION("""COMPUTED_VALUE"""),1.0)</f>
        <v>1</v>
      </c>
      <c r="C13" s="46" t="str">
        <f>IFERROR(VLOOKUP(CONCATENATE(A13,"_AM1"),'Dist expedição'!C:P,14,0),"")</f>
        <v>Onda 4 - DOCA 1</v>
      </c>
      <c r="D13" s="14"/>
      <c r="E13" s="38" t="str">
        <f>IFERROR(__xludf.DUMMYFUNCTION("""COMPUTED_VALUE"""),"C4")</f>
        <v>C4</v>
      </c>
      <c r="F13" s="40">
        <f>IFERROR(__xludf.DUMMYFUNCTION("""COMPUTED_VALUE"""),1.0)</f>
        <v>1</v>
      </c>
      <c r="G13" s="46" t="str">
        <f>IFERROR(VLOOKUP(CONCATENATE(E13,"_AM1"),'Dist expedição'!C:P,14,0),"")</f>
        <v>Onda 5 - 11</v>
      </c>
      <c r="H13" s="14"/>
      <c r="I13" s="38"/>
      <c r="J13" s="38"/>
      <c r="K13" s="46" t="str">
        <f>IFERROR(VLOOKUP(CONCATENATE(I13,"_AM1"),'Dist expedição'!C:P,12,0),"")</f>
        <v/>
      </c>
      <c r="L13" s="14"/>
      <c r="M13" s="38"/>
      <c r="N13" s="40"/>
      <c r="O13" s="46" t="str">
        <f>IFERROR(VLOOKUP(CONCATENATE(M13,"_AM1"),'Dist expedição'!C:P,14,0),"")</f>
        <v/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38" t="str">
        <f>IFERROR(__xludf.DUMMYFUNCTION("""COMPUTED_VALUE"""),"VM9")</f>
        <v>VM9</v>
      </c>
      <c r="B14" s="40">
        <f>IFERROR(__xludf.DUMMYFUNCTION("""COMPUTED_VALUE"""),1.0)</f>
        <v>1</v>
      </c>
      <c r="C14" s="46" t="str">
        <f>IFERROR(VLOOKUP(CONCATENATE(A14,"_AM1"),'Dist expedição'!C:P,14,0),"")</f>
        <v>Onda 3 - DOCA 1</v>
      </c>
      <c r="D14" s="14"/>
      <c r="E14" s="38" t="str">
        <f>IFERROR(__xludf.DUMMYFUNCTION("""COMPUTED_VALUE"""),"C7")</f>
        <v>C7</v>
      </c>
      <c r="F14" s="40">
        <f>IFERROR(__xludf.DUMMYFUNCTION("""COMPUTED_VALUE"""),1.0)</f>
        <v>1</v>
      </c>
      <c r="G14" s="46" t="str">
        <f>IFERROR(VLOOKUP(CONCATENATE(E14,"_AM1"),'Dist expedição'!C:P,14,0),"")</f>
        <v>Onda 5 - 28</v>
      </c>
      <c r="H14" s="14"/>
      <c r="I14" s="38"/>
      <c r="J14" s="38"/>
      <c r="K14" s="46" t="str">
        <f>IFERROR(VLOOKUP(CONCATENATE(I14,"_AM1"),'Dist expedição'!C:P,12,0),"")</f>
        <v/>
      </c>
      <c r="L14" s="14"/>
      <c r="M14" s="38"/>
      <c r="N14" s="40"/>
      <c r="O14" s="46" t="str">
        <f>IFERROR(VLOOKUP(CONCATENATE(M14,"_AM1"),'Dist expedição'!C:P,14,0),"")</f>
        <v/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38" t="str">
        <f>IFERROR(__xludf.DUMMYFUNCTION("""COMPUTED_VALUE"""),"VN1")</f>
        <v>VN1</v>
      </c>
      <c r="B15" s="40">
        <f>IFERROR(__xludf.DUMMYFUNCTION("""COMPUTED_VALUE"""),2.0)</f>
        <v>2</v>
      </c>
      <c r="C15" s="46" t="str">
        <f>IFERROR(VLOOKUP(CONCATENATE(A15,"_AM1"),'Dist expedição'!C:P,14,0),"")</f>
        <v>Onda 4 - DOCA 2</v>
      </c>
      <c r="D15" s="14"/>
      <c r="E15" s="38" t="str">
        <f>IFERROR(__xludf.DUMMYFUNCTION("""COMPUTED_VALUE"""),"D1")</f>
        <v>D1</v>
      </c>
      <c r="F15" s="38">
        <f>IFERROR(__xludf.DUMMYFUNCTION("""COMPUTED_VALUE"""),1.0)</f>
        <v>1</v>
      </c>
      <c r="G15" s="46" t="str">
        <f>IFERROR(VLOOKUP(CONCATENATE(E15,"_AM1"),'Dist expedição'!C:P,14,0),"")</f>
        <v>Onda 4 - 18</v>
      </c>
      <c r="H15" s="14"/>
      <c r="I15" s="38"/>
      <c r="J15" s="38"/>
      <c r="K15" s="46" t="str">
        <f>IFERROR(VLOOKUP(CONCATENATE(I15,"_AM1"),'Dist expedição'!C:P,12,0),"")</f>
        <v/>
      </c>
      <c r="L15" s="14"/>
      <c r="M15" s="38"/>
      <c r="N15" s="40"/>
      <c r="O15" s="46" t="str">
        <f>IFERROR(VLOOKUP(CONCATENATE(M15,"_AM1"),'Dist expedição'!C:P,14,0),"")</f>
        <v/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38" t="str">
        <f>IFERROR(__xludf.DUMMYFUNCTION("""COMPUTED_VALUE"""),"VN2")</f>
        <v>VN2</v>
      </c>
      <c r="B16" s="40">
        <f>IFERROR(__xludf.DUMMYFUNCTION("""COMPUTED_VALUE"""),2.0)</f>
        <v>2</v>
      </c>
      <c r="C16" s="46" t="str">
        <f>IFERROR(VLOOKUP(CONCATENATE(A16,"_AM1"),'Dist expedição'!C:P,14,0),"")</f>
        <v>Onda 6 - 9</v>
      </c>
      <c r="D16" s="14"/>
      <c r="E16" s="38" t="str">
        <f>IFERROR(__xludf.DUMMYFUNCTION("""COMPUTED_VALUE"""),"I1")</f>
        <v>I1</v>
      </c>
      <c r="F16" s="38">
        <f>IFERROR(__xludf.DUMMYFUNCTION("""COMPUTED_VALUE"""),1.0)</f>
        <v>1</v>
      </c>
      <c r="G16" s="46" t="str">
        <f>IFERROR(VLOOKUP(CONCATENATE(E16,"_AM1"),'Dist expedição'!C:P,14,0),"")</f>
        <v>Onda 4 - 19</v>
      </c>
      <c r="H16" s="14"/>
      <c r="I16" s="38"/>
      <c r="J16" s="38"/>
      <c r="K16" s="46" t="str">
        <f>IFERROR(VLOOKUP(CONCATENATE(I16,"_AM1"),'Dist expedição'!C:P,12,0),"")</f>
        <v/>
      </c>
      <c r="L16" s="14"/>
      <c r="M16" s="38"/>
      <c r="N16" s="40"/>
      <c r="O16" s="46" t="str">
        <f>IFERROR(VLOOKUP(CONCATENATE(M16,"_AM1"),'Dist expedição'!C:P,14,0),"")</f>
        <v/>
      </c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38" t="str">
        <f>IFERROR(__xludf.DUMMYFUNCTION("""COMPUTED_VALUE"""),"VN3")</f>
        <v>VN3</v>
      </c>
      <c r="B17" s="40">
        <f>IFERROR(__xludf.DUMMYFUNCTION("""COMPUTED_VALUE"""),4.0)</f>
        <v>4</v>
      </c>
      <c r="C17" s="46" t="str">
        <f>IFERROR(VLOOKUP(CONCATENATE(A17,"_AM1"),'Dist expedição'!C:P,14,0),"")</f>
        <v>Onda 5 - 12</v>
      </c>
      <c r="D17" s="14"/>
      <c r="E17" s="38" t="str">
        <f>IFERROR(__xludf.DUMMYFUNCTION("""COMPUTED_VALUE"""),"I10")</f>
        <v>I10</v>
      </c>
      <c r="F17" s="38">
        <f>IFERROR(__xludf.DUMMYFUNCTION("""COMPUTED_VALUE"""),1.0)</f>
        <v>1</v>
      </c>
      <c r="G17" s="46" t="str">
        <f>IFERROR(VLOOKUP(CONCATENATE(E17,"_AM1"),'Dist expedição'!C:P,14,0),"")</f>
        <v>Onda 4 - 29</v>
      </c>
      <c r="H17" s="14"/>
      <c r="I17" s="38"/>
      <c r="J17" s="38"/>
      <c r="K17" s="46" t="str">
        <f>IFERROR(VLOOKUP(CONCATENATE(I17,"_AM1"),'Dist expedição'!C:P,12,0),"")</f>
        <v/>
      </c>
      <c r="L17" s="14"/>
      <c r="M17" s="38"/>
      <c r="N17" s="40"/>
      <c r="O17" s="46" t="str">
        <f>IFERROR(VLOOKUP(CONCATENATE(M17,"_AM1"),'Dist expedição'!C:P,14,0),"")</f>
        <v/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38" t="str">
        <f>IFERROR(__xludf.DUMMYFUNCTION("""COMPUTED_VALUE"""),"VN4")</f>
        <v>VN4</v>
      </c>
      <c r="B18" s="40">
        <f>IFERROR(__xludf.DUMMYFUNCTION("""COMPUTED_VALUE"""),3.0)</f>
        <v>3</v>
      </c>
      <c r="C18" s="46" t="str">
        <f>IFERROR(VLOOKUP(CONCATENATE(A18,"_AM1"),'Dist expedição'!C:P,14,0),"")</f>
        <v>Onda 6 - 15</v>
      </c>
      <c r="D18" s="14"/>
      <c r="E18" s="38" t="str">
        <f>IFERROR(__xludf.DUMMYFUNCTION("""COMPUTED_VALUE"""),"I6")</f>
        <v>I6</v>
      </c>
      <c r="F18" s="38">
        <f>IFERROR(__xludf.DUMMYFUNCTION("""COMPUTED_VALUE"""),1.0)</f>
        <v>1</v>
      </c>
      <c r="G18" s="46" t="str">
        <f>IFERROR(VLOOKUP(CONCATENATE(E18,"_AM1"),'Dist expedição'!C:P,14,0),"")</f>
        <v>Onda 6 - 20</v>
      </c>
      <c r="H18" s="14"/>
      <c r="I18" s="38"/>
      <c r="J18" s="38"/>
      <c r="K18" s="46" t="str">
        <f>IFERROR(VLOOKUP(CONCATENATE(I18,"_AM1"),'Dist expedição'!C:P,12,0),"")</f>
        <v/>
      </c>
      <c r="L18" s="14"/>
      <c r="M18" s="38"/>
      <c r="N18" s="38"/>
      <c r="O18" s="46" t="str">
        <f>IFERROR(VLOOKUP(CONCATENATE(M18,"_AM1"),'Dist expedição'!C:P,14,0),"")</f>
        <v/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38" t="str">
        <f>IFERROR(__xludf.DUMMYFUNCTION("""COMPUTED_VALUE"""),"VN5")</f>
        <v>VN5</v>
      </c>
      <c r="B19" s="40">
        <f>IFERROR(__xludf.DUMMYFUNCTION("""COMPUTED_VALUE"""),4.0)</f>
        <v>4</v>
      </c>
      <c r="C19" s="46" t="str">
        <f>IFERROR(VLOOKUP(CONCATENATE(A19,"_AM1"),'Dist expedição'!C:P,14,0),"")</f>
        <v>Onda 6 - </v>
      </c>
      <c r="D19" s="14"/>
      <c r="E19" s="38" t="str">
        <f>IFERROR(__xludf.DUMMYFUNCTION("""COMPUTED_VALUE"""),"I8")</f>
        <v>I8</v>
      </c>
      <c r="F19" s="38">
        <f>IFERROR(__xludf.DUMMYFUNCTION("""COMPUTED_VALUE"""),1.0)</f>
        <v>1</v>
      </c>
      <c r="G19" s="46" t="str">
        <f>IFERROR(VLOOKUP(CONCATENATE(E19,"_AM1"),'Dist expedição'!C:P,14,0),"")</f>
        <v>Onda 4 - 12</v>
      </c>
      <c r="H19" s="14"/>
      <c r="I19" s="38"/>
      <c r="J19" s="38"/>
      <c r="K19" s="46" t="str">
        <f>IFERROR(VLOOKUP(CONCATENATE(I19,"_AM1"),'Dist expedição'!C:P,12,0),"")</f>
        <v/>
      </c>
      <c r="L19" s="14"/>
      <c r="M19" s="38"/>
      <c r="N19" s="38"/>
      <c r="O19" s="46" t="str">
        <f>IFERROR(VLOOKUP(CONCATENATE(M19,"_AM1"),'Dist expedição'!C:P,14,0),"")</f>
        <v/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38" t="str">
        <f>IFERROR(__xludf.DUMMYFUNCTION("""COMPUTED_VALUE"""),"VN7")</f>
        <v>VN7</v>
      </c>
      <c r="B20" s="38">
        <f>IFERROR(__xludf.DUMMYFUNCTION("""COMPUTED_VALUE"""),1.0)</f>
        <v>1</v>
      </c>
      <c r="C20" s="46" t="str">
        <f>IFERROR(VLOOKUP(CONCATENATE(A20,"_AM1"),'Dist expedição'!C:P,14,0),"")</f>
        <v>Onda 3 - DOCA 2</v>
      </c>
      <c r="D20" s="14"/>
      <c r="E20" s="38" t="str">
        <f>IFERROR(__xludf.DUMMYFUNCTION("""COMPUTED_VALUE"""),"I9")</f>
        <v>I9</v>
      </c>
      <c r="F20" s="38">
        <f>IFERROR(__xludf.DUMMYFUNCTION("""COMPUTED_VALUE"""),1.0)</f>
        <v>1</v>
      </c>
      <c r="G20" s="46" t="str">
        <f>IFERROR(VLOOKUP(CONCATENATE(E20,"_AM1"),'Dist expedição'!C:P,14,0),"")</f>
        <v>Onda 6 - 28</v>
      </c>
      <c r="H20" s="14"/>
      <c r="I20" s="38"/>
      <c r="J20" s="38"/>
      <c r="K20" s="46" t="str">
        <f>IFERROR(VLOOKUP(CONCATENATE(I20,"_AM1"),'Dist expedição'!C:P,12,0),"")</f>
        <v/>
      </c>
      <c r="L20" s="14"/>
      <c r="M20" s="38"/>
      <c r="N20" s="38"/>
      <c r="O20" s="46" t="str">
        <f>IFERROR(VLOOKUP(CONCATENATE(M20,"_AM1"),'Dist expedição'!C:P,14,0),"")</f>
        <v/>
      </c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38"/>
      <c r="B21" s="38"/>
      <c r="C21" s="46" t="str">
        <f>IFERROR(VLOOKUP(CONCATENATE(A21,"_AM1"),'Dist expedição'!C:P,14,0),"")</f>
        <v/>
      </c>
      <c r="D21" s="14"/>
      <c r="E21" s="38" t="str">
        <f>IFERROR(__xludf.DUMMYFUNCTION("""COMPUTED_VALUE"""),"Q3")</f>
        <v>Q3</v>
      </c>
      <c r="F21" s="38">
        <f>IFERROR(__xludf.DUMMYFUNCTION("""COMPUTED_VALUE"""),2.0)</f>
        <v>2</v>
      </c>
      <c r="G21" s="46" t="str">
        <f>IFERROR(VLOOKUP(CONCATENATE(E21,"_AM1"),'Dist expedição'!C:P,14,0),"")</f>
        <v>Onda 4 - 10</v>
      </c>
      <c r="H21" s="14"/>
      <c r="I21" s="38"/>
      <c r="J21" s="38"/>
      <c r="K21" s="46" t="str">
        <f>IFERROR(VLOOKUP(CONCATENATE(I21,"_AM1"),'Dist expedição'!C:P,12,0),"")</f>
        <v/>
      </c>
      <c r="L21" s="14"/>
      <c r="M21" s="38"/>
      <c r="N21" s="38"/>
      <c r="O21" s="46" t="str">
        <f>IFERROR(VLOOKUP(CONCATENATE(M21,"_AM1"),'Dist expedição'!C:P,14,0),"")</f>
        <v/>
      </c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38"/>
      <c r="B22" s="38"/>
      <c r="C22" s="46" t="str">
        <f>IFERROR(VLOOKUP(CONCATENATE(A22,"_AM1"),'Dist expedição'!C:P,14,0),"")</f>
        <v/>
      </c>
      <c r="D22" s="14"/>
      <c r="E22" s="38" t="str">
        <f>IFERROR(__xludf.DUMMYFUNCTION("""COMPUTED_VALUE"""),"VN4")</f>
        <v>VN4</v>
      </c>
      <c r="F22" s="38">
        <f>IFERROR(__xludf.DUMMYFUNCTION("""COMPUTED_VALUE"""),2.0)</f>
        <v>2</v>
      </c>
      <c r="G22" s="46" t="str">
        <f>IFERROR(VLOOKUP(CONCATENATE(E22,"_AM1"),'Dist expedição'!C:P,14,0),"")</f>
        <v>Onda 6 - 15</v>
      </c>
      <c r="H22" s="14"/>
      <c r="I22" s="38"/>
      <c r="J22" s="38"/>
      <c r="K22" s="46" t="str">
        <f>IFERROR(VLOOKUP(CONCATENATE(I22,"_AM1"),'Dist expedição'!C:P,12,0),"")</f>
        <v/>
      </c>
      <c r="L22" s="14"/>
      <c r="M22" s="38"/>
      <c r="N22" s="38"/>
      <c r="O22" s="46" t="str">
        <f>IFERROR(VLOOKUP(CONCATENATE(M22,"_AM1"),'Dist expedição'!C:P,14,0),"")</f>
        <v/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38"/>
      <c r="B23" s="38"/>
      <c r="C23" s="46" t="str">
        <f>IFERROR(VLOOKUP(CONCATENATE(A23,"_AM1"),'Dist expedição'!C:P,14,0),"")</f>
        <v/>
      </c>
      <c r="D23" s="14"/>
      <c r="E23" s="38"/>
      <c r="F23" s="38"/>
      <c r="G23" s="46" t="str">
        <f>IFERROR(VLOOKUP(CONCATENATE(E23,"_AM1"),'Dist expedição'!C:P,14,0),"")</f>
        <v/>
      </c>
      <c r="H23" s="14"/>
      <c r="I23" s="38"/>
      <c r="J23" s="38"/>
      <c r="K23" s="46" t="str">
        <f>IFERROR(VLOOKUP(CONCATENATE(I23,"_AM1"),'Dist expedição'!C:P,12,0),"")</f>
        <v/>
      </c>
      <c r="L23" s="14"/>
      <c r="M23" s="38"/>
      <c r="N23" s="38"/>
      <c r="O23" s="46" t="str">
        <f>IFERROR(VLOOKUP(CONCATENATE(M23,"_AM1"),'Dist expedição'!C:P,14,0),"")</f>
        <v/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38"/>
      <c r="B24" s="38"/>
      <c r="C24" s="46" t="str">
        <f>IFERROR(VLOOKUP(CONCATENATE(A24,"_AM1"),'Dist expedição'!C:P,14,0),"")</f>
        <v/>
      </c>
      <c r="D24" s="14"/>
      <c r="E24" s="38"/>
      <c r="F24" s="38"/>
      <c r="G24" s="46" t="str">
        <f>IFERROR(VLOOKUP(CONCATENATE(E24,"_AM1"),'Dist expedição'!C:P,14,0),"")</f>
        <v/>
      </c>
      <c r="H24" s="14"/>
      <c r="I24" s="38"/>
      <c r="J24" s="38"/>
      <c r="K24" s="46" t="str">
        <f>IFERROR(VLOOKUP(CONCATENATE(I24,"_AM1"),'Dist expedição'!C:P,12,0),"")</f>
        <v/>
      </c>
      <c r="L24" s="14"/>
      <c r="M24" s="38"/>
      <c r="N24" s="38"/>
      <c r="O24" s="46" t="str">
        <f>IFERROR(VLOOKUP(CONCATENATE(M24,"_AM1"),'Dist expedição'!C:P,14,0),"")</f>
        <v/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38"/>
      <c r="B25" s="38"/>
      <c r="C25" s="46" t="str">
        <f>IFERROR(VLOOKUP(CONCATENATE(A25,"_AM1"),'Dist expedição'!C:P,14,0),"")</f>
        <v/>
      </c>
      <c r="D25" s="14"/>
      <c r="E25" s="38"/>
      <c r="F25" s="38"/>
      <c r="G25" s="46" t="str">
        <f>IFERROR(VLOOKUP(CONCATENATE(E25,"_AM1"),'Dist expedição'!C:P,14,0),"")</f>
        <v/>
      </c>
      <c r="H25" s="14"/>
      <c r="I25" s="38"/>
      <c r="J25" s="38"/>
      <c r="K25" s="46" t="str">
        <f>IFERROR(VLOOKUP(CONCATENATE(I25,"_AM1"),'Dist expedição'!C:P,12,0),"")</f>
        <v/>
      </c>
      <c r="L25" s="14"/>
      <c r="M25" s="38"/>
      <c r="N25" s="38"/>
      <c r="O25" s="46" t="str">
        <f>IFERROR(VLOOKUP(CONCATENATE(M25,"_AM1"),'Dist expedição'!C:P,14,0),"")</f>
        <v/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38"/>
      <c r="B26" s="38"/>
      <c r="C26" s="46" t="str">
        <f>IFERROR(VLOOKUP(CONCATENATE(A26,"_AM1"),'Dist expedição'!C:P,14,0),"")</f>
        <v/>
      </c>
      <c r="D26" s="14"/>
      <c r="E26" s="38"/>
      <c r="F26" s="38"/>
      <c r="G26" s="46" t="str">
        <f>IFERROR(VLOOKUP(CONCATENATE(E26,"_AM1"),'Dist expedição'!C:P,14,0),"")</f>
        <v/>
      </c>
      <c r="H26" s="14"/>
      <c r="I26" s="38"/>
      <c r="J26" s="38"/>
      <c r="K26" s="46" t="str">
        <f>IFERROR(VLOOKUP(CONCATENATE(I26,"_AM1"),'Dist expedição'!C:P,12,0),"")</f>
        <v/>
      </c>
      <c r="L26" s="14"/>
      <c r="M26" s="38"/>
      <c r="N26" s="38"/>
      <c r="O26" s="46" t="str">
        <f>IFERROR(VLOOKUP(CONCATENATE(M26,"_AM1"),'Dist expedição'!C:P,14,0),"")</f>
        <v/>
      </c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38"/>
      <c r="B27" s="38"/>
      <c r="C27" s="46" t="str">
        <f>IFERROR(VLOOKUP(CONCATENATE(A27,"_AM1"),'Dist expedição'!C:P,14,0),"")</f>
        <v/>
      </c>
      <c r="D27" s="14"/>
      <c r="E27" s="38"/>
      <c r="F27" s="38"/>
      <c r="G27" s="46" t="str">
        <f>IFERROR(VLOOKUP(CONCATENATE(E27,"_AM1"),'Dist expedição'!C:P,14,0),"")</f>
        <v/>
      </c>
      <c r="H27" s="14"/>
      <c r="I27" s="38"/>
      <c r="J27" s="38"/>
      <c r="K27" s="46" t="str">
        <f>IFERROR(VLOOKUP(CONCATENATE(I27,"_AM1"),'Dist expedição'!C:P,12,0),"")</f>
        <v/>
      </c>
      <c r="L27" s="14"/>
      <c r="M27" s="38"/>
      <c r="N27" s="38"/>
      <c r="O27" s="46" t="str">
        <f>IFERROR(VLOOKUP(CONCATENATE(M27,"_AM1"),'Dist expedição'!C:P,14,0),"")</f>
        <v/>
      </c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38"/>
      <c r="B28" s="38"/>
      <c r="C28" s="46" t="str">
        <f>IFERROR(VLOOKUP(CONCATENATE(A28,"_AM1"),'Dist expedição'!C:P,14,0),"")</f>
        <v/>
      </c>
      <c r="D28" s="14"/>
      <c r="E28" s="38"/>
      <c r="F28" s="38"/>
      <c r="G28" s="46" t="str">
        <f>IFERROR(VLOOKUP(CONCATENATE(E28,"_AM1"),'Dist expedição'!C:P,14,0),"")</f>
        <v/>
      </c>
      <c r="H28" s="14"/>
      <c r="I28" s="38"/>
      <c r="J28" s="38"/>
      <c r="K28" s="46" t="str">
        <f>IFERROR(VLOOKUP(CONCATENATE(I28,"_AM1"),'Dist expedição'!C:P,12,0),"")</f>
        <v/>
      </c>
      <c r="L28" s="14"/>
      <c r="M28" s="38"/>
      <c r="N28" s="38"/>
      <c r="O28" s="46" t="str">
        <f>IFERROR(VLOOKUP(CONCATENATE(M28,"_AM1"),'Dist expedição'!C:P,14,0),"")</f>
        <v/>
      </c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38"/>
      <c r="B29" s="38"/>
      <c r="C29" s="46" t="str">
        <f>IFERROR(VLOOKUP(CONCATENATE(A29,"_AM1"),'Dist expedição'!C:P,14,0),"")</f>
        <v/>
      </c>
      <c r="D29" s="14"/>
      <c r="E29" s="38"/>
      <c r="F29" s="38"/>
      <c r="G29" s="46" t="str">
        <f>IFERROR(VLOOKUP(CONCATENATE(E29,"_AM1"),'Dist expedição'!C:P,14,0),"")</f>
        <v/>
      </c>
      <c r="H29" s="14"/>
      <c r="I29" s="38"/>
      <c r="J29" s="38"/>
      <c r="K29" s="46" t="str">
        <f>IFERROR(VLOOKUP(CONCATENATE(I29,"_AM1"),'Dist expedição'!C:P,12,0),"")</f>
        <v/>
      </c>
      <c r="L29" s="14"/>
      <c r="M29" s="38"/>
      <c r="N29" s="38"/>
      <c r="O29" s="46" t="str">
        <f>IFERROR(VLOOKUP(CONCATENATE(M29,"_AM1"),'Dist expedição'!C:P,14,0),"")</f>
        <v/>
      </c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38"/>
      <c r="B30" s="38"/>
      <c r="C30" s="46" t="str">
        <f>IFERROR(VLOOKUP(CONCATENATE(A30,"_AM1"),'Dist expedição'!C:P,14,0),"")</f>
        <v/>
      </c>
      <c r="D30" s="14"/>
      <c r="E30" s="38"/>
      <c r="F30" s="38"/>
      <c r="G30" s="46" t="str">
        <f>IFERROR(VLOOKUP(CONCATENATE(E30,"_AM1"),'Dist expedição'!C:P,14,0),"")</f>
        <v/>
      </c>
      <c r="H30" s="14"/>
      <c r="I30" s="38"/>
      <c r="J30" s="38"/>
      <c r="K30" s="46" t="str">
        <f>IFERROR(VLOOKUP(CONCATENATE(I30,"_AM1"),'Dist expedição'!C:P,12,0),"")</f>
        <v/>
      </c>
      <c r="L30" s="14"/>
      <c r="M30" s="38"/>
      <c r="N30" s="38"/>
      <c r="O30" s="46" t="str">
        <f>IFERROR(VLOOKUP(CONCATENATE(M30,"_AM1"),'Dist expedição'!C:P,14,0),"")</f>
        <v/>
      </c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38"/>
      <c r="B31" s="38"/>
      <c r="C31" s="46" t="str">
        <f>IFERROR(VLOOKUP(CONCATENATE(A31,"_AM1"),'Dist expedição'!C:P,14,0),"")</f>
        <v/>
      </c>
      <c r="D31" s="14"/>
      <c r="E31" s="38"/>
      <c r="F31" s="38"/>
      <c r="G31" s="46" t="str">
        <f>IFERROR(VLOOKUP(CONCATENATE(E31,"_AM1"),'Dist expedição'!C:P,14,0),"")</f>
        <v/>
      </c>
      <c r="H31" s="14"/>
      <c r="I31" s="38"/>
      <c r="J31" s="38"/>
      <c r="K31" s="46" t="str">
        <f>IFERROR(VLOOKUP(CONCATENATE(I31,"_AM1"),'Dist expedição'!C:P,12,0),"")</f>
        <v/>
      </c>
      <c r="L31" s="14"/>
      <c r="M31" s="38"/>
      <c r="N31" s="38"/>
      <c r="O31" s="46" t="str">
        <f>IFERROR(VLOOKUP(CONCATENATE(M31,"_AM1"),'Dist expedição'!C:P,14,0),"")</f>
        <v/>
      </c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38"/>
      <c r="B32" s="38"/>
      <c r="C32" s="46" t="str">
        <f>IFERROR(VLOOKUP(CONCATENATE(A32,"_AM1"),'Dist expedição'!C:P,14,0),"")</f>
        <v/>
      </c>
      <c r="D32" s="14"/>
      <c r="E32" s="38"/>
      <c r="F32" s="38"/>
      <c r="G32" s="46" t="str">
        <f>IFERROR(VLOOKUP(CONCATENATE(E32,"_AM1"),'Dist expedição'!C:P,14,0),"")</f>
        <v/>
      </c>
      <c r="H32" s="14"/>
      <c r="I32" s="38"/>
      <c r="J32" s="38"/>
      <c r="K32" s="46" t="str">
        <f>IFERROR(VLOOKUP(CONCATENATE(I32,"_AM1"),'Dist expedição'!C:P,12,0),"")</f>
        <v/>
      </c>
      <c r="L32" s="14"/>
      <c r="M32" s="38"/>
      <c r="N32" s="38"/>
      <c r="O32" s="46" t="str">
        <f>IFERROR(VLOOKUP(CONCATENATE(M32,"_AM1"),'Dist expedição'!C:P,14,0),"")</f>
        <v/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38"/>
      <c r="B33" s="38"/>
      <c r="C33" s="46" t="str">
        <f>IFERROR(VLOOKUP(CONCATENATE(A33,"_AM1"),'Dist expedição'!C:P,14,0),"")</f>
        <v/>
      </c>
      <c r="D33" s="14"/>
      <c r="E33" s="38"/>
      <c r="F33" s="38"/>
      <c r="G33" s="46" t="str">
        <f>IFERROR(VLOOKUP(CONCATENATE(E33,"_AM1"),'Dist expedição'!C:P,14,0),"")</f>
        <v/>
      </c>
      <c r="H33" s="14"/>
      <c r="I33" s="38"/>
      <c r="J33" s="38"/>
      <c r="K33" s="46" t="str">
        <f>IFERROR(VLOOKUP(CONCATENATE(I33,"_AM1"),'Dist expedição'!C:P,12,0),"")</f>
        <v/>
      </c>
      <c r="L33" s="14"/>
      <c r="M33" s="38"/>
      <c r="N33" s="38"/>
      <c r="O33" s="46" t="str">
        <f>IFERROR(VLOOKUP(CONCATENATE(M33,"_AM1"),'Dist expedição'!C:P,14,0),"")</f>
        <v/>
      </c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38"/>
      <c r="B34" s="38"/>
      <c r="C34" s="46" t="str">
        <f>IFERROR(VLOOKUP(CONCATENATE(A34,"_AM1"),'Dist expedição'!C:P,14,0),"")</f>
        <v/>
      </c>
      <c r="D34" s="14"/>
      <c r="E34" s="38"/>
      <c r="F34" s="38"/>
      <c r="G34" s="46" t="str">
        <f>IFERROR(VLOOKUP(CONCATENATE(E34,"_AM1"),'Dist expedição'!C:P,14,0),"")</f>
        <v/>
      </c>
      <c r="H34" s="14"/>
      <c r="I34" s="38"/>
      <c r="J34" s="38"/>
      <c r="K34" s="46" t="str">
        <f>IFERROR(VLOOKUP(CONCATENATE(I34,"_AM1"),'Dist expedição'!C:P,12,0),"")</f>
        <v/>
      </c>
      <c r="L34" s="14"/>
      <c r="M34" s="38"/>
      <c r="N34" s="38"/>
      <c r="O34" s="46" t="str">
        <f>IFERROR(VLOOKUP(CONCATENATE(M34,"_AM1"),'Dist expedição'!C:P,14,0),"")</f>
        <v/>
      </c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131"/>
      <c r="B35" s="131"/>
      <c r="C35" s="132" t="str">
        <f>IFERROR(VLOOKUP(CONCATENATE(A35,"_AM1"),'Dist expedição'!C:P,14,0),"")</f>
        <v/>
      </c>
      <c r="D35" s="14"/>
      <c r="E35" s="131"/>
      <c r="F35" s="131"/>
      <c r="G35" s="132" t="str">
        <f>IFERROR(VLOOKUP(CONCATENATE(E35,"_AM1"),'Dist expedição'!C:P,14,0),"")</f>
        <v/>
      </c>
      <c r="H35" s="14"/>
      <c r="I35" s="131"/>
      <c r="J35" s="133"/>
      <c r="K35" s="131" t="str">
        <f>IFERROR(VLOOKUP(CONCATENATE(I35,"_AM1"),'Dist expedição'!C:P,12,0),"")</f>
        <v/>
      </c>
      <c r="L35" s="14"/>
      <c r="M35" s="131"/>
      <c r="N35" s="131"/>
      <c r="O35" s="132" t="str">
        <f>IFERROR(VLOOKUP(CONCATENATE(M35,"_AM1"),'Dist expedição'!C:P,14,0),"")</f>
        <v/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14"/>
      <c r="B36" s="14"/>
      <c r="C36" s="14" t="str">
        <f>IFERROR(VLOOKUP(A36,'Dist expedição'!R:T,3,0),"")</f>
        <v/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14"/>
      <c r="B37" s="14"/>
      <c r="C37" s="14" t="str">
        <f>IFERROR(VLOOKUP(A37,'Dist expedição'!R:T,3,0),"")</f>
        <v/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14"/>
      <c r="B38" s="14"/>
      <c r="C38" s="14" t="str">
        <f>IFERROR(VLOOKUP(A38,'Dist expedição'!R:T,3,0),"")</f>
        <v/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14"/>
      <c r="B39" s="14"/>
      <c r="C39" s="14" t="str">
        <f>IFERROR(VLOOKUP(A39,'Dist expedição'!R:T,3,0),"")</f>
        <v/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14"/>
      <c r="B40" s="14"/>
      <c r="C40" s="14" t="str">
        <f>IFERROR(VLOOKUP(A40,'Dist expedição'!R:T,3,0),"")</f>
        <v/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14"/>
      <c r="B41" s="14"/>
      <c r="C41" s="14" t="str">
        <f>IFERROR(VLOOKUP(A41,'Dist expedição'!R:T,3,0),"")</f>
        <v/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14"/>
      <c r="B42" s="14"/>
      <c r="C42" s="14" t="str">
        <f>IFERROR(VLOOKUP(A42,'Dist expedição'!R:T,3,0),"")</f>
        <v/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14"/>
      <c r="B43" s="14"/>
      <c r="C43" s="14" t="str">
        <f>IFERROR(VLOOKUP(A43,'Dist expedição'!R:T,3,0),"")</f>
        <v/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14"/>
      <c r="B44" s="14"/>
      <c r="C44" s="14" t="str">
        <f>IFERROR(VLOOKUP(A44,'Dist expedição'!R:T,3,0),"")</f>
        <v/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14"/>
      <c r="B45" s="14"/>
      <c r="C45" s="14" t="str">
        <f>IFERROR(VLOOKUP(A45,'Dist expedição'!R:T,3,0),"")</f>
        <v/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14"/>
      <c r="B46" s="14"/>
      <c r="C46" s="14" t="str">
        <f>IFERROR(VLOOKUP(A46,'Dist expedição'!R:T,3,0),"")</f>
        <v/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14"/>
      <c r="B47" s="14"/>
      <c r="C47" s="14" t="str">
        <f>IFERROR(VLOOKUP(A47,'Dist expedição'!R:T,3,0),"")</f>
        <v/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14"/>
      <c r="B48" s="14"/>
      <c r="C48" s="14" t="str">
        <f>IFERROR(VLOOKUP(A48,'Dist expedição'!R:T,3,0),"")</f>
        <v/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14"/>
      <c r="B49" s="14"/>
      <c r="C49" s="14" t="str">
        <f>IFERROR(VLOOKUP(A49,'Dist expedição'!R:T,3,0),"")</f>
        <v/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14"/>
      <c r="B50" s="14"/>
      <c r="C50" s="14" t="str">
        <f>IFERROR(VLOOKUP(A50,'Dist expedição'!R:T,3,0),"")</f>
        <v/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14"/>
      <c r="B51" s="14"/>
      <c r="C51" s="14" t="str">
        <f>IFERROR(VLOOKUP(A51,'Dist expedição'!R:T,3,0),"")</f>
        <v/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14"/>
      <c r="B52" s="14"/>
      <c r="C52" s="14" t="str">
        <f>IFERROR(VLOOKUP(A52,'Dist expedição'!R:T,3,0),"")</f>
        <v/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14"/>
      <c r="B53" s="14"/>
      <c r="C53" s="14" t="str">
        <f>IFERROR(VLOOKUP(A53,'Dist expedição'!R:T,3,0),"")</f>
        <v/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14"/>
      <c r="B54" s="14"/>
      <c r="C54" s="14" t="str">
        <f>IFERROR(VLOOKUP(A54,'Dist expedição'!R:T,3,0),"")</f>
        <v/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14"/>
      <c r="B55" s="14"/>
      <c r="C55" s="14" t="str">
        <f>IFERROR(VLOOKUP(A55,'Dist expedição'!R:T,3,0),"")</f>
        <v/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14"/>
      <c r="B56" s="14"/>
      <c r="C56" s="14" t="str">
        <f>IFERROR(VLOOKUP(A56,'Dist expedição'!R:T,3,0),"")</f>
        <v/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14"/>
      <c r="B57" s="14"/>
      <c r="C57" s="14" t="str">
        <f>IFERROR(VLOOKUP(A57,'Dist expedição'!R:T,3,0),"")</f>
        <v/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14"/>
      <c r="B58" s="14"/>
      <c r="C58" s="14" t="str">
        <f>IFERROR(VLOOKUP(A58,'Dist expedição'!R:T,3,0),"")</f>
        <v/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14"/>
      <c r="B59" s="14"/>
      <c r="C59" s="14" t="str">
        <f>IFERROR(VLOOKUP(A59,'Dist expedição'!R:T,3,0),"")</f>
        <v/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14"/>
      <c r="B60" s="14"/>
      <c r="C60" s="14" t="str">
        <f>IFERROR(VLOOKUP(A60,'Dist expedição'!R:T,3,0),"")</f>
        <v/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14"/>
      <c r="B61" s="14"/>
      <c r="C61" s="14" t="str">
        <f>IFERROR(VLOOKUP(A61,'Dist expedição'!R:T,3,0),"")</f>
        <v/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14"/>
      <c r="B62" s="14"/>
      <c r="C62" s="14" t="str">
        <f>IFERROR(VLOOKUP(A62,'Dist expedição'!R:T,3,0),"")</f>
        <v/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14"/>
      <c r="B63" s="14"/>
      <c r="C63" s="14" t="str">
        <f>IFERROR(VLOOKUP(A63,'Dist expedição'!R:T,3,0),"")</f>
        <v/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14"/>
      <c r="B64" s="14"/>
      <c r="C64" s="14" t="str">
        <f>IFERROR(VLOOKUP(A64,'Dist expedição'!R:T,3,0),"")</f>
        <v/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14"/>
      <c r="B65" s="14"/>
      <c r="C65" s="14" t="str">
        <f>IFERROR(VLOOKUP(A65,'Dist expedição'!R:T,3,0),"")</f>
        <v/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14"/>
      <c r="B66" s="14"/>
      <c r="C66" s="14" t="str">
        <f>IFERROR(VLOOKUP(A66,'Dist expedição'!R:T,3,0),"")</f>
        <v/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14"/>
      <c r="B67" s="14"/>
      <c r="C67" s="14" t="str">
        <f>IFERROR(VLOOKUP(A67,'Dist expedição'!R:T,3,0),"")</f>
        <v/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14"/>
      <c r="B68" s="14"/>
      <c r="C68" s="14" t="str">
        <f>IFERROR(VLOOKUP(A68,'Dist expedição'!R:T,3,0),"")</f>
        <v/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14"/>
      <c r="B69" s="14"/>
      <c r="C69" s="14" t="str">
        <f>IFERROR(VLOOKUP(A69,'Dist expedição'!R:T,3,0),"")</f>
        <v/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14"/>
      <c r="B70" s="14"/>
      <c r="C70" s="14" t="str">
        <f>IFERROR(VLOOKUP(A70,'Dist expedição'!R:T,3,0),"")</f>
        <v/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14"/>
      <c r="B71" s="14"/>
      <c r="C71" s="14" t="str">
        <f>IFERROR(VLOOKUP(A71,'Dist expedição'!R:T,3,0),"")</f>
        <v/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14"/>
      <c r="B72" s="14"/>
      <c r="C72" s="14" t="str">
        <f>IFERROR(VLOOKUP(A72,'Dist expedição'!R:T,3,0),"")</f>
        <v/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14"/>
      <c r="B73" s="14"/>
      <c r="C73" s="14" t="str">
        <f>IFERROR(VLOOKUP(A73,'Dist expedição'!R:T,3,0),"")</f>
        <v/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14"/>
      <c r="B74" s="14"/>
      <c r="C74" s="14" t="str">
        <f>IFERROR(VLOOKUP(A74,'Dist expedição'!R:T,3,0),"")</f>
        <v/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14"/>
      <c r="B75" s="14"/>
      <c r="C75" s="14" t="str">
        <f>IFERROR(VLOOKUP(A75,'Dist expedição'!R:T,3,0),"")</f>
        <v/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14"/>
      <c r="B76" s="14"/>
      <c r="C76" s="14" t="str">
        <f>IFERROR(VLOOKUP(A76,'Dist expedição'!R:T,3,0),"")</f>
        <v/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14"/>
      <c r="B77" s="14"/>
      <c r="C77" s="14" t="str">
        <f>IFERROR(VLOOKUP(A77,'Dist expedição'!R:T,3,0),"")</f>
        <v/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14"/>
      <c r="B78" s="14"/>
      <c r="C78" s="14" t="str">
        <f>IFERROR(VLOOKUP(A78,'Dist expedição'!R:T,3,0),"")</f>
        <v/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14"/>
      <c r="B79" s="14"/>
      <c r="C79" s="14" t="str">
        <f>IFERROR(VLOOKUP(A79,'Dist expedição'!R:T,3,0),"")</f>
        <v/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14"/>
      <c r="B80" s="14"/>
      <c r="C80" s="14" t="str">
        <f>IFERROR(VLOOKUP(A80,'Dist expedição'!R:T,3,0),"")</f>
        <v/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14"/>
      <c r="B81" s="14"/>
      <c r="C81" s="14" t="str">
        <f>IFERROR(VLOOKUP(A81,'Dist expedição'!R:T,3,0),"")</f>
        <v/>
      </c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14"/>
      <c r="B82" s="14"/>
      <c r="C82" s="14" t="str">
        <f>IFERROR(VLOOKUP(A82,'Dist expedição'!R:T,3,0),"")</f>
        <v/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14"/>
      <c r="B83" s="14"/>
      <c r="C83" s="14" t="str">
        <f>IFERROR(VLOOKUP(A83,'Dist expedição'!R:T,3,0),"")</f>
        <v/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14"/>
      <c r="B84" s="14"/>
      <c r="C84" s="14" t="str">
        <f>IFERROR(VLOOKUP(A84,'Dist expedição'!R:T,3,0),"")</f>
        <v/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14"/>
      <c r="B85" s="14"/>
      <c r="C85" s="14" t="str">
        <f>IFERROR(VLOOKUP(A85,'Dist expedição'!R:T,3,0),"")</f>
        <v/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14"/>
      <c r="B86" s="14"/>
      <c r="C86" s="14" t="str">
        <f>IFERROR(VLOOKUP(A86,'Dist expedição'!R:T,3,0),"")</f>
        <v/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14"/>
      <c r="B87" s="14"/>
      <c r="C87" s="14" t="str">
        <f>IFERROR(VLOOKUP(A87,'Dist expedição'!R:T,3,0),"")</f>
        <v/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14"/>
      <c r="B88" s="14"/>
      <c r="C88" s="14" t="str">
        <f>IFERROR(VLOOKUP(A88,'Dist expedição'!R:T,3,0),"")</f>
        <v/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14"/>
      <c r="B89" s="14"/>
      <c r="C89" s="14" t="str">
        <f>IFERROR(VLOOKUP(A89,'Dist expedição'!R:T,3,0),"")</f>
        <v/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</row>
  </sheetData>
  <mergeCells count="7">
    <mergeCell ref="A1:O1"/>
    <mergeCell ref="A2:O2"/>
    <mergeCell ref="M3:N3"/>
    <mergeCell ref="A4:C4"/>
    <mergeCell ref="E4:G4"/>
    <mergeCell ref="I4:K4"/>
    <mergeCell ref="M4:O4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